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tart Here" sheetId="1" r:id="rId1"/>
    <sheet name="Map Registry" sheetId="2" r:id="rId2"/>
    <sheet name="Master CRS Ledger" sheetId="3" r:id="rId3"/>
    <sheet name="Master Reading Blocks" sheetId="4" r:id="rId4"/>
    <sheet name="Master Chapter Coverage" sheetId="5" r:id="rId5"/>
    <sheet name="Book Catalog" sheetId="6" r:id="rId6"/>
    <sheet name="Book Summary" sheetId="7" r:id="rId7"/>
    <sheet name="Master Link Registry" sheetId="8" r:id="rId8"/>
    <sheet name="Open Decisions Master" sheetId="9" r:id="rId9"/>
    <sheet name="Source Registry" sheetId="10" r:id="rId10"/>
    <sheet name="Release Gates" sheetId="11" r:id="rId11"/>
    <sheet name="Normalization Notes" sheetId="12" r:id="rId12"/>
  </sheet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sz val="11"/>
      <color rgb="FF15202B"/>
      <name val="Calibri"/>
      <family val="2"/>
    </font>
    <font>
      <b/>
      <sz val="10"/>
      <color rgb="FFFFFFFF"/>
      <name val="Calibri"/>
      <family val="2"/>
    </font>
    <font>
      <i/>
      <sz val="10"/>
      <color rgb="FFD7E2F1"/>
      <name val="Calibri"/>
      <family val="2"/>
    </font>
    <font>
      <b/>
      <sz val="16"/>
      <color rgb="FFFFFFFF"/>
      <name val="Calibri"/>
      <family val="2"/>
    </font>
    <font>
      <b/>
      <sz val="18"/>
      <color rgb="FF7B61FF"/>
      <name val="Calibri"/>
      <family val="2"/>
    </font>
    <font>
      <sz val="9"/>
      <color rgb="FF15202B"/>
      <name val="Calibri"/>
      <family val="2"/>
    </font>
    <font>
      <b/>
      <sz val="9"/>
      <color rgb="FF15202B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7111F"/>
        <bgColor indexed="64"/>
      </patternFill>
    </fill>
    <fill>
      <patternFill patternType="solid">
        <fgColor rgb="FF0E1D33"/>
        <bgColor indexed="64"/>
      </patternFill>
    </fill>
    <fill>
      <patternFill patternType="solid">
        <fgColor rgb="FFFFF4E6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7EF"/>
        <bgColor indexed="64"/>
      </patternFill>
    </fill>
    <fill>
      <patternFill patternType="solid">
        <fgColor rgb="FFFFF6E6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EDE9FE"/>
        <bgColor indexed="64"/>
      </patternFill>
    </fill>
  </fills>
  <borders count="3">
    <border>
      <left/>
      <right/>
      <top/>
      <bottom/>
      <diagonal/>
    </border>
    <border>
      <left style="thin">
        <color rgb="FFD9E2EF"/>
      </left>
      <right style="thin">
        <color rgb="FFD9E2EF"/>
      </right>
      <top style="thin">
        <color rgb="FFD9E2EF"/>
      </top>
      <bottom style="thin">
        <color rgb="FFD9E2EF"/>
      </bottom>
      <diagonal/>
    </border>
    <border>
      <left style="thin">
        <color rgb="FF27415E"/>
      </left>
      <right style="thin">
        <color rgb="FF27415E"/>
      </right>
      <top style="thin">
        <color rgb="FF27415E"/>
      </top>
      <bottom style="thin">
        <color rgb="FF27415E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0" xfId="0">
      <alignment horizontal="left" vertical="center"/>
    </xf>
    <xf numFmtId="0" fontId="2" fillId="3" borderId="0" xfId="0">
      <alignment horizontal="left" vertical="center" wrapText="1"/>
    </xf>
    <xf numFmtId="0" fontId="1" fillId="3" borderId="2" xfId="0">
      <alignment horizontal="center" vertical="center" wrapText="1"/>
    </xf>
    <xf numFmtId="0" fontId="5" fillId="0" borderId="1" xfId="0">
      <alignment vertical="top" wrapText="1"/>
    </xf>
    <xf numFmtId="0" fontId="1" fillId="3" borderId="0" xfId="0">
      <alignment horizontal="center" vertical="center" wrapText="1"/>
    </xf>
    <xf numFmtId="0" fontId="4" fillId="6" borderId="1" xfId="0">
      <alignment horizontal="center" vertical="center" wrapText="1"/>
    </xf>
    <xf numFmtId="0" fontId="1" fillId="3" borderId="0" xfId="0">
      <alignment horizontal="left" vertical="center"/>
    </xf>
    <xf numFmtId="0" fontId="5" fillId="5" borderId="1" xfId="0">
      <alignment vertical="top" wrapText="1"/>
    </xf>
    <xf numFmtId="0" fontId="5" fillId="4" borderId="1" xfId="0">
      <alignment vertical="top" wrapText="1"/>
    </xf>
    <xf numFmtId="0" fontId="5" fillId="7" borderId="1" xfId="0">
      <alignment vertical="top" wrapText="1"/>
    </xf>
    <xf numFmtId="0" fontId="5" fillId="8" borderId="1" xfId="0">
      <alignment vertical="top" wrapText="1"/>
    </xf>
    <xf numFmtId="0" fontId="5" fillId="9" borderId="1" xfId="0">
      <alignment vertical="top" wrapText="1"/>
    </xf>
    <xf numFmtId="0" fontId="5" fillId="10" borderId="1" xfId="0">
      <alignment vertical="top" wrapText="1"/>
    </xf>
    <xf numFmtId="164" fontId="5" fillId="0" borderId="1" xfId="0">
      <alignment vertical="top" wrapText="1"/>
    </xf>
    <xf numFmtId="0" fontId="6" fillId="0" borderId="1" xfId="0">
      <alignment vertical="top" wrapText="1"/>
    </xf>
    <xf numFmtId="0" fontId="6" fillId="0" borderId="0" xfId="0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workbookViewId="0">
      <pane ySplit="2" topLeftCell="A3" activePane="bottomLeft" state="frozen"/>
      <selection pane="bottomLeft" activeCell="A3" sqref="A3"/>
    </sheetView>
  </sheetViews>
  <cols>
    <col min="1" max="1" width="24" customWidth="1"/>
    <col min="2" max="2" width="20" customWidth="1"/>
    <col min="3" max="3" width="24" customWidth="1"/>
    <col min="4" max="4" width="20" customWidth="1"/>
    <col min="5" max="5" width="24" customWidth="1"/>
    <col min="6" max="6" width="20" customWidth="1"/>
    <col min="7" max="7" width="24" customWidth="1"/>
    <col min="8" max="8" width="20" customWidth="1"/>
    <col min="9" max="9" width="24" customWidth="1"/>
    <col min="10" max="10" width="20" customWidth="1"/>
  </cols>
  <sheetData>
    <row r="1" ht="30" customHeight="1">
      <c r="A1" s="1" t="inlineStr">
        <is>
          <t xml:space="preserve">BIBLE JOURNEY · MASTER CANON LEDGER v1.0</t>
        </is>
      </c>
    </row>
    <row r="2" ht="30" customHeight="1">
      <c r="A2" s="2" t="inlineStr">
        <is>
          <t xml:space="preserve">Single source of truth unifying Canon Maps v0.1–v0.9. Tracks 66 canonical books, 1,189 chapters, source-map provenance, editorial uncertainty, and release gates.</t>
        </is>
      </c>
    </row>
    <row r="4" ht="38" customHeight="1">
      <c r="A4" s="9" t="inlineStr">
        <is>
          <t xml:space="preserve">Master purpose: unify coverage and editorial traceability without pretending that every book or passage has a single settled chronological placement. Canonical completeness, transparent uncertainty, and intact Scripture remain non-negotiable.</t>
        </is>
      </c>
    </row>
    <row r="6" ht="24" customHeight="1">
      <c r="A6" s="5" t="inlineStr">
        <is>
          <t xml:space="preserve">Canonical Chapters</t>
        </is>
      </c>
      <c r="C6" s="5" t="inlineStr">
        <is>
          <t xml:space="preserve">Books Fully Covered</t>
        </is>
      </c>
      <c r="E6" s="5" t="inlineStr">
        <is>
          <t xml:space="preserve">Source Maps Unified</t>
        </is>
      </c>
      <c r="G6" s="5" t="inlineStr">
        <is>
          <t xml:space="preserve">Master CRS Records</t>
        </is>
      </c>
      <c r="I6" s="5" t="inlineStr">
        <is>
          <t xml:space="preserve">Master Reading Blocks</t>
        </is>
      </c>
    </row>
    <row r="7">
      <c r="A7" s="6">
        <f>COUNTA('Master Chapter Coverage'!A5:A2000)</f>
        <v>1189</v>
      </c>
      <c r="C7" s="6">
        <f>COUNTIF('Book Summary'!G5:G100,"PASS")</f>
        <v>66</v>
      </c>
      <c r="E7" s="6">
        <f>COUNTA('Map Registry'!A5:A50)</f>
        <v>9</v>
      </c>
      <c r="G7" s="6">
        <f>COUNTA('Master CRS Ledger'!A5:A1000)</f>
        <v>514</v>
      </c>
      <c r="I7" s="6">
        <f>COUNTA('Master Reading Blocks'!A5:A1500)</f>
        <v>667</v>
      </c>
    </row>
    <row r="10" ht="24" customHeight="1">
      <c r="A10" s="5" t="inlineStr">
        <is>
          <t xml:space="preserve">Open Editorial Decisions</t>
        </is>
      </c>
      <c r="C10" s="5" t="inlineStr">
        <is>
          <t xml:space="preserve">Duplicate Canon Keys</t>
        </is>
      </c>
      <c r="E10" s="5" t="inlineStr">
        <is>
          <t xml:space="preserve">Missing Canon Keys</t>
        </is>
      </c>
      <c r="G10" s="5" t="inlineStr">
        <is>
          <t xml:space="preserve">Source Registry Records</t>
        </is>
      </c>
      <c r="I10" s="5" t="inlineStr">
        <is>
          <t xml:space="preserve">Dependency / Policy Records</t>
        </is>
      </c>
    </row>
    <row r="11">
      <c r="A11" s="6">
        <f>COUNTIF('Open Decisions Master'!J5:J500,"Open")</f>
        <v>85</v>
      </c>
      <c r="C11" s="6">
        <f>COUNTIF('Master Chapter Coverage'!P5:P2000,"DUPLICATE")</f>
        <v>0</v>
      </c>
      <c r="E11" s="6">
        <f>COUNTIF('Master Chapter Coverage'!P5:P2000,"MISSING")</f>
        <v>0</v>
      </c>
      <c r="G11" s="6">
        <f>COUNTA('Source Registry'!A5:A500)</f>
        <v>118</v>
      </c>
      <c r="I11" s="6">
        <f>COUNTA('Master Link Registry'!A5:A1000)</f>
        <v>337</v>
      </c>
    </row>
    <row r="14">
      <c r="A14" s="7" t="inlineStr">
        <is>
          <t xml:space="preserve">What v1.0 proves</t>
        </is>
      </c>
      <c r="F14" s="7" t="inlineStr">
        <is>
          <t xml:space="preserve">Immediate leadership decision</t>
        </is>
      </c>
    </row>
    <row r="15" ht="105" customHeight="1">
      <c r="A15" s="8" t="inlineStr">
        <is>
          <t xml:space="preserve">• Every chapter in the 66-book canon has one master coverage record.
• The master preserves provenance: every CRS, block, source, decision, and dependency points back to its originating map.
• Parallel accounts, poetry, prophetic blocks, letters, and apocalyptic literature remain intact rather than being merged into synthetic Scripture.
• The master does not declare the final event-by-event global stream resolved. It identifies where a Harmonization Engine must attach parallel and contextual records.
• Release readiness is governed by audit gates, not by visual completeness alone.</t>
        </is>
      </c>
      <c r="F15" s="9" t="inlineStr">
        <is>
          <t xml:space="preserve">The canon is now mapped at coverage level. The next critical build is not more chapter mapping; it is a Harmonization Engine that determines the final user-facing order of connected CRS records.
It must resolve, with explicit confidence and profiles:
1. Samuel / Kings / Chronicles interleaving.
2. Prophets within reigns and historical horizons.
3. Psalms and wisdom as evidence-scored connections.
4. Gospel parallel accounts.
5. Acts and epistolary placements.
6. Canonical fallback and literary-sequence behavior.</t>
        </is>
      </c>
    </row>
    <row r="23" ht="28" customHeight="1">
      <c r="A23" s="3" t="inlineStr">
        <is>
          <t xml:space="preserve">Release Gate</t>
        </is>
      </c>
      <c r="B23" s="3" t="inlineStr">
        <is>
          <t xml:space="preserve">Current Status</t>
        </is>
      </c>
      <c r="C23" s="3" t="inlineStr">
        <is>
          <t xml:space="preserve">Owner</t>
        </is>
      </c>
      <c r="D23" s="3" t="inlineStr">
        <is>
          <t xml:space="preserve">Why It Matters</t>
        </is>
      </c>
      <c r="E23" s="3" t="inlineStr">
        <is>
          <t xml:space="preserve">Next Action</t>
        </is>
      </c>
    </row>
    <row r="24" ht="36" customHeight="1">
      <c r="A24" s="15" t="inlineStr">
        <is>
          <t xml:space="preserve">Master chapter coverage</t>
        </is>
      </c>
      <c r="B24" s="10" t="inlineStr">
        <is>
          <t xml:space="preserve">PASS</t>
        </is>
      </c>
      <c r="C24" s="15" t="inlineStr">
        <is>
          <t xml:space="preserve">Editorial QA</t>
        </is>
      </c>
      <c r="D24" s="15" t="inlineStr">
        <is>
          <t xml:space="preserve">A Bible Stream cannot claim completeness with missing or duplicate canonical keys.</t>
        </is>
      </c>
      <c r="E24" s="15" t="inlineStr">
        <is>
          <t xml:space="preserve">Maintain this audit automatically on every import.</t>
        </is>
      </c>
    </row>
    <row r="25" ht="36" customHeight="1">
      <c r="A25" s="15" t="inlineStr">
        <is>
          <t xml:space="preserve">Verse-level continuity</t>
        </is>
      </c>
      <c r="B25" s="12" t="inlineStr">
        <is>
          <t xml:space="preserve">BLOCKED</t>
        </is>
      </c>
      <c r="C25" s="15" t="inlineStr">
        <is>
          <t xml:space="preserve">Editorial + Engineering</t>
        </is>
      </c>
      <c r="D25" s="15" t="inlineStr">
        <is>
          <t xml:space="preserve">Chapter mapping cannot detect missing/overlapping verse intervals, especially in Gospel segments and split chapters.</t>
        </is>
      </c>
      <c r="E25" s="15" t="inlineStr">
        <is>
          <t xml:space="preserve">Build PassageBlock / verse-interval validator.</t>
        </is>
      </c>
    </row>
    <row r="26" ht="36" customHeight="1">
      <c r="A26" s="15" t="inlineStr">
        <is>
          <t xml:space="preserve">Cross-map harmonization</t>
        </is>
      </c>
      <c r="B26" s="12" t="inlineStr">
        <is>
          <t xml:space="preserve">BLOCKED</t>
        </is>
      </c>
      <c r="C26" s="15" t="inlineStr">
        <is>
          <t xml:space="preserve">Editorial Council</t>
        </is>
      </c>
      <c r="D26" s="15" t="inlineStr">
        <is>
          <t xml:space="preserve">Source maps contain valid components but not a finalized user-facing global event order.</t>
        </is>
      </c>
      <c r="E26" s="15" t="inlineStr">
        <is>
          <t xml:space="preserve">Create Harmonization Engine v1.0.</t>
        </is>
      </c>
    </row>
    <row r="27" ht="36" customHeight="1">
      <c r="A27" s="15" t="inlineStr">
        <is>
          <t xml:space="preserve">Open-decision triage</t>
        </is>
      </c>
      <c r="B27" s="12" t="inlineStr">
        <is>
          <t xml:space="preserve">BLOCKED</t>
        </is>
      </c>
      <c r="C27" s="15" t="inlineStr">
        <is>
          <t xml:space="preserve">Editorial Council</t>
        </is>
      </c>
      <c r="D27" s="15" t="inlineStr">
        <is>
          <t xml:space="preserve">High-risk chronology and interpretive questions need policy, profile, or disclosure.</t>
        </is>
      </c>
      <c r="E27" s="15" t="inlineStr">
        <is>
          <t xml:space="preserve">Classify as resolve / disclose / out-of-scope.</t>
        </is>
      </c>
    </row>
    <row r="28" ht="36" customHeight="1">
      <c r="A28" s="15" t="inlineStr">
        <is>
          <t xml:space="preserve">Translation licensing</t>
        </is>
      </c>
      <c r="B28" s="13" t="inlineStr">
        <is>
          <t xml:space="preserve">IN PROGRESS</t>
        </is>
      </c>
      <c r="C28" s="15" t="inlineStr">
        <is>
          <t xml:space="preserve">Legal + Partnerships</t>
        </is>
      </c>
      <c r="D28" s="15" t="inlineStr">
        <is>
          <t xml:space="preserve">Reader text availability depends on licensed translations and permitted display rules.</t>
        </is>
      </c>
      <c r="E28" s="15" t="inlineStr">
        <is>
          <t xml:space="preserve">Continue RVR60/NVI license pilot workflow; retain reference mode fallback.</t>
        </is>
      </c>
    </row>
  </sheetData>
  <autoFilter ref="A23:E28"/>
  <mergeCells count="27">
    <mergeCell ref="A1:J1"/>
    <mergeCell ref="A2:J2"/>
    <mergeCell ref="A4:J4"/>
    <mergeCell ref="A6:B6"/>
    <mergeCell ref="A7:B8"/>
    <mergeCell ref="C6:D6"/>
    <mergeCell ref="C7:D8"/>
    <mergeCell ref="E6:F6"/>
    <mergeCell ref="E7:F8"/>
    <mergeCell ref="G6:H6"/>
    <mergeCell ref="G7:H8"/>
    <mergeCell ref="I6:J6"/>
    <mergeCell ref="I7:J8"/>
    <mergeCell ref="A10:B10"/>
    <mergeCell ref="A11:B12"/>
    <mergeCell ref="C10:D10"/>
    <mergeCell ref="C11:D12"/>
    <mergeCell ref="E10:F10"/>
    <mergeCell ref="E11:F12"/>
    <mergeCell ref="G10:H10"/>
    <mergeCell ref="G11:H12"/>
    <mergeCell ref="I10:J10"/>
    <mergeCell ref="I11:J12"/>
    <mergeCell ref="A14:E14"/>
    <mergeCell ref="A15:E21"/>
    <mergeCell ref="F14:J14"/>
    <mergeCell ref="F15:J21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pane ySplit="4" topLeftCell="A5" activePane="bottomLeft" state="frozen"/>
      <selection pane="bottomLeft" activeCell="A5" sqref="A5"/>
    </sheetView>
  </sheetViews>
  <cols>
    <col min="1" max="1" width="12" customWidth="1"/>
    <col min="2" max="2" width="34" customWidth="1"/>
    <col min="3" max="3" width="50" customWidth="1"/>
    <col min="4" max="4" width="60" customWidth="1"/>
    <col min="5" max="5" width="24" customWidth="1"/>
    <col min="6" max="6" width="34" customWidth="1"/>
    <col min="7" max="7" width="58" customWidth="1"/>
    <col min="8" max="8" width="13" customWidth="1"/>
    <col min="9" max="9" width="13" customWidth="1"/>
    <col min="10" max="10" width="20" customWidth="1"/>
    <col min="11" max="11" width="16" customWidth="1"/>
    <col min="12" max="12" width="16" customWidth="1"/>
  </cols>
  <sheetData>
    <row r="1" ht="30" customHeight="1">
      <c r="A1" s="1" t="inlineStr">
        <is>
          <t xml:space="preserve">MAP REGISTRY</t>
        </is>
      </c>
    </row>
    <row r="2" ht="30" customHeight="1">
      <c r="A2" s="2" t="inlineStr">
        <is>
          <t xml:space="preserve">Inventory of source workbooks merged into the Master Canon Ledger. Map-level counts are formula-driven from normalized master sheets.</t>
        </is>
      </c>
    </row>
    <row r="4">
      <c r="A4" s="3" t="inlineStr">
        <is>
          <t xml:space="preserve">Map Version</t>
        </is>
      </c>
      <c r="B4" s="3" t="inlineStr">
        <is>
          <t xml:space="preserve">Map Name</t>
        </is>
      </c>
      <c r="C4" s="3" t="inlineStr">
        <is>
          <t xml:space="preserve">Source Workbook</t>
        </is>
      </c>
      <c r="D4" s="3" t="inlineStr">
        <is>
          <t xml:space="preserve">Scope</t>
        </is>
      </c>
      <c r="E4" s="3" t="inlineStr">
        <is>
          <t xml:space="preserve">Source Coverage Sheet</t>
        </is>
      </c>
      <c r="F4" s="3" t="inlineStr">
        <is>
          <t xml:space="preserve">Integration Stage</t>
        </is>
      </c>
      <c r="G4" s="3" t="inlineStr">
        <is>
          <t xml:space="preserve">Integration Gate</t>
        </is>
      </c>
      <c r="H4" s="3" t="inlineStr">
        <is>
          <t xml:space="preserve">CRS Count</t>
        </is>
      </c>
      <c r="I4" s="3" t="inlineStr">
        <is>
          <t xml:space="preserve">Block Count</t>
        </is>
      </c>
      <c r="J4" s="3" t="inlineStr">
        <is>
          <t xml:space="preserve">Chapter Coverage Count</t>
        </is>
      </c>
      <c r="K4" s="3" t="inlineStr">
        <is>
          <t xml:space="preserve">Open Decisions</t>
        </is>
      </c>
      <c r="L4" s="3" t="inlineStr">
        <is>
          <t xml:space="preserve">Load Status</t>
        </is>
      </c>
    </row>
    <row r="5" ht="42" customHeight="1">
      <c r="A5" s="15" t="inlineStr">
        <is>
          <t xml:space="preserve">v0.1</t>
        </is>
      </c>
      <c r="B5" s="15" t="inlineStr">
        <is>
          <t xml:space="preserve">Genesis to 2 Samuel</t>
        </is>
      </c>
      <c r="C5" s="15" t="inlineStr">
        <is>
          <t xml:space="preserve">Bible_Journey_Canon_Map_v0_1_Genesis_to_2Samuel.xlsx</t>
        </is>
      </c>
      <c r="D5" s="15" t="inlineStr">
        <is>
          <t xml:space="preserve">Genesis through 2 Samuel</t>
        </is>
      </c>
      <c r="E5" s="15" t="inlineStr">
        <is>
          <t xml:space="preserve">Chapter Map</t>
        </is>
      </c>
      <c r="F5" s="15" t="inlineStr">
        <is>
          <t xml:space="preserve">Canonical narrative spine</t>
        </is>
      </c>
      <c r="G5" s="15" t="inlineStr">
        <is>
          <t xml:space="preserve">Verse-level scene splits; David/Psalms linking policy</t>
        </is>
      </c>
      <c r="H5" s="15">
        <f>COUNTIF('Master CRS Ledger'!$A$5:$A$1000,A5)</f>
        <v>116</v>
      </c>
      <c r="I5" s="15">
        <f>COUNTIF('Master Reading Blocks'!$A$5:$A$1500,A5)</f>
        <v>135</v>
      </c>
      <c r="J5" s="15">
        <f>COUNTIF('Master Chapter Coverage'!$G$5:$G$2000,A5)</f>
        <v>291</v>
      </c>
      <c r="K5" s="15">
        <f>COUNTIF('Open Decisions Master'!$A$5:$A$500,A5)</f>
        <v>12</v>
      </c>
      <c r="L5" s="10" t="inlineStr">
        <is>
          <t xml:space="preserve">Imported</t>
        </is>
      </c>
    </row>
    <row r="6" ht="42" customHeight="1">
      <c r="A6" s="15" t="inlineStr">
        <is>
          <t xml:space="preserve">v0.2</t>
        </is>
      </c>
      <c r="B6" s="15" t="inlineStr">
        <is>
          <t xml:space="preserve">Chronicles, Psalms, Job, 1 Kings</t>
        </is>
      </c>
      <c r="C6" s="15" t="inlineStr">
        <is>
          <t xml:space="preserve">Bible_Journey_Canon_Map_v0_2_Chronicles_Psalms_Job_1Kings.xlsx</t>
        </is>
      </c>
      <c r="D6" s="15" t="inlineStr">
        <is>
          <t xml:space="preserve">1 Chronicles, Psalms, Job, 1 Kings</t>
        </is>
      </c>
      <c r="E6" s="15" t="inlineStr">
        <is>
          <t xml:space="preserve">Chapter Map</t>
        </is>
      </c>
      <c r="F6" s="15" t="inlineStr">
        <is>
          <t xml:space="preserve">Parallel accounts, poetry, wisdom, United Monarchy</t>
        </is>
      </c>
      <c r="G6" s="15" t="inlineStr">
        <is>
          <t xml:space="preserve">Cross-map attachment to Samuel/Kings; Psalm evidence policy</t>
        </is>
      </c>
      <c r="H6" s="15">
        <f>COUNTIF('Master CRS Ledger'!$A$5:$A$1000,A6)</f>
        <v>94</v>
      </c>
      <c r="I6" s="15">
        <f>COUNTIF('Master Reading Blocks'!$A$5:$A$1500,A6)</f>
        <v>94</v>
      </c>
      <c r="J6" s="15">
        <f>COUNTIF('Master Chapter Coverage'!$G$5:$G$2000,A6)</f>
        <v>243</v>
      </c>
      <c r="K6" s="15">
        <f>COUNTIF('Open Decisions Master'!$A$5:$A$500,A6)</f>
        <v>14</v>
      </c>
      <c r="L6" s="10" t="inlineStr">
        <is>
          <t xml:space="preserve">Imported</t>
        </is>
      </c>
    </row>
    <row r="7" ht="42" customHeight="1">
      <c r="A7" s="15" t="inlineStr">
        <is>
          <t xml:space="preserve">v0.3</t>
        </is>
      </c>
      <c r="B7" s="15" t="inlineStr">
        <is>
          <t xml:space="preserve">2 Chronicles, Wisdom, 2 Kings</t>
        </is>
      </c>
      <c r="C7" s="15" t="inlineStr">
        <is>
          <t xml:space="preserve">Bible_Journey_Canon_Map_v0_3_2Chronicles_Wisdom_2Kings.xlsx</t>
        </is>
      </c>
      <c r="D7" s="15" t="inlineStr">
        <is>
          <t xml:space="preserve">2 Chronicles, Proverbs, Ecclesiastes, Song of Songs, 2 Kings</t>
        </is>
      </c>
      <c r="E7" s="15" t="inlineStr">
        <is>
          <t xml:space="preserve">Chapter Map</t>
        </is>
      </c>
      <c r="F7" s="15" t="inlineStr">
        <is>
          <t xml:space="preserve">Kingdom division and wisdom interlude</t>
        </is>
      </c>
      <c r="G7" s="15" t="inlineStr">
        <is>
          <t xml:space="preserve">Kings/Chronicles interleaving and wisdom placement disclosure</t>
        </is>
      </c>
      <c r="H7" s="15">
        <f>COUNTIF('Master CRS Ledger'!$A$5:$A$1000,A7)</f>
        <v>47</v>
      </c>
      <c r="I7" s="15">
        <f>COUNTIF('Master Reading Blocks'!$A$5:$A$1500,A7)</f>
        <v>67</v>
      </c>
      <c r="J7" s="15">
        <f>COUNTIF('Master Chapter Coverage'!$G$5:$G$2000,A7)</f>
        <v>112</v>
      </c>
      <c r="K7" s="15">
        <f>COUNTIF('Open Decisions Master'!$A$5:$A$500,A7)</f>
        <v>9</v>
      </c>
      <c r="L7" s="10" t="inlineStr">
        <is>
          <t xml:space="preserve">Imported</t>
        </is>
      </c>
    </row>
    <row r="8" ht="42" customHeight="1">
      <c r="A8" s="15" t="inlineStr">
        <is>
          <t xml:space="preserve">v0.4</t>
        </is>
      </c>
      <c r="B8" s="15" t="inlineStr">
        <is>
          <t xml:space="preserve">Prophets and Exile</t>
        </is>
      </c>
      <c r="C8" s="15" t="inlineStr">
        <is>
          <t xml:space="preserve">Bible_Journey_Canon_Map_v0_4_Prophets_Exile.xlsx</t>
        </is>
      </c>
      <c r="D8" s="15" t="inlineStr">
        <is>
          <t xml:space="preserve">Isaiah through Lamentations (mapped prophetic corpus)</t>
        </is>
      </c>
      <c r="E8" s="15" t="inlineStr">
        <is>
          <t xml:space="preserve">Chapter Map</t>
        </is>
      </c>
      <c r="F8" s="15" t="inlineStr">
        <is>
          <t xml:space="preserve">Prophets inside Israel/Judah history</t>
        </is>
      </c>
      <c r="G8" s="15" t="inlineStr">
        <is>
          <t xml:space="preserve">Prophetic placement, Jeremiah reordering, Isaiah horizons</t>
        </is>
      </c>
      <c r="H8" s="15">
        <f>COUNTIF('Master CRS Ledger'!$A$5:$A$1000,A8)</f>
        <v>52</v>
      </c>
      <c r="I8" s="15">
        <f>COUNTIF('Master Reading Blocks'!$A$5:$A$1500,A8)</f>
        <v>54</v>
      </c>
      <c r="J8" s="15">
        <f>COUNTIF('Master Chapter Coverage'!$G$5:$G$2000,A8)</f>
        <v>166</v>
      </c>
      <c r="K8" s="15">
        <f>COUNTIF('Open Decisions Master'!$A$5:$A$500,A8)</f>
        <v>9</v>
      </c>
      <c r="L8" s="10" t="inlineStr">
        <is>
          <t xml:space="preserve">Imported</t>
        </is>
      </c>
    </row>
    <row r="9" ht="42" customHeight="1">
      <c r="A9" s="15" t="inlineStr">
        <is>
          <t xml:space="preserve">v0.5</t>
        </is>
      </c>
      <c r="B9" s="15" t="inlineStr">
        <is>
          <t xml:space="preserve">Exile, Return, Persia</t>
        </is>
      </c>
      <c r="C9" s="15" t="inlineStr">
        <is>
          <t xml:space="preserve">Bible_Journey_Canon_Map_v0_5_Exile_Return_Persia.xlsx</t>
        </is>
      </c>
      <c r="D9" s="15" t="inlineStr">
        <is>
          <t xml:space="preserve">Habakkuk, Obadiah, Ezekiel, Daniel, Ezra, Nehemiah, Haggai, Zechariah, Malachi</t>
        </is>
      </c>
      <c r="E9" s="15" t="inlineStr">
        <is>
          <t xml:space="preserve">Coverage Audit</t>
        </is>
      </c>
      <c r="F9" s="15" t="inlineStr">
        <is>
          <t xml:space="preserve">Exile, return, Persian transition</t>
        </is>
      </c>
      <c r="G9" s="15" t="inlineStr">
        <is>
          <t xml:space="preserve">Dated prophetic splits, Ezra flash-forward handling, post-exilic placement</t>
        </is>
      </c>
      <c r="H9" s="15">
        <f>COUNTIF('Master CRS Ledger'!$A$5:$A$1000,A9)</f>
        <v>46</v>
      </c>
      <c r="I9" s="15">
        <f>COUNTIF('Master Reading Blocks'!$A$5:$A$1500,A9)</f>
        <v>46</v>
      </c>
      <c r="J9" s="15">
        <f>COUNTIF('Master Chapter Coverage'!$G$5:$G$2000,A9)</f>
        <v>107</v>
      </c>
      <c r="K9" s="15">
        <f>COUNTIF('Open Decisions Master'!$A$5:$A$500,A9)</f>
        <v>11</v>
      </c>
      <c r="L9" s="10" t="inlineStr">
        <is>
          <t xml:space="preserve">Imported</t>
        </is>
      </c>
    </row>
    <row r="10" ht="42" customHeight="1">
      <c r="A10" s="15" t="inlineStr">
        <is>
          <t xml:space="preserve">v0.6</t>
        </is>
      </c>
      <c r="B10" s="15" t="inlineStr">
        <is>
          <t xml:space="preserve">Esther and Intertestamental Bridge</t>
        </is>
      </c>
      <c r="C10" s="15" t="inlineStr">
        <is>
          <t xml:space="preserve">Bible_Journey_Canon_Map_v0_6_Esther_Intertestamental_Bridge.xlsx</t>
        </is>
      </c>
      <c r="D10" s="15" t="inlineStr">
        <is>
          <t xml:space="preserve">Esther plus historical bridge cards</t>
        </is>
      </c>
      <c r="E10" s="15" t="inlineStr">
        <is>
          <t xml:space="preserve">Coverage Audit</t>
        </is>
      </c>
      <c r="F10" s="15" t="inlineStr">
        <is>
          <t xml:space="preserve">Persian diaspora and historical bridge</t>
        </is>
      </c>
      <c r="G10" s="15" t="inlineStr">
        <is>
          <t xml:space="preserve">Canon-profile policy and historical context-card governance</t>
        </is>
      </c>
      <c r="H10" s="15">
        <f>COUNTIF('Master CRS Ledger'!$A$5:$A$1000,A10)</f>
        <v>4</v>
      </c>
      <c r="I10" s="15">
        <f>COUNTIF('Master Reading Blocks'!$A$5:$A$1500,A10)</f>
        <v>4</v>
      </c>
      <c r="J10" s="15">
        <f>COUNTIF('Master Chapter Coverage'!$G$5:$G$2000,A10)</f>
        <v>10</v>
      </c>
      <c r="K10" s="15">
        <f>COUNTIF('Open Decisions Master'!$A$5:$A$500,A10)</f>
        <v>8</v>
      </c>
      <c r="L10" s="10" t="inlineStr">
        <is>
          <t xml:space="preserve">Imported</t>
        </is>
      </c>
    </row>
    <row r="11" ht="42" customHeight="1">
      <c r="A11" s="15" t="inlineStr">
        <is>
          <t xml:space="preserve">v0.7</t>
        </is>
      </c>
      <c r="B11" s="15" t="inlineStr">
        <is>
          <t xml:space="preserve">Gospel Chronology</t>
        </is>
      </c>
      <c r="C11" s="15" t="inlineStr">
        <is>
          <t xml:space="preserve">Bible_Journey_Canon_Map_v0_7_Gospel_Chronology.xlsx</t>
        </is>
      </c>
      <c r="D11" s="15" t="inlineStr">
        <is>
          <t xml:space="preserve">Matthew, Mark, Luke, John</t>
        </is>
      </c>
      <c r="E11" s="15" t="inlineStr">
        <is>
          <t xml:space="preserve">Coverage Index</t>
        </is>
      </c>
      <c r="F11" s="15" t="inlineStr">
        <is>
          <t xml:space="preserve">Four-Gospel event engine</t>
        </is>
      </c>
      <c r="G11" s="15" t="inlineStr">
        <is>
          <t xml:space="preserve">Verse-level coverage QA and harmony policy approval</t>
        </is>
      </c>
      <c r="H11" s="15">
        <f>COUNTIF('Master CRS Ledger'!$A$5:$A$1000,A11)</f>
        <v>90</v>
      </c>
      <c r="I11" s="15">
        <f>COUNTIF('Master Reading Blocks'!$A$5:$A$1500,A11)</f>
        <v>202</v>
      </c>
      <c r="J11" s="15">
        <f>COUNTIF('Master Chapter Coverage'!$G$5:$G$2000,A11)</f>
        <v>89</v>
      </c>
      <c r="K11" s="15">
        <f>COUNTIF('Open Decisions Master'!$A$5:$A$500,A11)</f>
        <v>11</v>
      </c>
      <c r="L11" s="10" t="inlineStr">
        <is>
          <t xml:space="preserve">Imported</t>
        </is>
      </c>
    </row>
    <row r="12" ht="42" customHeight="1">
      <c r="A12" s="15" t="inlineStr">
        <is>
          <t xml:space="preserve">v0.8</t>
        </is>
      </c>
      <c r="B12" s="15" t="inlineStr">
        <is>
          <t xml:space="preserve">Acts and Pauline Letters</t>
        </is>
      </c>
      <c r="C12" s="15" t="inlineStr">
        <is>
          <t xml:space="preserve">Bible_Journey_Canon_Map_v0_8_Acts_Pauline_Letters.xlsx</t>
        </is>
      </c>
      <c r="D12" s="15" t="inlineStr">
        <is>
          <t xml:space="preserve">Acts and 13 Pauline letters</t>
        </is>
      </c>
      <c r="E12" s="15" t="inlineStr">
        <is>
          <t xml:space="preserve">Canon Coverage</t>
        </is>
      </c>
      <c r="F12" s="15" t="inlineStr">
        <is>
          <t xml:space="preserve">Acts narrative + epistolary placements</t>
        </is>
      </c>
      <c r="G12" s="15" t="inlineStr">
        <is>
          <t xml:space="preserve">Acts–letters profiles, prison letters, pastorals, Galatians decision</t>
        </is>
      </c>
      <c r="H12" s="15">
        <f>COUNTIF('Master CRS Ledger'!$A$5:$A$1000,A12)</f>
        <v>40</v>
      </c>
      <c r="I12" s="15">
        <f>COUNTIF('Master Reading Blocks'!$A$5:$A$1500,A12)</f>
        <v>40</v>
      </c>
      <c r="J12" s="15">
        <f>COUNTIF('Master Chapter Coverage'!$G$5:$G$2000,A12)</f>
        <v>115</v>
      </c>
      <c r="K12" s="15">
        <f>COUNTIF('Open Decisions Master'!$A$5:$A$500,A12)</f>
        <v>9</v>
      </c>
      <c r="L12" s="10" t="inlineStr">
        <is>
          <t xml:space="preserve">Imported</t>
        </is>
      </c>
    </row>
    <row r="13" ht="42" customHeight="1">
      <c r="A13" s="15" t="inlineStr">
        <is>
          <t xml:space="preserve">v0.9</t>
        </is>
      </c>
      <c r="B13" s="15" t="inlineStr">
        <is>
          <t xml:space="preserve">General Letters and Revelation</t>
        </is>
      </c>
      <c r="C13" s="15" t="inlineStr">
        <is>
          <t xml:space="preserve">Bible_Journey_Canon_Map_v0_9_General_Letters_Revelation.xlsx</t>
        </is>
      </c>
      <c r="D13" s="15" t="inlineStr">
        <is>
          <t xml:space="preserve">Hebrews, General Letters, Revelation</t>
        </is>
      </c>
      <c r="E13" s="15" t="inlineStr">
        <is>
          <t xml:space="preserve">Canon Coverage</t>
        </is>
      </c>
      <c r="F13" s="15" t="inlineStr">
        <is>
          <t xml:space="preserve">Canonical fallback and apocalyptic literary flow</t>
        </is>
      </c>
      <c r="G13" s="15" t="inlineStr">
        <is>
          <t xml:space="preserve">General-letter chronology disclosure and Revelation interpretation policy</t>
        </is>
      </c>
      <c r="H13" s="15">
        <f>COUNTIF('Master CRS Ledger'!$A$5:$A$1000,A13)</f>
        <v>25</v>
      </c>
      <c r="I13" s="15">
        <f>COUNTIF('Master Reading Blocks'!$A$5:$A$1500,A13)</f>
        <v>25</v>
      </c>
      <c r="J13" s="15">
        <f>COUNTIF('Master Chapter Coverage'!$G$5:$G$2000,A13)</f>
        <v>56</v>
      </c>
      <c r="K13" s="15">
        <f>COUNTIF('Open Decisions Master'!$A$5:$A$500,A13)</f>
        <v>9</v>
      </c>
      <c r="L13" s="10" t="inlineStr">
        <is>
          <t xml:space="preserve">Imported</t>
        </is>
      </c>
    </row>
  </sheetData>
  <autoFilter ref="A4:L13"/>
  <mergeCells count="2">
    <mergeCell ref="A1:L1"/>
    <mergeCell ref="A2:L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W518"/>
  <sheetViews>
    <sheetView workbookViewId="0">
      <pane ySplit="4" topLeftCell="A5" activePane="bottomLeft" state="frozen"/>
      <selection pane="bottomLeft" activeCell="A5" sqref="A5"/>
    </sheetView>
  </sheetViews>
  <cols>
    <col min="1" max="1" width="12" customWidth="1"/>
    <col min="2" max="2" width="50" customWidth="1"/>
    <col min="3" max="3" width="22" customWidth="1"/>
    <col min="4" max="4" width="14" customWidth="1"/>
    <col min="5" max="5" width="14" customWidth="1"/>
    <col min="6" max="6" width="24" customWidth="1"/>
    <col min="7" max="7" width="34" customWidth="1"/>
    <col min="8" max="8" width="32" customWidth="1"/>
    <col min="9" max="9" width="48" customWidth="1"/>
    <col min="10" max="10" width="34" customWidth="1"/>
    <col min="11" max="11" width="18" customWidth="1"/>
    <col min="12" max="12" width="20" customWidth="1"/>
    <col min="13" max="13" width="34" customWidth="1"/>
    <col min="14" max="14" width="50" customWidth="1"/>
    <col min="15" max="15" width="50" customWidth="1"/>
    <col min="16" max="16" width="26" customWidth="1"/>
    <col min="17" max="17" width="34" customWidth="1"/>
    <col min="18" max="18" width="34" customWidth="1"/>
    <col min="19" max="19" width="24" customWidth="1"/>
    <col min="20" max="20" width="20" customWidth="1"/>
    <col min="21" max="21" width="24" customWidth="1"/>
    <col min="22" max="22" width="18" customWidth="1"/>
    <col min="23" max="23" width="72" customWidth="1"/>
  </cols>
  <sheetData>
    <row r="1" ht="30" customHeight="1">
      <c r="A1" s="1" t="inlineStr">
        <is>
          <t xml:space="preserve">MASTER CRS LEDGER</t>
        </is>
      </c>
    </row>
    <row r="2" ht="30" customHeight="1">
      <c r="A2" s="2" t="inlineStr">
        <is>
          <t xml:space="preserve">Normalized CRS inventory from Canon Maps v0.1–v0.9. Source-map order is preserved; this is not yet the final user-facing global stream order.</t>
        </is>
      </c>
    </row>
    <row r="4">
      <c r="A4" s="3" t="inlineStr">
        <is>
          <t xml:space="preserve">Map Version</t>
        </is>
      </c>
      <c r="B4" s="3" t="inlineStr">
        <is>
          <t xml:space="preserve">Source Workbook</t>
        </is>
      </c>
      <c r="C4" s="3" t="inlineStr">
        <is>
          <t xml:space="preserve">Local CRS ID</t>
        </is>
      </c>
      <c r="D4" s="3" t="inlineStr">
        <is>
          <t xml:space="preserve">Local Order</t>
        </is>
      </c>
      <c r="E4" s="3" t="inlineStr">
        <is>
          <t xml:space="preserve">Map Sequence</t>
        </is>
      </c>
      <c r="F4" s="3" t="inlineStr">
        <is>
          <t xml:space="preserve">Scope / Book</t>
        </is>
      </c>
      <c r="G4" s="3" t="inlineStr">
        <is>
          <t xml:space="preserve">Era / Window</t>
        </is>
      </c>
      <c r="H4" s="3" t="inlineStr">
        <is>
          <t xml:space="preserve">Section / Act / Anchor</t>
        </is>
      </c>
      <c r="I4" s="3" t="inlineStr">
        <is>
          <t xml:space="preserve">Reading Set Title</t>
        </is>
      </c>
      <c r="J4" s="3" t="inlineStr">
        <is>
          <t xml:space="preserve">Primary / Required Scripture</t>
        </is>
      </c>
      <c r="K4" s="3" t="inlineStr">
        <is>
          <t xml:space="preserve">Event Confidence</t>
        </is>
      </c>
      <c r="L4" s="3" t="inlineStr">
        <is>
          <t xml:space="preserve">Placement Confidence</t>
        </is>
      </c>
      <c r="M4" s="3" t="inlineStr">
        <is>
          <t xml:space="preserve">Integration / Disposition</t>
        </is>
      </c>
      <c r="N4" s="3" t="inlineStr">
        <is>
          <t xml:space="preserve">Complete Reading Rule</t>
        </is>
      </c>
      <c r="O4" s="3" t="inlineStr">
        <is>
          <t xml:space="preserve">Narrative Flow Rule</t>
        </is>
      </c>
      <c r="P4" s="3" t="inlineStr">
        <is>
          <t xml:space="preserve">Compare / Group</t>
        </is>
      </c>
      <c r="Q4" s="3" t="inlineStr">
        <is>
          <t xml:space="preserve">Journey Link / Tags</t>
        </is>
      </c>
      <c r="R4" s="3" t="inlineStr">
        <is>
          <t xml:space="preserve">Cross-Map Anchor</t>
        </is>
      </c>
      <c r="S4" s="3" t="inlineStr">
        <is>
          <t xml:space="preserve">Source Keys</t>
        </is>
      </c>
      <c r="T4" s="3" t="inlineStr">
        <is>
          <t xml:space="preserve">Research Owner</t>
        </is>
      </c>
      <c r="U4" s="3" t="inlineStr">
        <is>
          <t xml:space="preserve">QA / Review Status</t>
        </is>
      </c>
      <c r="V4" s="3" t="inlineStr">
        <is>
          <t xml:space="preserve">Open Decision Flag</t>
        </is>
      </c>
      <c r="W4" s="3" t="inlineStr">
        <is>
          <t xml:space="preserve">Editorial Note</t>
        </is>
      </c>
    </row>
    <row r="5" ht="34" customHeight="1">
      <c r="A5" s="15" t="inlineStr">
        <is>
          <t xml:space="preserve">v0.1</t>
        </is>
      </c>
      <c r="B5" s="15" t="inlineStr">
        <is>
          <t xml:space="preserve">Bible_Journey_Canon_Map_v0_1_Genesis_to_2Samuel.xlsx</t>
        </is>
      </c>
      <c r="C5" s="15" t="inlineStr">
        <is>
          <t xml:space="preserve">CRS-GEN-001</t>
        </is>
      </c>
      <c r="D5" s="15">
        <v>10</v>
      </c>
      <c r="E5" s="15">
        <v>1</v>
      </c>
      <c r="F5" s="15" t="inlineStr">
        <is>
          <t xml:space="preserve">Genesis</t>
        </is>
      </c>
      <c r="G5" s="15" t="inlineStr">
        <is>
          <t xml:space="preserve">Primeval History</t>
        </is>
      </c>
      <c r="H5" s="15" t="inlineStr">
        <is>
          <t xml:space="preserve">Origins</t>
        </is>
      </c>
      <c r="I5" s="15" t="inlineStr">
        <is>
          <t xml:space="preserve">Creation, garden, and fall</t>
        </is>
      </c>
      <c r="J5" s="15" t="inlineStr">
        <is>
          <t xml:space="preserve">Genesis 1-3</t>
        </is>
      </c>
      <c r="K5" s="15" t="inlineStr">
        <is>
          <t xml:space="preserve">High</t>
        </is>
      </c>
      <c r="L5" s="15" t="inlineStr">
        <is>
          <t xml:space="preserve">High</t>
        </is>
      </c>
      <c r="M5" s="15"/>
      <c r="N5" s="15" t="inlineStr">
        <is>
          <t xml:space="preserve">Read the assigned main-spine block in full.</t>
        </is>
      </c>
      <c r="O5" s="15" t="inlineStr">
        <is>
          <t xml:space="preserve">Read primary block; continue to next chronological set.</t>
        </is>
      </c>
      <c r="P5" s="15" t="inlineStr">
        <is>
          <t xml:space="preserve">No</t>
        </is>
      </c>
      <c r="Q5" s="15" t="inlineStr">
        <is>
          <t xml:space="preserve">Creation &amp; Covenant</t>
        </is>
      </c>
      <c r="R5" s="15"/>
      <c r="S5" s="15" t="inlineStr">
        <is>
          <t xml:space="preserve">SRC-TEXT-TORAH; SRC-TORAH-OVERVIEW</t>
        </is>
      </c>
      <c r="T5" s="15" t="inlineStr">
        <is>
          <t xml:space="preserve">Editorial</t>
        </is>
      </c>
      <c r="U5" s="11" t="inlineStr">
        <is>
          <t xml:space="preserve">Needs Review</t>
        </is>
      </c>
      <c r="V5" s="13" t="inlineStr">
        <is>
          <t xml:space="preserve">Draft</t>
        </is>
      </c>
      <c r="W5" s="15" t="inlineStr">
        <is>
          <t xml:space="preserve">Chapter-level v0.1 grouping. Future verse-level mapping can split Genesis 2:1-3 from 2:4 onward.</t>
        </is>
      </c>
    </row>
    <row r="6" ht="34" customHeight="1">
      <c r="A6" s="15" t="inlineStr">
        <is>
          <t xml:space="preserve">v0.1</t>
        </is>
      </c>
      <c r="B6" s="15" t="inlineStr">
        <is>
          <t xml:space="preserve">Bible_Journey_Canon_Map_v0_1_Genesis_to_2Samuel.xlsx</t>
        </is>
      </c>
      <c r="C6" s="15" t="inlineStr">
        <is>
          <t xml:space="preserve">CRS-GEN-002</t>
        </is>
      </c>
      <c r="D6" s="15">
        <v>20</v>
      </c>
      <c r="E6" s="15">
        <v>1</v>
      </c>
      <c r="F6" s="15" t="inlineStr">
        <is>
          <t xml:space="preserve">Genesis</t>
        </is>
      </c>
      <c r="G6" s="15" t="inlineStr">
        <is>
          <t xml:space="preserve">Primeval History</t>
        </is>
      </c>
      <c r="H6" s="15" t="inlineStr">
        <is>
          <t xml:space="preserve">Origins</t>
        </is>
      </c>
      <c r="I6" s="15" t="inlineStr">
        <is>
          <t xml:space="preserve">Cain, Seth, and the pre-flood line</t>
        </is>
      </c>
      <c r="J6" s="15" t="inlineStr">
        <is>
          <t xml:space="preserve">Genesis 4-5</t>
        </is>
      </c>
      <c r="K6" s="15" t="inlineStr">
        <is>
          <t xml:space="preserve">High</t>
        </is>
      </c>
      <c r="L6" s="15" t="inlineStr">
        <is>
          <t xml:space="preserve">High</t>
        </is>
      </c>
      <c r="M6" s="15"/>
      <c r="N6" s="15" t="inlineStr">
        <is>
          <t xml:space="preserve">Read the assigned main-spine block in full.</t>
        </is>
      </c>
      <c r="O6" s="15" t="inlineStr">
        <is>
          <t xml:space="preserve">Read primary block; continue to next chronological set.</t>
        </is>
      </c>
      <c r="P6" s="15" t="inlineStr">
        <is>
          <t xml:space="preserve">No</t>
        </is>
      </c>
      <c r="Q6" s="15" t="inlineStr">
        <is>
          <t xml:space="preserve">Creation &amp; Covenant</t>
        </is>
      </c>
      <c r="R6" s="15"/>
      <c r="S6" s="15" t="inlineStr">
        <is>
          <t xml:space="preserve">SRC-TEXT-TORAH; SRC-TORAH-OVERVIEW</t>
        </is>
      </c>
      <c r="T6" s="15" t="inlineStr">
        <is>
          <t xml:space="preserve">Editorial</t>
        </is>
      </c>
      <c r="U6" s="11" t="inlineStr">
        <is>
          <t xml:space="preserve">Needs Review</t>
        </is>
      </c>
      <c r="V6" s="13" t="inlineStr">
        <is>
          <t xml:space="preserve">Draft</t>
        </is>
      </c>
      <c r="W6" s="15"/>
    </row>
    <row r="7" ht="34" customHeight="1">
      <c r="A7" s="15" t="inlineStr">
        <is>
          <t xml:space="preserve">v0.1</t>
        </is>
      </c>
      <c r="B7" s="15" t="inlineStr">
        <is>
          <t xml:space="preserve">Bible_Journey_Canon_Map_v0_1_Genesis_to_2Samuel.xlsx</t>
        </is>
      </c>
      <c r="C7" s="15" t="inlineStr">
        <is>
          <t xml:space="preserve">CRS-GEN-003</t>
        </is>
      </c>
      <c r="D7" s="15">
        <v>30</v>
      </c>
      <c r="E7" s="15">
        <v>1</v>
      </c>
      <c r="F7" s="15" t="inlineStr">
        <is>
          <t xml:space="preserve">Genesis</t>
        </is>
      </c>
      <c r="G7" s="15" t="inlineStr">
        <is>
          <t xml:space="preserve">Primeval History</t>
        </is>
      </c>
      <c r="H7" s="15" t="inlineStr">
        <is>
          <t xml:space="preserve">Flood</t>
        </is>
      </c>
      <c r="I7" s="15" t="inlineStr">
        <is>
          <t xml:space="preserve">The flood and Noahic covenant</t>
        </is>
      </c>
      <c r="J7" s="15" t="inlineStr">
        <is>
          <t xml:space="preserve">Genesis 6-9</t>
        </is>
      </c>
      <c r="K7" s="15" t="inlineStr">
        <is>
          <t xml:space="preserve">High</t>
        </is>
      </c>
      <c r="L7" s="15" t="inlineStr">
        <is>
          <t xml:space="preserve">High</t>
        </is>
      </c>
      <c r="M7" s="15"/>
      <c r="N7" s="15" t="inlineStr">
        <is>
          <t xml:space="preserve">Read the assigned main-spine block in full.</t>
        </is>
      </c>
      <c r="O7" s="15" t="inlineStr">
        <is>
          <t xml:space="preserve">Read primary block; continue to next chronological set.</t>
        </is>
      </c>
      <c r="P7" s="15" t="inlineStr">
        <is>
          <t xml:space="preserve">No</t>
        </is>
      </c>
      <c r="Q7" s="15" t="inlineStr">
        <is>
          <t xml:space="preserve">Creation &amp; Covenant</t>
        </is>
      </c>
      <c r="R7" s="15"/>
      <c r="S7" s="15" t="inlineStr">
        <is>
          <t xml:space="preserve">SRC-TEXT-TORAH; SRC-TORAH-OVERVIEW</t>
        </is>
      </c>
      <c r="T7" s="15" t="inlineStr">
        <is>
          <t xml:space="preserve">Editorial</t>
        </is>
      </c>
      <c r="U7" s="11" t="inlineStr">
        <is>
          <t xml:space="preserve">Needs Review</t>
        </is>
      </c>
      <c r="V7" s="13" t="inlineStr">
        <is>
          <t xml:space="preserve">Draft</t>
        </is>
      </c>
      <c r="W7" s="15"/>
    </row>
    <row r="8" ht="34" customHeight="1">
      <c r="A8" s="15" t="inlineStr">
        <is>
          <t xml:space="preserve">v0.1</t>
        </is>
      </c>
      <c r="B8" s="15" t="inlineStr">
        <is>
          <t xml:space="preserve">Bible_Journey_Canon_Map_v0_1_Genesis_to_2Samuel.xlsx</t>
        </is>
      </c>
      <c r="C8" s="15" t="inlineStr">
        <is>
          <t xml:space="preserve">CRS-GEN-004</t>
        </is>
      </c>
      <c r="D8" s="15">
        <v>40</v>
      </c>
      <c r="E8" s="15">
        <v>1</v>
      </c>
      <c r="F8" s="15" t="inlineStr">
        <is>
          <t xml:space="preserve">Genesis</t>
        </is>
      </c>
      <c r="G8" s="15" t="inlineStr">
        <is>
          <t xml:space="preserve">Primeval History</t>
        </is>
      </c>
      <c r="H8" s="15" t="inlineStr">
        <is>
          <t xml:space="preserve">Nations and Babel</t>
        </is>
      </c>
      <c r="I8" s="15" t="inlineStr">
        <is>
          <t xml:space="preserve">Nations and the tower of Babel</t>
        </is>
      </c>
      <c r="J8" s="15" t="inlineStr">
        <is>
          <t xml:space="preserve">Genesis 10-11</t>
        </is>
      </c>
      <c r="K8" s="15" t="inlineStr">
        <is>
          <t xml:space="preserve">High</t>
        </is>
      </c>
      <c r="L8" s="15" t="inlineStr">
        <is>
          <t xml:space="preserve">High</t>
        </is>
      </c>
      <c r="M8" s="15"/>
      <c r="N8" s="15" t="inlineStr">
        <is>
          <t xml:space="preserve">Read the assigned main-spine block in full.</t>
        </is>
      </c>
      <c r="O8" s="15" t="inlineStr">
        <is>
          <t xml:space="preserve">Read primary block; continue to next chronological set.</t>
        </is>
      </c>
      <c r="P8" s="15" t="inlineStr">
        <is>
          <t xml:space="preserve">No</t>
        </is>
      </c>
      <c r="Q8" s="15" t="inlineStr">
        <is>
          <t xml:space="preserve">Creation &amp; Covenant</t>
        </is>
      </c>
      <c r="R8" s="15"/>
      <c r="S8" s="15" t="inlineStr">
        <is>
          <t xml:space="preserve">SRC-TEXT-TORAH; SRC-TORAH-OVERVIEW</t>
        </is>
      </c>
      <c r="T8" s="15" t="inlineStr">
        <is>
          <t xml:space="preserve">Editorial</t>
        </is>
      </c>
      <c r="U8" s="11" t="inlineStr">
        <is>
          <t xml:space="preserve">Needs Review</t>
        </is>
      </c>
      <c r="V8" s="13" t="inlineStr">
        <is>
          <t xml:space="preserve">Draft</t>
        </is>
      </c>
      <c r="W8" s="15"/>
    </row>
    <row r="9" ht="34" customHeight="1">
      <c r="A9" s="15" t="inlineStr">
        <is>
          <t xml:space="preserve">v0.1</t>
        </is>
      </c>
      <c r="B9" s="15" t="inlineStr">
        <is>
          <t xml:space="preserve">Bible_Journey_Canon_Map_v0_1_Genesis_to_2Samuel.xlsx</t>
        </is>
      </c>
      <c r="C9" s="15" t="inlineStr">
        <is>
          <t xml:space="preserve">CRS-GEN-005</t>
        </is>
      </c>
      <c r="D9" s="15">
        <v>50</v>
      </c>
      <c r="E9" s="15">
        <v>1</v>
      </c>
      <c r="F9" s="15" t="inlineStr">
        <is>
          <t xml:space="preserve">Genesis</t>
        </is>
      </c>
      <c r="G9" s="15" t="inlineStr">
        <is>
          <t xml:space="preserve">Patriarchs</t>
        </is>
      </c>
      <c r="H9" s="15" t="inlineStr">
        <is>
          <t xml:space="preserve">Abraham</t>
        </is>
      </c>
      <c r="I9" s="15" t="inlineStr">
        <is>
          <t xml:space="preserve">Abram's call, separation, and rescue of Lot</t>
        </is>
      </c>
      <c r="J9" s="15" t="inlineStr">
        <is>
          <t xml:space="preserve">Genesis 12-14</t>
        </is>
      </c>
      <c r="K9" s="15" t="inlineStr">
        <is>
          <t xml:space="preserve">High</t>
        </is>
      </c>
      <c r="L9" s="15" t="inlineStr">
        <is>
          <t xml:space="preserve">High</t>
        </is>
      </c>
      <c r="M9" s="15"/>
      <c r="N9" s="15" t="inlineStr">
        <is>
          <t xml:space="preserve">Read the assigned main-spine block in full.</t>
        </is>
      </c>
      <c r="O9" s="15" t="inlineStr">
        <is>
          <t xml:space="preserve">Read primary block; continue to next chronological set.</t>
        </is>
      </c>
      <c r="P9" s="15" t="inlineStr">
        <is>
          <t xml:space="preserve">No</t>
        </is>
      </c>
      <c r="Q9" s="15" t="inlineStr">
        <is>
          <t xml:space="preserve">Abraham</t>
        </is>
      </c>
      <c r="R9" s="15"/>
      <c r="S9" s="15" t="inlineStr">
        <is>
          <t xml:space="preserve">SRC-TEXT-TORAH; SRC-TORAH-OVERVIEW</t>
        </is>
      </c>
      <c r="T9" s="15" t="inlineStr">
        <is>
          <t xml:space="preserve">Editorial</t>
        </is>
      </c>
      <c r="U9" s="11" t="inlineStr">
        <is>
          <t xml:space="preserve">Needs Review</t>
        </is>
      </c>
      <c r="V9" s="13" t="inlineStr">
        <is>
          <t xml:space="preserve">Draft</t>
        </is>
      </c>
      <c r="W9" s="15"/>
    </row>
    <row r="10" ht="34" customHeight="1">
      <c r="A10" s="15" t="inlineStr">
        <is>
          <t xml:space="preserve">v0.1</t>
        </is>
      </c>
      <c r="B10" s="15" t="inlineStr">
        <is>
          <t xml:space="preserve">Bible_Journey_Canon_Map_v0_1_Genesis_to_2Samuel.xlsx</t>
        </is>
      </c>
      <c r="C10" s="15" t="inlineStr">
        <is>
          <t xml:space="preserve">CRS-GEN-006</t>
        </is>
      </c>
      <c r="D10" s="15">
        <v>60</v>
      </c>
      <c r="E10" s="15">
        <v>1</v>
      </c>
      <c r="F10" s="15" t="inlineStr">
        <is>
          <t xml:space="preserve">Genesis</t>
        </is>
      </c>
      <c r="G10" s="15" t="inlineStr">
        <is>
          <t xml:space="preserve">Patriarchs</t>
        </is>
      </c>
      <c r="H10" s="15" t="inlineStr">
        <is>
          <t xml:space="preserve">Abraham</t>
        </is>
      </c>
      <c r="I10" s="15" t="inlineStr">
        <is>
          <t xml:space="preserve">Covenant, Hagar, and the promised son</t>
        </is>
      </c>
      <c r="J10" s="15" t="inlineStr">
        <is>
          <t xml:space="preserve">Genesis 15-17</t>
        </is>
      </c>
      <c r="K10" s="15" t="inlineStr">
        <is>
          <t xml:space="preserve">High</t>
        </is>
      </c>
      <c r="L10" s="15" t="inlineStr">
        <is>
          <t xml:space="preserve">High</t>
        </is>
      </c>
      <c r="M10" s="15"/>
      <c r="N10" s="15" t="inlineStr">
        <is>
          <t xml:space="preserve">Read the assigned main-spine block in full.</t>
        </is>
      </c>
      <c r="O10" s="15" t="inlineStr">
        <is>
          <t xml:space="preserve">Read primary block; continue to next chronological set.</t>
        </is>
      </c>
      <c r="P10" s="15" t="inlineStr">
        <is>
          <t xml:space="preserve">No</t>
        </is>
      </c>
      <c r="Q10" s="15" t="inlineStr">
        <is>
          <t xml:space="preserve">Abraham</t>
        </is>
      </c>
      <c r="R10" s="15"/>
      <c r="S10" s="15" t="inlineStr">
        <is>
          <t xml:space="preserve">SRC-TEXT-TORAH; SRC-TORAH-OVERVIEW</t>
        </is>
      </c>
      <c r="T10" s="15" t="inlineStr">
        <is>
          <t xml:space="preserve">Editorial</t>
        </is>
      </c>
      <c r="U10" s="11" t="inlineStr">
        <is>
          <t xml:space="preserve">Needs Review</t>
        </is>
      </c>
      <c r="V10" s="13" t="inlineStr">
        <is>
          <t xml:space="preserve">Draft</t>
        </is>
      </c>
      <c r="W10" s="15"/>
    </row>
    <row r="11" ht="34" customHeight="1">
      <c r="A11" s="15" t="inlineStr">
        <is>
          <t xml:space="preserve">v0.1</t>
        </is>
      </c>
      <c r="B11" s="15" t="inlineStr">
        <is>
          <t xml:space="preserve">Bible_Journey_Canon_Map_v0_1_Genesis_to_2Samuel.xlsx</t>
        </is>
      </c>
      <c r="C11" s="15" t="inlineStr">
        <is>
          <t xml:space="preserve">CRS-GEN-007</t>
        </is>
      </c>
      <c r="D11" s="15">
        <v>70</v>
      </c>
      <c r="E11" s="15">
        <v>1</v>
      </c>
      <c r="F11" s="15" t="inlineStr">
        <is>
          <t xml:space="preserve">Genesis</t>
        </is>
      </c>
      <c r="G11" s="15" t="inlineStr">
        <is>
          <t xml:space="preserve">Patriarchs</t>
        </is>
      </c>
      <c r="H11" s="15" t="inlineStr">
        <is>
          <t xml:space="preserve">Abraham</t>
        </is>
      </c>
      <c r="I11" s="15" t="inlineStr">
        <is>
          <t xml:space="preserve">Sodom, Gomorrah, and Lot's escape</t>
        </is>
      </c>
      <c r="J11" s="15" t="inlineStr">
        <is>
          <t xml:space="preserve">Genesis 18-19</t>
        </is>
      </c>
      <c r="K11" s="15" t="inlineStr">
        <is>
          <t xml:space="preserve">High</t>
        </is>
      </c>
      <c r="L11" s="15" t="inlineStr">
        <is>
          <t xml:space="preserve">High</t>
        </is>
      </c>
      <c r="M11" s="15"/>
      <c r="N11" s="15" t="inlineStr">
        <is>
          <t xml:space="preserve">Read the assigned main-spine block in full.</t>
        </is>
      </c>
      <c r="O11" s="15" t="inlineStr">
        <is>
          <t xml:space="preserve">Read primary block; continue to next chronological set.</t>
        </is>
      </c>
      <c r="P11" s="15" t="inlineStr">
        <is>
          <t xml:space="preserve">No</t>
        </is>
      </c>
      <c r="Q11" s="15" t="inlineStr">
        <is>
          <t xml:space="preserve">Abraham</t>
        </is>
      </c>
      <c r="R11" s="15"/>
      <c r="S11" s="15" t="inlineStr">
        <is>
          <t xml:space="preserve">SRC-TEXT-TORAH; SRC-TORAH-OVERVIEW</t>
        </is>
      </c>
      <c r="T11" s="15" t="inlineStr">
        <is>
          <t xml:space="preserve">Editorial</t>
        </is>
      </c>
      <c r="U11" s="11" t="inlineStr">
        <is>
          <t xml:space="preserve">Needs Review</t>
        </is>
      </c>
      <c r="V11" s="13" t="inlineStr">
        <is>
          <t xml:space="preserve">Draft</t>
        </is>
      </c>
      <c r="W11" s="15"/>
    </row>
    <row r="12" ht="34" customHeight="1">
      <c r="A12" s="15" t="inlineStr">
        <is>
          <t xml:space="preserve">v0.1</t>
        </is>
      </c>
      <c r="B12" s="15" t="inlineStr">
        <is>
          <t xml:space="preserve">Bible_Journey_Canon_Map_v0_1_Genesis_to_2Samuel.xlsx</t>
        </is>
      </c>
      <c r="C12" s="15" t="inlineStr">
        <is>
          <t xml:space="preserve">CRS-GEN-008</t>
        </is>
      </c>
      <c r="D12" s="15">
        <v>80</v>
      </c>
      <c r="E12" s="15">
        <v>1</v>
      </c>
      <c r="F12" s="15" t="inlineStr">
        <is>
          <t xml:space="preserve">Genesis</t>
        </is>
      </c>
      <c r="G12" s="15" t="inlineStr">
        <is>
          <t xml:space="preserve">Patriarchs</t>
        </is>
      </c>
      <c r="H12" s="15" t="inlineStr">
        <is>
          <t xml:space="preserve">Abraham</t>
        </is>
      </c>
      <c r="I12" s="15" t="inlineStr">
        <is>
          <t xml:space="preserve">Abimelech, Isaac's birth, and Moriah</t>
        </is>
      </c>
      <c r="J12" s="15" t="inlineStr">
        <is>
          <t xml:space="preserve">Genesis 20-22</t>
        </is>
      </c>
      <c r="K12" s="15" t="inlineStr">
        <is>
          <t xml:space="preserve">High</t>
        </is>
      </c>
      <c r="L12" s="15" t="inlineStr">
        <is>
          <t xml:space="preserve">High</t>
        </is>
      </c>
      <c r="M12" s="15"/>
      <c r="N12" s="15" t="inlineStr">
        <is>
          <t xml:space="preserve">Read the assigned main-spine block in full.</t>
        </is>
      </c>
      <c r="O12" s="15" t="inlineStr">
        <is>
          <t xml:space="preserve">Read primary block; continue to next chronological set.</t>
        </is>
      </c>
      <c r="P12" s="15" t="inlineStr">
        <is>
          <t xml:space="preserve">No</t>
        </is>
      </c>
      <c r="Q12" s="15" t="inlineStr">
        <is>
          <t xml:space="preserve">Abraham</t>
        </is>
      </c>
      <c r="R12" s="15"/>
      <c r="S12" s="15" t="inlineStr">
        <is>
          <t xml:space="preserve">SRC-TEXT-TORAH; SRC-TORAH-OVERVIEW</t>
        </is>
      </c>
      <c r="T12" s="15" t="inlineStr">
        <is>
          <t xml:space="preserve">Editorial</t>
        </is>
      </c>
      <c r="U12" s="11" t="inlineStr">
        <is>
          <t xml:space="preserve">Needs Review</t>
        </is>
      </c>
      <c r="V12" s="13" t="inlineStr">
        <is>
          <t xml:space="preserve">Draft</t>
        </is>
      </c>
      <c r="W12" s="15"/>
    </row>
    <row r="13" ht="34" customHeight="1">
      <c r="A13" s="15" t="inlineStr">
        <is>
          <t xml:space="preserve">v0.1</t>
        </is>
      </c>
      <c r="B13" s="15" t="inlineStr">
        <is>
          <t xml:space="preserve">Bible_Journey_Canon_Map_v0_1_Genesis_to_2Samuel.xlsx</t>
        </is>
      </c>
      <c r="C13" s="15" t="inlineStr">
        <is>
          <t xml:space="preserve">CRS-GEN-009</t>
        </is>
      </c>
      <c r="D13" s="15">
        <v>90</v>
      </c>
      <c r="E13" s="15">
        <v>1</v>
      </c>
      <c r="F13" s="15" t="inlineStr">
        <is>
          <t xml:space="preserve">Genesis</t>
        </is>
      </c>
      <c r="G13" s="15" t="inlineStr">
        <is>
          <t xml:space="preserve">Patriarchs</t>
        </is>
      </c>
      <c r="H13" s="15" t="inlineStr">
        <is>
          <t xml:space="preserve">Transition to Isaac</t>
        </is>
      </c>
      <c r="I13" s="15" t="inlineStr">
        <is>
          <t xml:space="preserve">Sarah's burial, Rebekah, and Abraham's final years</t>
        </is>
      </c>
      <c r="J13" s="15" t="inlineStr">
        <is>
          <t xml:space="preserve">Genesis 23-25</t>
        </is>
      </c>
      <c r="K13" s="15" t="inlineStr">
        <is>
          <t xml:space="preserve">High</t>
        </is>
      </c>
      <c r="L13" s="15" t="inlineStr">
        <is>
          <t xml:space="preserve">High</t>
        </is>
      </c>
      <c r="M13" s="15"/>
      <c r="N13" s="15" t="inlineStr">
        <is>
          <t xml:space="preserve">Read the assigned main-spine block in full.</t>
        </is>
      </c>
      <c r="O13" s="15" t="inlineStr">
        <is>
          <t xml:space="preserve">Read primary block; continue to next chronological set.</t>
        </is>
      </c>
      <c r="P13" s="15" t="inlineStr">
        <is>
          <t xml:space="preserve">No</t>
        </is>
      </c>
      <c r="Q13" s="15" t="inlineStr">
        <is>
          <t xml:space="preserve">Abraham; Isaac</t>
        </is>
      </c>
      <c r="R13" s="15"/>
      <c r="S13" s="15" t="inlineStr">
        <is>
          <t xml:space="preserve">SRC-TEXT-TORAH; SRC-TORAH-OVERVIEW</t>
        </is>
      </c>
      <c r="T13" s="15" t="inlineStr">
        <is>
          <t xml:space="preserve">Editorial</t>
        </is>
      </c>
      <c r="U13" s="11" t="inlineStr">
        <is>
          <t xml:space="preserve">Needs Review</t>
        </is>
      </c>
      <c r="V13" s="13" t="inlineStr">
        <is>
          <t xml:space="preserve">Draft</t>
        </is>
      </c>
      <c r="W13" s="15"/>
    </row>
    <row r="14" ht="34" customHeight="1">
      <c r="A14" s="15" t="inlineStr">
        <is>
          <t xml:space="preserve">v0.1</t>
        </is>
      </c>
      <c r="B14" s="15" t="inlineStr">
        <is>
          <t xml:space="preserve">Bible_Journey_Canon_Map_v0_1_Genesis_to_2Samuel.xlsx</t>
        </is>
      </c>
      <c r="C14" s="15" t="inlineStr">
        <is>
          <t xml:space="preserve">CRS-GEN-010</t>
        </is>
      </c>
      <c r="D14" s="15">
        <v>100</v>
      </c>
      <c r="E14" s="15">
        <v>1</v>
      </c>
      <c r="F14" s="15" t="inlineStr">
        <is>
          <t xml:space="preserve">Genesis</t>
        </is>
      </c>
      <c r="G14" s="15" t="inlineStr">
        <is>
          <t xml:space="preserve">Patriarchs</t>
        </is>
      </c>
      <c r="H14" s="15" t="inlineStr">
        <is>
          <t xml:space="preserve">Jacob</t>
        </is>
      </c>
      <c r="I14" s="15" t="inlineStr">
        <is>
          <t xml:space="preserve">Isaac's household and Jacob's departure</t>
        </is>
      </c>
      <c r="J14" s="15" t="inlineStr">
        <is>
          <t xml:space="preserve">Genesis 26-28</t>
        </is>
      </c>
      <c r="K14" s="15" t="inlineStr">
        <is>
          <t xml:space="preserve">High</t>
        </is>
      </c>
      <c r="L14" s="15" t="inlineStr">
        <is>
          <t xml:space="preserve">High</t>
        </is>
      </c>
      <c r="M14" s="15"/>
      <c r="N14" s="15" t="inlineStr">
        <is>
          <t xml:space="preserve">Read the assigned main-spine block in full.</t>
        </is>
      </c>
      <c r="O14" s="15" t="inlineStr">
        <is>
          <t xml:space="preserve">Read primary block; continue to next chronological set.</t>
        </is>
      </c>
      <c r="P14" s="15" t="inlineStr">
        <is>
          <t xml:space="preserve">No</t>
        </is>
      </c>
      <c r="Q14" s="15" t="inlineStr">
        <is>
          <t xml:space="preserve">Jacob</t>
        </is>
      </c>
      <c r="R14" s="15"/>
      <c r="S14" s="15" t="inlineStr">
        <is>
          <t xml:space="preserve">SRC-TEXT-TORAH; SRC-TORAH-OVERVIEW</t>
        </is>
      </c>
      <c r="T14" s="15" t="inlineStr">
        <is>
          <t xml:space="preserve">Editorial</t>
        </is>
      </c>
      <c r="U14" s="11" t="inlineStr">
        <is>
          <t xml:space="preserve">Needs Review</t>
        </is>
      </c>
      <c r="V14" s="13" t="inlineStr">
        <is>
          <t xml:space="preserve">Draft</t>
        </is>
      </c>
      <c r="W14" s="15"/>
    </row>
    <row r="15" ht="34" customHeight="1">
      <c r="A15" s="15" t="inlineStr">
        <is>
          <t xml:space="preserve">v0.1</t>
        </is>
      </c>
      <c r="B15" s="15" t="inlineStr">
        <is>
          <t xml:space="preserve">Bible_Journey_Canon_Map_v0_1_Genesis_to_2Samuel.xlsx</t>
        </is>
      </c>
      <c r="C15" s="15" t="inlineStr">
        <is>
          <t xml:space="preserve">CRS-GEN-011</t>
        </is>
      </c>
      <c r="D15" s="15">
        <v>110</v>
      </c>
      <c r="E15" s="15">
        <v>1</v>
      </c>
      <c r="F15" s="15" t="inlineStr">
        <is>
          <t xml:space="preserve">Genesis</t>
        </is>
      </c>
      <c r="G15" s="15" t="inlineStr">
        <is>
          <t xml:space="preserve">Patriarchs</t>
        </is>
      </c>
      <c r="H15" s="15" t="inlineStr">
        <is>
          <t xml:space="preserve">Jacob</t>
        </is>
      </c>
      <c r="I15" s="15" t="inlineStr">
        <is>
          <t xml:space="preserve">Jacob in Haran</t>
        </is>
      </c>
      <c r="J15" s="15" t="inlineStr">
        <is>
          <t xml:space="preserve">Genesis 29-31</t>
        </is>
      </c>
      <c r="K15" s="15" t="inlineStr">
        <is>
          <t xml:space="preserve">High</t>
        </is>
      </c>
      <c r="L15" s="15" t="inlineStr">
        <is>
          <t xml:space="preserve">High</t>
        </is>
      </c>
      <c r="M15" s="15"/>
      <c r="N15" s="15" t="inlineStr">
        <is>
          <t xml:space="preserve">Read the assigned main-spine block in full.</t>
        </is>
      </c>
      <c r="O15" s="15" t="inlineStr">
        <is>
          <t xml:space="preserve">Read primary block; continue to next chronological set.</t>
        </is>
      </c>
      <c r="P15" s="15" t="inlineStr">
        <is>
          <t xml:space="preserve">No</t>
        </is>
      </c>
      <c r="Q15" s="15" t="inlineStr">
        <is>
          <t xml:space="preserve">Jacob</t>
        </is>
      </c>
      <c r="R15" s="15"/>
      <c r="S15" s="15" t="inlineStr">
        <is>
          <t xml:space="preserve">SRC-TEXT-TORAH; SRC-TORAH-OVERVIEW</t>
        </is>
      </c>
      <c r="T15" s="15" t="inlineStr">
        <is>
          <t xml:space="preserve">Editorial</t>
        </is>
      </c>
      <c r="U15" s="11" t="inlineStr">
        <is>
          <t xml:space="preserve">Needs Review</t>
        </is>
      </c>
      <c r="V15" s="13" t="inlineStr">
        <is>
          <t xml:space="preserve">Draft</t>
        </is>
      </c>
      <c r="W15" s="15"/>
    </row>
    <row r="16" ht="34" customHeight="1">
      <c r="A16" s="15" t="inlineStr">
        <is>
          <t xml:space="preserve">v0.1</t>
        </is>
      </c>
      <c r="B16" s="15" t="inlineStr">
        <is>
          <t xml:space="preserve">Bible_Journey_Canon_Map_v0_1_Genesis_to_2Samuel.xlsx</t>
        </is>
      </c>
      <c r="C16" s="15" t="inlineStr">
        <is>
          <t xml:space="preserve">CRS-GEN-012</t>
        </is>
      </c>
      <c r="D16" s="15">
        <v>120</v>
      </c>
      <c r="E16" s="15">
        <v>1</v>
      </c>
      <c r="F16" s="15" t="inlineStr">
        <is>
          <t xml:space="preserve">Genesis</t>
        </is>
      </c>
      <c r="G16" s="15" t="inlineStr">
        <is>
          <t xml:space="preserve">Patriarchs</t>
        </is>
      </c>
      <c r="H16" s="15" t="inlineStr">
        <is>
          <t xml:space="preserve">Jacob</t>
        </is>
      </c>
      <c r="I16" s="15" t="inlineStr">
        <is>
          <t xml:space="preserve">Jacob returns and is reconciled with Esau</t>
        </is>
      </c>
      <c r="J16" s="15" t="inlineStr">
        <is>
          <t xml:space="preserve">Genesis 32-33</t>
        </is>
      </c>
      <c r="K16" s="15" t="inlineStr">
        <is>
          <t xml:space="preserve">High</t>
        </is>
      </c>
      <c r="L16" s="15" t="inlineStr">
        <is>
          <t xml:space="preserve">High</t>
        </is>
      </c>
      <c r="M16" s="15"/>
      <c r="N16" s="15" t="inlineStr">
        <is>
          <t xml:space="preserve">Read the assigned main-spine block in full.</t>
        </is>
      </c>
      <c r="O16" s="15" t="inlineStr">
        <is>
          <t xml:space="preserve">Read primary block; continue to next chronological set.</t>
        </is>
      </c>
      <c r="P16" s="15" t="inlineStr">
        <is>
          <t xml:space="preserve">No</t>
        </is>
      </c>
      <c r="Q16" s="15" t="inlineStr">
        <is>
          <t xml:space="preserve">Jacob</t>
        </is>
      </c>
      <c r="R16" s="15"/>
      <c r="S16" s="15" t="inlineStr">
        <is>
          <t xml:space="preserve">SRC-TEXT-TORAH; SRC-TORAH-OVERVIEW</t>
        </is>
      </c>
      <c r="T16" s="15" t="inlineStr">
        <is>
          <t xml:space="preserve">Editorial</t>
        </is>
      </c>
      <c r="U16" s="11" t="inlineStr">
        <is>
          <t xml:space="preserve">Needs Review</t>
        </is>
      </c>
      <c r="V16" s="13" t="inlineStr">
        <is>
          <t xml:space="preserve">Draft</t>
        </is>
      </c>
      <c r="W16" s="15"/>
    </row>
    <row r="17" ht="34" customHeight="1">
      <c r="A17" s="15" t="inlineStr">
        <is>
          <t xml:space="preserve">v0.1</t>
        </is>
      </c>
      <c r="B17" s="15" t="inlineStr">
        <is>
          <t xml:space="preserve">Bible_Journey_Canon_Map_v0_1_Genesis_to_2Samuel.xlsx</t>
        </is>
      </c>
      <c r="C17" s="15" t="inlineStr">
        <is>
          <t xml:space="preserve">CRS-GEN-013</t>
        </is>
      </c>
      <c r="D17" s="15">
        <v>130</v>
      </c>
      <c r="E17" s="15">
        <v>1</v>
      </c>
      <c r="F17" s="15" t="inlineStr">
        <is>
          <t xml:space="preserve">Genesis</t>
        </is>
      </c>
      <c r="G17" s="15" t="inlineStr">
        <is>
          <t xml:space="preserve">Patriarchs</t>
        </is>
      </c>
      <c r="H17" s="15" t="inlineStr">
        <is>
          <t xml:space="preserve">Jacob</t>
        </is>
      </c>
      <c r="I17" s="15" t="inlineStr">
        <is>
          <t xml:space="preserve">Dinah, Bethel, and Esau's line</t>
        </is>
      </c>
      <c r="J17" s="15" t="inlineStr">
        <is>
          <t xml:space="preserve">Genesis 34-36</t>
        </is>
      </c>
      <c r="K17" s="15" t="inlineStr">
        <is>
          <t xml:space="preserve">High</t>
        </is>
      </c>
      <c r="L17" s="15" t="inlineStr">
        <is>
          <t xml:space="preserve">High</t>
        </is>
      </c>
      <c r="M17" s="15"/>
      <c r="N17" s="15" t="inlineStr">
        <is>
          <t xml:space="preserve">Read the assigned main-spine block in full.</t>
        </is>
      </c>
      <c r="O17" s="15" t="inlineStr">
        <is>
          <t xml:space="preserve">Read primary block; continue to next chronological set.</t>
        </is>
      </c>
      <c r="P17" s="15" t="inlineStr">
        <is>
          <t xml:space="preserve">No</t>
        </is>
      </c>
      <c r="Q17" s="15" t="inlineStr">
        <is>
          <t xml:space="preserve">Jacob</t>
        </is>
      </c>
      <c r="R17" s="15"/>
      <c r="S17" s="15" t="inlineStr">
        <is>
          <t xml:space="preserve">SRC-TEXT-TORAH; SRC-TORAH-OVERVIEW</t>
        </is>
      </c>
      <c r="T17" s="15" t="inlineStr">
        <is>
          <t xml:space="preserve">Editorial</t>
        </is>
      </c>
      <c r="U17" s="11" t="inlineStr">
        <is>
          <t xml:space="preserve">Needs Review</t>
        </is>
      </c>
      <c r="V17" s="13" t="inlineStr">
        <is>
          <t xml:space="preserve">Draft</t>
        </is>
      </c>
      <c r="W17" s="15"/>
    </row>
    <row r="18" ht="34" customHeight="1">
      <c r="A18" s="15" t="inlineStr">
        <is>
          <t xml:space="preserve">v0.1</t>
        </is>
      </c>
      <c r="B18" s="15" t="inlineStr">
        <is>
          <t xml:space="preserve">Bible_Journey_Canon_Map_v0_1_Genesis_to_2Samuel.xlsx</t>
        </is>
      </c>
      <c r="C18" s="15" t="inlineStr">
        <is>
          <t xml:space="preserve">CRS-GEN-014</t>
        </is>
      </c>
      <c r="D18" s="15">
        <v>140</v>
      </c>
      <c r="E18" s="15">
        <v>1</v>
      </c>
      <c r="F18" s="15" t="inlineStr">
        <is>
          <t xml:space="preserve">Genesis</t>
        </is>
      </c>
      <c r="G18" s="15" t="inlineStr">
        <is>
          <t xml:space="preserve">Patriarchs</t>
        </is>
      </c>
      <c r="H18" s="15" t="inlineStr">
        <is>
          <t xml:space="preserve">Joseph</t>
        </is>
      </c>
      <c r="I18" s="15" t="inlineStr">
        <is>
          <t xml:space="preserve">Joseph sold and Judah's household</t>
        </is>
      </c>
      <c r="J18" s="15" t="inlineStr">
        <is>
          <t xml:space="preserve">Genesis 37-38</t>
        </is>
      </c>
      <c r="K18" s="15" t="inlineStr">
        <is>
          <t xml:space="preserve">High</t>
        </is>
      </c>
      <c r="L18" s="15" t="inlineStr">
        <is>
          <t xml:space="preserve">High</t>
        </is>
      </c>
      <c r="M18" s="15"/>
      <c r="N18" s="15" t="inlineStr">
        <is>
          <t xml:space="preserve">Read the assigned main-spine block in full.</t>
        </is>
      </c>
      <c r="O18" s="15" t="inlineStr">
        <is>
          <t xml:space="preserve">Read primary block; continue to next chronological set.</t>
        </is>
      </c>
      <c r="P18" s="15" t="inlineStr">
        <is>
          <t xml:space="preserve">No</t>
        </is>
      </c>
      <c r="Q18" s="15" t="inlineStr">
        <is>
          <t xml:space="preserve">Joseph</t>
        </is>
      </c>
      <c r="R18" s="15"/>
      <c r="S18" s="15" t="inlineStr">
        <is>
          <t xml:space="preserve">SRC-TEXT-TORAH; SRC-TORAH-OVERVIEW</t>
        </is>
      </c>
      <c r="T18" s="15" t="inlineStr">
        <is>
          <t xml:space="preserve">Editorial</t>
        </is>
      </c>
      <c r="U18" s="11" t="inlineStr">
        <is>
          <t xml:space="preserve">Needs Review</t>
        </is>
      </c>
      <c r="V18" s="13" t="inlineStr">
        <is>
          <t xml:space="preserve">Draft</t>
        </is>
      </c>
      <c r="W18" s="15"/>
    </row>
    <row r="19" ht="34" customHeight="1">
      <c r="A19" s="15" t="inlineStr">
        <is>
          <t xml:space="preserve">v0.1</t>
        </is>
      </c>
      <c r="B19" s="15" t="inlineStr">
        <is>
          <t xml:space="preserve">Bible_Journey_Canon_Map_v0_1_Genesis_to_2Samuel.xlsx</t>
        </is>
      </c>
      <c r="C19" s="15" t="inlineStr">
        <is>
          <t xml:space="preserve">CRS-GEN-015</t>
        </is>
      </c>
      <c r="D19" s="15">
        <v>150</v>
      </c>
      <c r="E19" s="15">
        <v>1</v>
      </c>
      <c r="F19" s="15" t="inlineStr">
        <is>
          <t xml:space="preserve">Genesis</t>
        </is>
      </c>
      <c r="G19" s="15" t="inlineStr">
        <is>
          <t xml:space="preserve">Patriarchs</t>
        </is>
      </c>
      <c r="H19" s="15" t="inlineStr">
        <is>
          <t xml:space="preserve">Joseph</t>
        </is>
      </c>
      <c r="I19" s="15" t="inlineStr">
        <is>
          <t xml:space="preserve">Joseph in Egypt and raised to power</t>
        </is>
      </c>
      <c r="J19" s="15" t="inlineStr">
        <is>
          <t xml:space="preserve">Genesis 39-41</t>
        </is>
      </c>
      <c r="K19" s="15" t="inlineStr">
        <is>
          <t xml:space="preserve">High</t>
        </is>
      </c>
      <c r="L19" s="15" t="inlineStr">
        <is>
          <t xml:space="preserve">High</t>
        </is>
      </c>
      <c r="M19" s="15"/>
      <c r="N19" s="15" t="inlineStr">
        <is>
          <t xml:space="preserve">Read the assigned main-spine block in full.</t>
        </is>
      </c>
      <c r="O19" s="15" t="inlineStr">
        <is>
          <t xml:space="preserve">Read primary block; continue to next chronological set.</t>
        </is>
      </c>
      <c r="P19" s="15" t="inlineStr">
        <is>
          <t xml:space="preserve">No</t>
        </is>
      </c>
      <c r="Q19" s="15" t="inlineStr">
        <is>
          <t xml:space="preserve">Joseph</t>
        </is>
      </c>
      <c r="R19" s="15"/>
      <c r="S19" s="15" t="inlineStr">
        <is>
          <t xml:space="preserve">SRC-TEXT-TORAH; SRC-TORAH-OVERVIEW</t>
        </is>
      </c>
      <c r="T19" s="15" t="inlineStr">
        <is>
          <t xml:space="preserve">Editorial</t>
        </is>
      </c>
      <c r="U19" s="11" t="inlineStr">
        <is>
          <t xml:space="preserve">Needs Review</t>
        </is>
      </c>
      <c r="V19" s="13" t="inlineStr">
        <is>
          <t xml:space="preserve">Draft</t>
        </is>
      </c>
      <c r="W19" s="15"/>
    </row>
    <row r="20" ht="34" customHeight="1">
      <c r="A20" s="15" t="inlineStr">
        <is>
          <t xml:space="preserve">v0.1</t>
        </is>
      </c>
      <c r="B20" s="15" t="inlineStr">
        <is>
          <t xml:space="preserve">Bible_Journey_Canon_Map_v0_1_Genesis_to_2Samuel.xlsx</t>
        </is>
      </c>
      <c r="C20" s="15" t="inlineStr">
        <is>
          <t xml:space="preserve">CRS-GEN-016</t>
        </is>
      </c>
      <c r="D20" s="15">
        <v>160</v>
      </c>
      <c r="E20" s="15">
        <v>1</v>
      </c>
      <c r="F20" s="15" t="inlineStr">
        <is>
          <t xml:space="preserve">Genesis</t>
        </is>
      </c>
      <c r="G20" s="15" t="inlineStr">
        <is>
          <t xml:space="preserve">Patriarchs</t>
        </is>
      </c>
      <c r="H20" s="15" t="inlineStr">
        <is>
          <t xml:space="preserve">Joseph</t>
        </is>
      </c>
      <c r="I20" s="15" t="inlineStr">
        <is>
          <t xml:space="preserve">Joseph tests and restores his brothers</t>
        </is>
      </c>
      <c r="J20" s="15" t="inlineStr">
        <is>
          <t xml:space="preserve">Genesis 42-45</t>
        </is>
      </c>
      <c r="K20" s="15" t="inlineStr">
        <is>
          <t xml:space="preserve">High</t>
        </is>
      </c>
      <c r="L20" s="15" t="inlineStr">
        <is>
          <t xml:space="preserve">High</t>
        </is>
      </c>
      <c r="M20" s="15"/>
      <c r="N20" s="15" t="inlineStr">
        <is>
          <t xml:space="preserve">Read the assigned main-spine block in full.</t>
        </is>
      </c>
      <c r="O20" s="15" t="inlineStr">
        <is>
          <t xml:space="preserve">Read primary block; continue to next chronological set.</t>
        </is>
      </c>
      <c r="P20" s="15" t="inlineStr">
        <is>
          <t xml:space="preserve">No</t>
        </is>
      </c>
      <c r="Q20" s="15" t="inlineStr">
        <is>
          <t xml:space="preserve">Joseph</t>
        </is>
      </c>
      <c r="R20" s="15"/>
      <c r="S20" s="15" t="inlineStr">
        <is>
          <t xml:space="preserve">SRC-TEXT-TORAH; SRC-TORAH-OVERVIEW</t>
        </is>
      </c>
      <c r="T20" s="15" t="inlineStr">
        <is>
          <t xml:space="preserve">Editorial</t>
        </is>
      </c>
      <c r="U20" s="11" t="inlineStr">
        <is>
          <t xml:space="preserve">Needs Review</t>
        </is>
      </c>
      <c r="V20" s="13" t="inlineStr">
        <is>
          <t xml:space="preserve">Draft</t>
        </is>
      </c>
      <c r="W20" s="15"/>
    </row>
    <row r="21" ht="34" customHeight="1">
      <c r="A21" s="15" t="inlineStr">
        <is>
          <t xml:space="preserve">v0.1</t>
        </is>
      </c>
      <c r="B21" s="15" t="inlineStr">
        <is>
          <t xml:space="preserve">Bible_Journey_Canon_Map_v0_1_Genesis_to_2Samuel.xlsx</t>
        </is>
      </c>
      <c r="C21" s="15" t="inlineStr">
        <is>
          <t xml:space="preserve">CRS-GEN-017</t>
        </is>
      </c>
      <c r="D21" s="15">
        <v>170</v>
      </c>
      <c r="E21" s="15">
        <v>1</v>
      </c>
      <c r="F21" s="15" t="inlineStr">
        <is>
          <t xml:space="preserve">Genesis</t>
        </is>
      </c>
      <c r="G21" s="15" t="inlineStr">
        <is>
          <t xml:space="preserve">Patriarchs</t>
        </is>
      </c>
      <c r="H21" s="15" t="inlineStr">
        <is>
          <t xml:space="preserve">Joseph</t>
        </is>
      </c>
      <c r="I21" s="15" t="inlineStr">
        <is>
          <t xml:space="preserve">Israel descends to Egypt and settles in Goshen</t>
        </is>
      </c>
      <c r="J21" s="15" t="inlineStr">
        <is>
          <t xml:space="preserve">Genesis 46-47</t>
        </is>
      </c>
      <c r="K21" s="15" t="inlineStr">
        <is>
          <t xml:space="preserve">High</t>
        </is>
      </c>
      <c r="L21" s="15" t="inlineStr">
        <is>
          <t xml:space="preserve">High</t>
        </is>
      </c>
      <c r="M21" s="15"/>
      <c r="N21" s="15" t="inlineStr">
        <is>
          <t xml:space="preserve">Read the assigned main-spine block in full.</t>
        </is>
      </c>
      <c r="O21" s="15" t="inlineStr">
        <is>
          <t xml:space="preserve">Read primary block; continue to next chronological set.</t>
        </is>
      </c>
      <c r="P21" s="15" t="inlineStr">
        <is>
          <t xml:space="preserve">No</t>
        </is>
      </c>
      <c r="Q21" s="15" t="inlineStr">
        <is>
          <t xml:space="preserve">Joseph</t>
        </is>
      </c>
      <c r="R21" s="15"/>
      <c r="S21" s="15" t="inlineStr">
        <is>
          <t xml:space="preserve">SRC-TEXT-TORAH; SRC-TORAH-OVERVIEW</t>
        </is>
      </c>
      <c r="T21" s="15" t="inlineStr">
        <is>
          <t xml:space="preserve">Editorial</t>
        </is>
      </c>
      <c r="U21" s="11" t="inlineStr">
        <is>
          <t xml:space="preserve">Needs Review</t>
        </is>
      </c>
      <c r="V21" s="13" t="inlineStr">
        <is>
          <t xml:space="preserve">Draft</t>
        </is>
      </c>
      <c r="W21" s="15"/>
    </row>
    <row r="22" ht="34" customHeight="1">
      <c r="A22" s="15" t="inlineStr">
        <is>
          <t xml:space="preserve">v0.1</t>
        </is>
      </c>
      <c r="B22" s="15" t="inlineStr">
        <is>
          <t xml:space="preserve">Bible_Journey_Canon_Map_v0_1_Genesis_to_2Samuel.xlsx</t>
        </is>
      </c>
      <c r="C22" s="15" t="inlineStr">
        <is>
          <t xml:space="preserve">CRS-GEN-018</t>
        </is>
      </c>
      <c r="D22" s="15">
        <v>180</v>
      </c>
      <c r="E22" s="15">
        <v>1</v>
      </c>
      <c r="F22" s="15" t="inlineStr">
        <is>
          <t xml:space="preserve">Genesis</t>
        </is>
      </c>
      <c r="G22" s="15" t="inlineStr">
        <is>
          <t xml:space="preserve">Patriarchs</t>
        </is>
      </c>
      <c r="H22" s="15" t="inlineStr">
        <is>
          <t xml:space="preserve">Joseph</t>
        </is>
      </c>
      <c r="I22" s="15" t="inlineStr">
        <is>
          <t xml:space="preserve">Jacob's blessings and the deaths of Jacob and Joseph</t>
        </is>
      </c>
      <c r="J22" s="15" t="inlineStr">
        <is>
          <t xml:space="preserve">Genesis 48-50</t>
        </is>
      </c>
      <c r="K22" s="15" t="inlineStr">
        <is>
          <t xml:space="preserve">High</t>
        </is>
      </c>
      <c r="L22" s="15" t="inlineStr">
        <is>
          <t xml:space="preserve">High</t>
        </is>
      </c>
      <c r="M22" s="15"/>
      <c r="N22" s="15" t="inlineStr">
        <is>
          <t xml:space="preserve">Read the assigned main-spine block in full.</t>
        </is>
      </c>
      <c r="O22" s="15" t="inlineStr">
        <is>
          <t xml:space="preserve">Read primary block; continue to next chronological set.</t>
        </is>
      </c>
      <c r="P22" s="15" t="inlineStr">
        <is>
          <t xml:space="preserve">No</t>
        </is>
      </c>
      <c r="Q22" s="15" t="inlineStr">
        <is>
          <t xml:space="preserve">Joseph</t>
        </is>
      </c>
      <c r="R22" s="15"/>
      <c r="S22" s="15" t="inlineStr">
        <is>
          <t xml:space="preserve">SRC-TEXT-TORAH; SRC-TORAH-OVERVIEW</t>
        </is>
      </c>
      <c r="T22" s="15" t="inlineStr">
        <is>
          <t xml:space="preserve">Editorial</t>
        </is>
      </c>
      <c r="U22" s="11" t="inlineStr">
        <is>
          <t xml:space="preserve">Needs Review</t>
        </is>
      </c>
      <c r="V22" s="13" t="inlineStr">
        <is>
          <t xml:space="preserve">Draft</t>
        </is>
      </c>
      <c r="W22" s="15"/>
    </row>
    <row r="23" ht="34" customHeight="1">
      <c r="A23" s="15" t="inlineStr">
        <is>
          <t xml:space="preserve">v0.1</t>
        </is>
      </c>
      <c r="B23" s="15" t="inlineStr">
        <is>
          <t xml:space="preserve">Bible_Journey_Canon_Map_v0_1_Genesis_to_2Samuel.xlsx</t>
        </is>
      </c>
      <c r="C23" s="15" t="inlineStr">
        <is>
          <t xml:space="preserve">CRS-EXO-001</t>
        </is>
      </c>
      <c r="D23" s="15">
        <v>190</v>
      </c>
      <c r="E23" s="15">
        <v>1</v>
      </c>
      <c r="F23" s="15" t="inlineStr">
        <is>
          <t xml:space="preserve">Exodus</t>
        </is>
      </c>
      <c r="G23" s="15" t="inlineStr">
        <is>
          <t xml:space="preserve">Exodus &amp; Sinai</t>
        </is>
      </c>
      <c r="H23" s="15" t="inlineStr">
        <is>
          <t xml:space="preserve">Moses</t>
        </is>
      </c>
      <c r="I23" s="15" t="inlineStr">
        <is>
          <t xml:space="preserve">Israel oppressed and Moses preserved</t>
        </is>
      </c>
      <c r="J23" s="15" t="inlineStr">
        <is>
          <t xml:space="preserve">Exodus 1-2</t>
        </is>
      </c>
      <c r="K23" s="15" t="inlineStr">
        <is>
          <t xml:space="preserve">High</t>
        </is>
      </c>
      <c r="L23" s="15" t="inlineStr">
        <is>
          <t xml:space="preserve">High</t>
        </is>
      </c>
      <c r="M23" s="15"/>
      <c r="N23" s="15" t="inlineStr">
        <is>
          <t xml:space="preserve">Read the assigned main-spine block in full.</t>
        </is>
      </c>
      <c r="O23" s="15" t="inlineStr">
        <is>
          <t xml:space="preserve">Read primary block; continue to next chronological set.</t>
        </is>
      </c>
      <c r="P23" s="15" t="inlineStr">
        <is>
          <t xml:space="preserve">No</t>
        </is>
      </c>
      <c r="Q23" s="15" t="inlineStr">
        <is>
          <t xml:space="preserve">Exodus &amp; Sinai</t>
        </is>
      </c>
      <c r="R23" s="15"/>
      <c r="S23" s="15" t="inlineStr">
        <is>
          <t xml:space="preserve">SRC-TEXT-TORAH; SRC-TORAH-OVERVIEW</t>
        </is>
      </c>
      <c r="T23" s="15" t="inlineStr">
        <is>
          <t xml:space="preserve">Editorial</t>
        </is>
      </c>
      <c r="U23" s="11" t="inlineStr">
        <is>
          <t xml:space="preserve">Needs Review</t>
        </is>
      </c>
      <c r="V23" s="13" t="inlineStr">
        <is>
          <t xml:space="preserve">Draft</t>
        </is>
      </c>
      <c r="W23" s="15"/>
    </row>
    <row r="24" ht="34" customHeight="1">
      <c r="A24" s="15" t="inlineStr">
        <is>
          <t xml:space="preserve">v0.1</t>
        </is>
      </c>
      <c r="B24" s="15" t="inlineStr">
        <is>
          <t xml:space="preserve">Bible_Journey_Canon_Map_v0_1_Genesis_to_2Samuel.xlsx</t>
        </is>
      </c>
      <c r="C24" s="15" t="inlineStr">
        <is>
          <t xml:space="preserve">CRS-EXO-002</t>
        </is>
      </c>
      <c r="D24" s="15">
        <v>200</v>
      </c>
      <c r="E24" s="15">
        <v>1</v>
      </c>
      <c r="F24" s="15" t="inlineStr">
        <is>
          <t xml:space="preserve">Exodus</t>
        </is>
      </c>
      <c r="G24" s="15" t="inlineStr">
        <is>
          <t xml:space="preserve">Exodus &amp; Sinai</t>
        </is>
      </c>
      <c r="H24" s="15" t="inlineStr">
        <is>
          <t xml:space="preserve">Moses</t>
        </is>
      </c>
      <c r="I24" s="15" t="inlineStr">
        <is>
          <t xml:space="preserve">Moses called at the burning bush</t>
        </is>
      </c>
      <c r="J24" s="15" t="inlineStr">
        <is>
          <t xml:space="preserve">Exodus 3-4</t>
        </is>
      </c>
      <c r="K24" s="15" t="inlineStr">
        <is>
          <t xml:space="preserve">High</t>
        </is>
      </c>
      <c r="L24" s="15" t="inlineStr">
        <is>
          <t xml:space="preserve">High</t>
        </is>
      </c>
      <c r="M24" s="15"/>
      <c r="N24" s="15" t="inlineStr">
        <is>
          <t xml:space="preserve">Read the assigned main-spine block in full.</t>
        </is>
      </c>
      <c r="O24" s="15" t="inlineStr">
        <is>
          <t xml:space="preserve">Read primary block; continue to next chronological set.</t>
        </is>
      </c>
      <c r="P24" s="15" t="inlineStr">
        <is>
          <t xml:space="preserve">No</t>
        </is>
      </c>
      <c r="Q24" s="15" t="inlineStr">
        <is>
          <t xml:space="preserve">Exodus &amp; Sinai</t>
        </is>
      </c>
      <c r="R24" s="15"/>
      <c r="S24" s="15" t="inlineStr">
        <is>
          <t xml:space="preserve">SRC-TEXT-TORAH; SRC-TORAH-OVERVIEW</t>
        </is>
      </c>
      <c r="T24" s="15" t="inlineStr">
        <is>
          <t xml:space="preserve">Editorial</t>
        </is>
      </c>
      <c r="U24" s="11" t="inlineStr">
        <is>
          <t xml:space="preserve">Needs Review</t>
        </is>
      </c>
      <c r="V24" s="13" t="inlineStr">
        <is>
          <t xml:space="preserve">Draft</t>
        </is>
      </c>
      <c r="W24" s="15"/>
    </row>
    <row r="25" ht="34" customHeight="1">
      <c r="A25" s="15" t="inlineStr">
        <is>
          <t xml:space="preserve">v0.1</t>
        </is>
      </c>
      <c r="B25" s="15" t="inlineStr">
        <is>
          <t xml:space="preserve">Bible_Journey_Canon_Map_v0_1_Genesis_to_2Samuel.xlsx</t>
        </is>
      </c>
      <c r="C25" s="15" t="inlineStr">
        <is>
          <t xml:space="preserve">CRS-EXO-003</t>
        </is>
      </c>
      <c r="D25" s="15">
        <v>210</v>
      </c>
      <c r="E25" s="15">
        <v>1</v>
      </c>
      <c r="F25" s="15" t="inlineStr">
        <is>
          <t xml:space="preserve">Exodus</t>
        </is>
      </c>
      <c r="G25" s="15" t="inlineStr">
        <is>
          <t xml:space="preserve">Exodus &amp; Sinai</t>
        </is>
      </c>
      <c r="H25" s="15" t="inlineStr">
        <is>
          <t xml:space="preserve">Confrontation</t>
        </is>
      </c>
      <c r="I25" s="15" t="inlineStr">
        <is>
          <t xml:space="preserve">Moses confronts Pharaoh</t>
        </is>
      </c>
      <c r="J25" s="15" t="inlineStr">
        <is>
          <t xml:space="preserve">Exodus 5-6</t>
        </is>
      </c>
      <c r="K25" s="15" t="inlineStr">
        <is>
          <t xml:space="preserve">High</t>
        </is>
      </c>
      <c r="L25" s="15" t="inlineStr">
        <is>
          <t xml:space="preserve">High</t>
        </is>
      </c>
      <c r="M25" s="15"/>
      <c r="N25" s="15" t="inlineStr">
        <is>
          <t xml:space="preserve">Read the assigned main-spine block in full.</t>
        </is>
      </c>
      <c r="O25" s="15" t="inlineStr">
        <is>
          <t xml:space="preserve">Read primary block; continue to next chronological set.</t>
        </is>
      </c>
      <c r="P25" s="15" t="inlineStr">
        <is>
          <t xml:space="preserve">No</t>
        </is>
      </c>
      <c r="Q25" s="15" t="inlineStr">
        <is>
          <t xml:space="preserve">Exodus &amp; Sinai</t>
        </is>
      </c>
      <c r="R25" s="15"/>
      <c r="S25" s="15" t="inlineStr">
        <is>
          <t xml:space="preserve">SRC-TEXT-TORAH; SRC-TORAH-OVERVIEW</t>
        </is>
      </c>
      <c r="T25" s="15" t="inlineStr">
        <is>
          <t xml:space="preserve">Editorial</t>
        </is>
      </c>
      <c r="U25" s="11" t="inlineStr">
        <is>
          <t xml:space="preserve">Needs Review</t>
        </is>
      </c>
      <c r="V25" s="13" t="inlineStr">
        <is>
          <t xml:space="preserve">Draft</t>
        </is>
      </c>
      <c r="W25" s="15"/>
    </row>
    <row r="26" ht="34" customHeight="1">
      <c r="A26" s="15" t="inlineStr">
        <is>
          <t xml:space="preserve">v0.1</t>
        </is>
      </c>
      <c r="B26" s="15" t="inlineStr">
        <is>
          <t xml:space="preserve">Bible_Journey_Canon_Map_v0_1_Genesis_to_2Samuel.xlsx</t>
        </is>
      </c>
      <c r="C26" s="15" t="inlineStr">
        <is>
          <t xml:space="preserve">CRS-EXO-004</t>
        </is>
      </c>
      <c r="D26" s="15">
        <v>220</v>
      </c>
      <c r="E26" s="15">
        <v>1</v>
      </c>
      <c r="F26" s="15" t="inlineStr">
        <is>
          <t xml:space="preserve">Exodus</t>
        </is>
      </c>
      <c r="G26" s="15" t="inlineStr">
        <is>
          <t xml:space="preserve">Exodus &amp; Sinai</t>
        </is>
      </c>
      <c r="H26" s="15" t="inlineStr">
        <is>
          <t xml:space="preserve">Plagues</t>
        </is>
      </c>
      <c r="I26" s="15" t="inlineStr">
        <is>
          <t xml:space="preserve">The plagues in Egypt</t>
        </is>
      </c>
      <c r="J26" s="15" t="inlineStr">
        <is>
          <t xml:space="preserve">Exodus 7-11</t>
        </is>
      </c>
      <c r="K26" s="15" t="inlineStr">
        <is>
          <t xml:space="preserve">High</t>
        </is>
      </c>
      <c r="L26" s="15" t="inlineStr">
        <is>
          <t xml:space="preserve">High</t>
        </is>
      </c>
      <c r="M26" s="15"/>
      <c r="N26" s="15" t="inlineStr">
        <is>
          <t xml:space="preserve">Read the assigned main-spine block in full.</t>
        </is>
      </c>
      <c r="O26" s="15" t="inlineStr">
        <is>
          <t xml:space="preserve">Read primary block; continue to next chronological set.</t>
        </is>
      </c>
      <c r="P26" s="15" t="inlineStr">
        <is>
          <t xml:space="preserve">No</t>
        </is>
      </c>
      <c r="Q26" s="15" t="inlineStr">
        <is>
          <t xml:space="preserve">Exodus &amp; Sinai</t>
        </is>
      </c>
      <c r="R26" s="15"/>
      <c r="S26" s="15" t="inlineStr">
        <is>
          <t xml:space="preserve">SRC-TEXT-TORAH; SRC-TORAH-OVERVIEW</t>
        </is>
      </c>
      <c r="T26" s="15" t="inlineStr">
        <is>
          <t xml:space="preserve">Editorial</t>
        </is>
      </c>
      <c r="U26" s="11" t="inlineStr">
        <is>
          <t xml:space="preserve">Needs Review</t>
        </is>
      </c>
      <c r="V26" s="13" t="inlineStr">
        <is>
          <t xml:space="preserve">Draft</t>
        </is>
      </c>
      <c r="W26" s="15"/>
    </row>
    <row r="27" ht="34" customHeight="1">
      <c r="A27" s="15" t="inlineStr">
        <is>
          <t xml:space="preserve">v0.1</t>
        </is>
      </c>
      <c r="B27" s="15" t="inlineStr">
        <is>
          <t xml:space="preserve">Bible_Journey_Canon_Map_v0_1_Genesis_to_2Samuel.xlsx</t>
        </is>
      </c>
      <c r="C27" s="15" t="inlineStr">
        <is>
          <t xml:space="preserve">CRS-EXO-005</t>
        </is>
      </c>
      <c r="D27" s="15">
        <v>230</v>
      </c>
      <c r="E27" s="15">
        <v>1</v>
      </c>
      <c r="F27" s="15" t="inlineStr">
        <is>
          <t xml:space="preserve">Exodus</t>
        </is>
      </c>
      <c r="G27" s="15" t="inlineStr">
        <is>
          <t xml:space="preserve">Exodus &amp; Sinai</t>
        </is>
      </c>
      <c r="H27" s="15" t="inlineStr">
        <is>
          <t xml:space="preserve">Departure</t>
        </is>
      </c>
      <c r="I27" s="15" t="inlineStr">
        <is>
          <t xml:space="preserve">Passover, departure, sea crossing, and song</t>
        </is>
      </c>
      <c r="J27" s="15" t="inlineStr">
        <is>
          <t xml:space="preserve">Exodus 12-15</t>
        </is>
      </c>
      <c r="K27" s="15" t="inlineStr">
        <is>
          <t xml:space="preserve">High</t>
        </is>
      </c>
      <c r="L27" s="15" t="inlineStr">
        <is>
          <t xml:space="preserve">High</t>
        </is>
      </c>
      <c r="M27" s="15"/>
      <c r="N27" s="15" t="inlineStr">
        <is>
          <t xml:space="preserve">Read the assigned main-spine block in full.</t>
        </is>
      </c>
      <c r="O27" s="15" t="inlineStr">
        <is>
          <t xml:space="preserve">Read primary block; continue to next chronological set.</t>
        </is>
      </c>
      <c r="P27" s="15" t="inlineStr">
        <is>
          <t xml:space="preserve">No</t>
        </is>
      </c>
      <c r="Q27" s="15" t="inlineStr">
        <is>
          <t xml:space="preserve">Exodus &amp; Sinai</t>
        </is>
      </c>
      <c r="R27" s="15"/>
      <c r="S27" s="15" t="inlineStr">
        <is>
          <t xml:space="preserve">SRC-TEXT-TORAH; SRC-TORAH-OVERVIEW</t>
        </is>
      </c>
      <c r="T27" s="15" t="inlineStr">
        <is>
          <t xml:space="preserve">Editorial</t>
        </is>
      </c>
      <c r="U27" s="11" t="inlineStr">
        <is>
          <t xml:space="preserve">Needs Review</t>
        </is>
      </c>
      <c r="V27" s="13" t="inlineStr">
        <is>
          <t xml:space="preserve">Draft</t>
        </is>
      </c>
      <c r="W27" s="15"/>
    </row>
    <row r="28" ht="34" customHeight="1">
      <c r="A28" s="15" t="inlineStr">
        <is>
          <t xml:space="preserve">v0.1</t>
        </is>
      </c>
      <c r="B28" s="15" t="inlineStr">
        <is>
          <t xml:space="preserve">Bible_Journey_Canon_Map_v0_1_Genesis_to_2Samuel.xlsx</t>
        </is>
      </c>
      <c r="C28" s="15" t="inlineStr">
        <is>
          <t xml:space="preserve">CRS-EXO-006</t>
        </is>
      </c>
      <c r="D28" s="15">
        <v>240</v>
      </c>
      <c r="E28" s="15">
        <v>1</v>
      </c>
      <c r="F28" s="15" t="inlineStr">
        <is>
          <t xml:space="preserve">Exodus</t>
        </is>
      </c>
      <c r="G28" s="15" t="inlineStr">
        <is>
          <t xml:space="preserve">Exodus &amp; Sinai</t>
        </is>
      </c>
      <c r="H28" s="15" t="inlineStr">
        <is>
          <t xml:space="preserve">Wilderness</t>
        </is>
      </c>
      <c r="I28" s="15" t="inlineStr">
        <is>
          <t xml:space="preserve">Provision in the wilderness and Jethro's counsel</t>
        </is>
      </c>
      <c r="J28" s="15" t="inlineStr">
        <is>
          <t xml:space="preserve">Exodus 16-18</t>
        </is>
      </c>
      <c r="K28" s="15" t="inlineStr">
        <is>
          <t xml:space="preserve">High</t>
        </is>
      </c>
      <c r="L28" s="15" t="inlineStr">
        <is>
          <t xml:space="preserve">High</t>
        </is>
      </c>
      <c r="M28" s="15"/>
      <c r="N28" s="15" t="inlineStr">
        <is>
          <t xml:space="preserve">Read the assigned main-spine block in full.</t>
        </is>
      </c>
      <c r="O28" s="15" t="inlineStr">
        <is>
          <t xml:space="preserve">Read primary block; continue to next chronological set.</t>
        </is>
      </c>
      <c r="P28" s="15" t="inlineStr">
        <is>
          <t xml:space="preserve">No</t>
        </is>
      </c>
      <c r="Q28" s="15" t="inlineStr">
        <is>
          <t xml:space="preserve">Exodus &amp; Sinai</t>
        </is>
      </c>
      <c r="R28" s="15"/>
      <c r="S28" s="15" t="inlineStr">
        <is>
          <t xml:space="preserve">SRC-TEXT-TORAH; SRC-TORAH-OVERVIEW</t>
        </is>
      </c>
      <c r="T28" s="15" t="inlineStr">
        <is>
          <t xml:space="preserve">Editorial</t>
        </is>
      </c>
      <c r="U28" s="11" t="inlineStr">
        <is>
          <t xml:space="preserve">Needs Review</t>
        </is>
      </c>
      <c r="V28" s="13" t="inlineStr">
        <is>
          <t xml:space="preserve">Draft</t>
        </is>
      </c>
      <c r="W28" s="15"/>
    </row>
    <row r="29" ht="34" customHeight="1">
      <c r="A29" s="15" t="inlineStr">
        <is>
          <t xml:space="preserve">v0.1</t>
        </is>
      </c>
      <c r="B29" s="15" t="inlineStr">
        <is>
          <t xml:space="preserve">Bible_Journey_Canon_Map_v0_1_Genesis_to_2Samuel.xlsx</t>
        </is>
      </c>
      <c r="C29" s="15" t="inlineStr">
        <is>
          <t xml:space="preserve">CRS-EXO-007</t>
        </is>
      </c>
      <c r="D29" s="15">
        <v>250</v>
      </c>
      <c r="E29" s="15">
        <v>1</v>
      </c>
      <c r="F29" s="15" t="inlineStr">
        <is>
          <t xml:space="preserve">Exodus</t>
        </is>
      </c>
      <c r="G29" s="15" t="inlineStr">
        <is>
          <t xml:space="preserve">Exodus &amp; Sinai</t>
        </is>
      </c>
      <c r="H29" s="15" t="inlineStr">
        <is>
          <t xml:space="preserve">Sinai</t>
        </is>
      </c>
      <c r="I29" s="15" t="inlineStr">
        <is>
          <t xml:space="preserve">Sinai covenant and the Ten Commandments</t>
        </is>
      </c>
      <c r="J29" s="15" t="inlineStr">
        <is>
          <t xml:space="preserve">Exodus 19-20</t>
        </is>
      </c>
      <c r="K29" s="15" t="inlineStr">
        <is>
          <t xml:space="preserve">High</t>
        </is>
      </c>
      <c r="L29" s="15" t="inlineStr">
        <is>
          <t xml:space="preserve">High</t>
        </is>
      </c>
      <c r="M29" s="15"/>
      <c r="N29" s="15" t="inlineStr">
        <is>
          <t xml:space="preserve">Read the assigned main-spine block in full.</t>
        </is>
      </c>
      <c r="O29" s="15" t="inlineStr">
        <is>
          <t xml:space="preserve">Read primary block; continue to next chronological set.</t>
        </is>
      </c>
      <c r="P29" s="15" t="inlineStr">
        <is>
          <t xml:space="preserve">No</t>
        </is>
      </c>
      <c r="Q29" s="15" t="inlineStr">
        <is>
          <t xml:space="preserve">Exodus &amp; Sinai</t>
        </is>
      </c>
      <c r="R29" s="15"/>
      <c r="S29" s="15" t="inlineStr">
        <is>
          <t xml:space="preserve">SRC-TEXT-TORAH; SRC-TORAH-OVERVIEW</t>
        </is>
      </c>
      <c r="T29" s="15" t="inlineStr">
        <is>
          <t xml:space="preserve">Editorial</t>
        </is>
      </c>
      <c r="U29" s="11" t="inlineStr">
        <is>
          <t xml:space="preserve">Needs Review</t>
        </is>
      </c>
      <c r="V29" s="13" t="inlineStr">
        <is>
          <t xml:space="preserve">Draft</t>
        </is>
      </c>
      <c r="W29" s="15"/>
    </row>
    <row r="30" ht="34" customHeight="1">
      <c r="A30" s="15" t="inlineStr">
        <is>
          <t xml:space="preserve">v0.1</t>
        </is>
      </c>
      <c r="B30" s="15" t="inlineStr">
        <is>
          <t xml:space="preserve">Bible_Journey_Canon_Map_v0_1_Genesis_to_2Samuel.xlsx</t>
        </is>
      </c>
      <c r="C30" s="15" t="inlineStr">
        <is>
          <t xml:space="preserve">CRS-EXO-008</t>
        </is>
      </c>
      <c r="D30" s="15">
        <v>260</v>
      </c>
      <c r="E30" s="15">
        <v>1</v>
      </c>
      <c r="F30" s="15" t="inlineStr">
        <is>
          <t xml:space="preserve">Exodus</t>
        </is>
      </c>
      <c r="G30" s="15" t="inlineStr">
        <is>
          <t xml:space="preserve">Exodus &amp; Sinai</t>
        </is>
      </c>
      <c r="H30" s="15" t="inlineStr">
        <is>
          <t xml:space="preserve">Sinai</t>
        </is>
      </c>
      <c r="I30" s="15" t="inlineStr">
        <is>
          <t xml:space="preserve">Covenant law and ratification</t>
        </is>
      </c>
      <c r="J30" s="15" t="inlineStr">
        <is>
          <t xml:space="preserve">Exodus 21-24</t>
        </is>
      </c>
      <c r="K30" s="15" t="inlineStr">
        <is>
          <t xml:space="preserve">High</t>
        </is>
      </c>
      <c r="L30" s="15" t="inlineStr">
        <is>
          <t xml:space="preserve">High</t>
        </is>
      </c>
      <c r="M30" s="15"/>
      <c r="N30" s="15" t="inlineStr">
        <is>
          <t xml:space="preserve">Read the assigned main-spine block in full.</t>
        </is>
      </c>
      <c r="O30" s="15" t="inlineStr">
        <is>
          <t xml:space="preserve">Read primary block; continue to next chronological set.</t>
        </is>
      </c>
      <c r="P30" s="15" t="inlineStr">
        <is>
          <t xml:space="preserve">No</t>
        </is>
      </c>
      <c r="Q30" s="15" t="inlineStr">
        <is>
          <t xml:space="preserve">Exodus &amp; Sinai</t>
        </is>
      </c>
      <c r="R30" s="15"/>
      <c r="S30" s="15" t="inlineStr">
        <is>
          <t xml:space="preserve">SRC-TEXT-TORAH; SRC-TORAH-OVERVIEW</t>
        </is>
      </c>
      <c r="T30" s="15" t="inlineStr">
        <is>
          <t xml:space="preserve">Editorial</t>
        </is>
      </c>
      <c r="U30" s="11" t="inlineStr">
        <is>
          <t xml:space="preserve">Needs Review</t>
        </is>
      </c>
      <c r="V30" s="13" t="inlineStr">
        <is>
          <t xml:space="preserve">Draft</t>
        </is>
      </c>
      <c r="W30" s="15"/>
    </row>
    <row r="31" ht="34" customHeight="1">
      <c r="A31" s="15" t="inlineStr">
        <is>
          <t xml:space="preserve">v0.1</t>
        </is>
      </c>
      <c r="B31" s="15" t="inlineStr">
        <is>
          <t xml:space="preserve">Bible_Journey_Canon_Map_v0_1_Genesis_to_2Samuel.xlsx</t>
        </is>
      </c>
      <c r="C31" s="15" t="inlineStr">
        <is>
          <t xml:space="preserve">CRS-EXO-009</t>
        </is>
      </c>
      <c r="D31" s="15">
        <v>270</v>
      </c>
      <c r="E31" s="15">
        <v>1</v>
      </c>
      <c r="F31" s="15" t="inlineStr">
        <is>
          <t xml:space="preserve">Exodus</t>
        </is>
      </c>
      <c r="G31" s="15" t="inlineStr">
        <is>
          <t xml:space="preserve">Exodus &amp; Sinai</t>
        </is>
      </c>
      <c r="H31" s="15" t="inlineStr">
        <is>
          <t xml:space="preserve">Tabernacle</t>
        </is>
      </c>
      <c r="I31" s="15" t="inlineStr">
        <is>
          <t xml:space="preserve">Tabernacle instructions</t>
        </is>
      </c>
      <c r="J31" s="15" t="inlineStr">
        <is>
          <t xml:space="preserve">Exodus 25-31</t>
        </is>
      </c>
      <c r="K31" s="15" t="inlineStr">
        <is>
          <t xml:space="preserve">High</t>
        </is>
      </c>
      <c r="L31" s="15" t="inlineStr">
        <is>
          <t xml:space="preserve">High</t>
        </is>
      </c>
      <c r="M31" s="15"/>
      <c r="N31" s="15" t="inlineStr">
        <is>
          <t xml:space="preserve">Read the assigned main-spine block in full.</t>
        </is>
      </c>
      <c r="O31" s="15" t="inlineStr">
        <is>
          <t xml:space="preserve">Read primary block; continue to next chronological set.</t>
        </is>
      </c>
      <c r="P31" s="15" t="inlineStr">
        <is>
          <t xml:space="preserve">No</t>
        </is>
      </c>
      <c r="Q31" s="15" t="inlineStr">
        <is>
          <t xml:space="preserve">Exodus &amp; Sinai</t>
        </is>
      </c>
      <c r="R31" s="15"/>
      <c r="S31" s="15" t="inlineStr">
        <is>
          <t xml:space="preserve">SRC-TEXT-TORAH; SRC-TORAH-OVERVIEW</t>
        </is>
      </c>
      <c r="T31" s="15" t="inlineStr">
        <is>
          <t xml:space="preserve">Editorial</t>
        </is>
      </c>
      <c r="U31" s="11" t="inlineStr">
        <is>
          <t xml:space="preserve">Needs Review</t>
        </is>
      </c>
      <c r="V31" s="13" t="inlineStr">
        <is>
          <t xml:space="preserve">Draft</t>
        </is>
      </c>
      <c r="W31" s="15"/>
    </row>
    <row r="32" ht="34" customHeight="1">
      <c r="A32" s="15" t="inlineStr">
        <is>
          <t xml:space="preserve">v0.1</t>
        </is>
      </c>
      <c r="B32" s="15" t="inlineStr">
        <is>
          <t xml:space="preserve">Bible_Journey_Canon_Map_v0_1_Genesis_to_2Samuel.xlsx</t>
        </is>
      </c>
      <c r="C32" s="15" t="inlineStr">
        <is>
          <t xml:space="preserve">CRS-EXO-010</t>
        </is>
      </c>
      <c r="D32" s="15">
        <v>280</v>
      </c>
      <c r="E32" s="15">
        <v>1</v>
      </c>
      <c r="F32" s="15" t="inlineStr">
        <is>
          <t xml:space="preserve">Exodus</t>
        </is>
      </c>
      <c r="G32" s="15" t="inlineStr">
        <is>
          <t xml:space="preserve">Exodus &amp; Sinai</t>
        </is>
      </c>
      <c r="H32" s="15" t="inlineStr">
        <is>
          <t xml:space="preserve">Covenant crisis</t>
        </is>
      </c>
      <c r="I32" s="15" t="inlineStr">
        <is>
          <t xml:space="preserve">Golden calf and covenant renewal</t>
        </is>
      </c>
      <c r="J32" s="15" t="inlineStr">
        <is>
          <t xml:space="preserve">Exodus 32-34</t>
        </is>
      </c>
      <c r="K32" s="15" t="inlineStr">
        <is>
          <t xml:space="preserve">High</t>
        </is>
      </c>
      <c r="L32" s="15" t="inlineStr">
        <is>
          <t xml:space="preserve">High</t>
        </is>
      </c>
      <c r="M32" s="15"/>
      <c r="N32" s="15" t="inlineStr">
        <is>
          <t xml:space="preserve">Read the assigned main-spine block in full.</t>
        </is>
      </c>
      <c r="O32" s="15" t="inlineStr">
        <is>
          <t xml:space="preserve">Read primary block; continue to next chronological set.</t>
        </is>
      </c>
      <c r="P32" s="15" t="inlineStr">
        <is>
          <t xml:space="preserve">No</t>
        </is>
      </c>
      <c r="Q32" s="15" t="inlineStr">
        <is>
          <t xml:space="preserve">Exodus &amp; Sinai</t>
        </is>
      </c>
      <c r="R32" s="15"/>
      <c r="S32" s="15" t="inlineStr">
        <is>
          <t xml:space="preserve">SRC-TEXT-TORAH; SRC-TORAH-OVERVIEW</t>
        </is>
      </c>
      <c r="T32" s="15" t="inlineStr">
        <is>
          <t xml:space="preserve">Editorial</t>
        </is>
      </c>
      <c r="U32" s="11" t="inlineStr">
        <is>
          <t xml:space="preserve">Needs Review</t>
        </is>
      </c>
      <c r="V32" s="13" t="inlineStr">
        <is>
          <t xml:space="preserve">Draft</t>
        </is>
      </c>
      <c r="W32" s="15"/>
    </row>
    <row r="33" ht="34" customHeight="1">
      <c r="A33" s="15" t="inlineStr">
        <is>
          <t xml:space="preserve">v0.1</t>
        </is>
      </c>
      <c r="B33" s="15" t="inlineStr">
        <is>
          <t xml:space="preserve">Bible_Journey_Canon_Map_v0_1_Genesis_to_2Samuel.xlsx</t>
        </is>
      </c>
      <c r="C33" s="15" t="inlineStr">
        <is>
          <t xml:space="preserve">CRS-EXO-011</t>
        </is>
      </c>
      <c r="D33" s="15">
        <v>290</v>
      </c>
      <c r="E33" s="15">
        <v>1</v>
      </c>
      <c r="F33" s="15" t="inlineStr">
        <is>
          <t xml:space="preserve">Exodus</t>
        </is>
      </c>
      <c r="G33" s="15" t="inlineStr">
        <is>
          <t xml:space="preserve">Exodus &amp; Sinai</t>
        </is>
      </c>
      <c r="H33" s="15" t="inlineStr">
        <is>
          <t xml:space="preserve">Tabernacle</t>
        </is>
      </c>
      <c r="I33" s="15" t="inlineStr">
        <is>
          <t xml:space="preserve">Tabernacle construction and dedication</t>
        </is>
      </c>
      <c r="J33" s="15" t="inlineStr">
        <is>
          <t xml:space="preserve">Exodus 35-40</t>
        </is>
      </c>
      <c r="K33" s="15" t="inlineStr">
        <is>
          <t xml:space="preserve">High</t>
        </is>
      </c>
      <c r="L33" s="15" t="inlineStr">
        <is>
          <t xml:space="preserve">High</t>
        </is>
      </c>
      <c r="M33" s="15"/>
      <c r="N33" s="15" t="inlineStr">
        <is>
          <t xml:space="preserve">Read the assigned main-spine block in full.</t>
        </is>
      </c>
      <c r="O33" s="15" t="inlineStr">
        <is>
          <t xml:space="preserve">Read primary block; continue to next chronological set.</t>
        </is>
      </c>
      <c r="P33" s="15" t="inlineStr">
        <is>
          <t xml:space="preserve">No</t>
        </is>
      </c>
      <c r="Q33" s="15" t="inlineStr">
        <is>
          <t xml:space="preserve">Exodus &amp; Sinai</t>
        </is>
      </c>
      <c r="R33" s="15"/>
      <c r="S33" s="15" t="inlineStr">
        <is>
          <t xml:space="preserve">SRC-TEXT-TORAH; SRC-TORAH-OVERVIEW</t>
        </is>
      </c>
      <c r="T33" s="15" t="inlineStr">
        <is>
          <t xml:space="preserve">Editorial</t>
        </is>
      </c>
      <c r="U33" s="11" t="inlineStr">
        <is>
          <t xml:space="preserve">Needs Review</t>
        </is>
      </c>
      <c r="V33" s="13" t="inlineStr">
        <is>
          <t xml:space="preserve">Draft</t>
        </is>
      </c>
      <c r="W33" s="15"/>
    </row>
    <row r="34" ht="34" customHeight="1">
      <c r="A34" s="15" t="inlineStr">
        <is>
          <t xml:space="preserve">v0.1</t>
        </is>
      </c>
      <c r="B34" s="15" t="inlineStr">
        <is>
          <t xml:space="preserve">Bible_Journey_Canon_Map_v0_1_Genesis_to_2Samuel.xlsx</t>
        </is>
      </c>
      <c r="C34" s="15" t="inlineStr">
        <is>
          <t xml:space="preserve">CRS-LEV-001</t>
        </is>
      </c>
      <c r="D34" s="15">
        <v>300</v>
      </c>
      <c r="E34" s="15">
        <v>1</v>
      </c>
      <c r="F34" s="15" t="inlineStr">
        <is>
          <t xml:space="preserve">Leviticus</t>
        </is>
      </c>
      <c r="G34" s="15" t="inlineStr">
        <is>
          <t xml:space="preserve">Exodus &amp; Sinai</t>
        </is>
      </c>
      <c r="H34" s="15" t="inlineStr">
        <is>
          <t xml:space="preserve">Worship at Sinai</t>
        </is>
      </c>
      <c r="I34" s="15" t="inlineStr">
        <is>
          <t xml:space="preserve">Offerings and sacrificial worship</t>
        </is>
      </c>
      <c r="J34" s="15" t="inlineStr">
        <is>
          <t xml:space="preserve">Leviticus 1-7</t>
        </is>
      </c>
      <c r="K34" s="15" t="inlineStr">
        <is>
          <t xml:space="preserve">High</t>
        </is>
      </c>
      <c r="L34" s="15" t="inlineStr">
        <is>
          <t xml:space="preserve">High</t>
        </is>
      </c>
      <c r="M34" s="15"/>
      <c r="N34" s="15" t="inlineStr">
        <is>
          <t xml:space="preserve">Read the assigned main-spine block in full.</t>
        </is>
      </c>
      <c r="O34" s="15" t="inlineStr">
        <is>
          <t xml:space="preserve">Read primary block; continue to next chronological set.</t>
        </is>
      </c>
      <c r="P34" s="15" t="inlineStr">
        <is>
          <t xml:space="preserve">No</t>
        </is>
      </c>
      <c r="Q34" s="15" t="inlineStr">
        <is>
          <t xml:space="preserve">Exodus &amp; Sinai</t>
        </is>
      </c>
      <c r="R34" s="15"/>
      <c r="S34" s="15" t="inlineStr">
        <is>
          <t xml:space="preserve">SRC-TEXT-TORAH; SRC-TORAH-OVERVIEW</t>
        </is>
      </c>
      <c r="T34" s="15" t="inlineStr">
        <is>
          <t xml:space="preserve">Editorial</t>
        </is>
      </c>
      <c r="U34" s="11" t="inlineStr">
        <is>
          <t xml:space="preserve">Needs Review</t>
        </is>
      </c>
      <c r="V34" s="13" t="inlineStr">
        <is>
          <t xml:space="preserve">Draft</t>
        </is>
      </c>
      <c r="W34" s="15"/>
    </row>
    <row r="35" ht="34" customHeight="1">
      <c r="A35" s="15" t="inlineStr">
        <is>
          <t xml:space="preserve">v0.1</t>
        </is>
      </c>
      <c r="B35" s="15" t="inlineStr">
        <is>
          <t xml:space="preserve">Bible_Journey_Canon_Map_v0_1_Genesis_to_2Samuel.xlsx</t>
        </is>
      </c>
      <c r="C35" s="15" t="inlineStr">
        <is>
          <t xml:space="preserve">CRS-LEV-002</t>
        </is>
      </c>
      <c r="D35" s="15">
        <v>310</v>
      </c>
      <c r="E35" s="15">
        <v>1</v>
      </c>
      <c r="F35" s="15" t="inlineStr">
        <is>
          <t xml:space="preserve">Leviticus</t>
        </is>
      </c>
      <c r="G35" s="15" t="inlineStr">
        <is>
          <t xml:space="preserve">Exodus &amp; Sinai</t>
        </is>
      </c>
      <c r="H35" s="15" t="inlineStr">
        <is>
          <t xml:space="preserve">Worship at Sinai</t>
        </is>
      </c>
      <c r="I35" s="15" t="inlineStr">
        <is>
          <t xml:space="preserve">Priests consecrated and Nadab and Abihu</t>
        </is>
      </c>
      <c r="J35" s="15" t="inlineStr">
        <is>
          <t xml:space="preserve">Leviticus 8-10</t>
        </is>
      </c>
      <c r="K35" s="15" t="inlineStr">
        <is>
          <t xml:space="preserve">High</t>
        </is>
      </c>
      <c r="L35" s="15" t="inlineStr">
        <is>
          <t xml:space="preserve">High</t>
        </is>
      </c>
      <c r="M35" s="15"/>
      <c r="N35" s="15" t="inlineStr">
        <is>
          <t xml:space="preserve">Read the assigned main-spine block in full.</t>
        </is>
      </c>
      <c r="O35" s="15" t="inlineStr">
        <is>
          <t xml:space="preserve">Read primary block; continue to next chronological set.</t>
        </is>
      </c>
      <c r="P35" s="15" t="inlineStr">
        <is>
          <t xml:space="preserve">No</t>
        </is>
      </c>
      <c r="Q35" s="15" t="inlineStr">
        <is>
          <t xml:space="preserve">Exodus &amp; Sinai</t>
        </is>
      </c>
      <c r="R35" s="15"/>
      <c r="S35" s="15" t="inlineStr">
        <is>
          <t xml:space="preserve">SRC-TEXT-TORAH; SRC-TORAH-OVERVIEW</t>
        </is>
      </c>
      <c r="T35" s="15" t="inlineStr">
        <is>
          <t xml:space="preserve">Editorial</t>
        </is>
      </c>
      <c r="U35" s="11" t="inlineStr">
        <is>
          <t xml:space="preserve">Needs Review</t>
        </is>
      </c>
      <c r="V35" s="13" t="inlineStr">
        <is>
          <t xml:space="preserve">Draft</t>
        </is>
      </c>
      <c r="W35" s="15"/>
    </row>
    <row r="36" ht="34" customHeight="1">
      <c r="A36" s="15" t="inlineStr">
        <is>
          <t xml:space="preserve">v0.1</t>
        </is>
      </c>
      <c r="B36" s="15" t="inlineStr">
        <is>
          <t xml:space="preserve">Bible_Journey_Canon_Map_v0_1_Genesis_to_2Samuel.xlsx</t>
        </is>
      </c>
      <c r="C36" s="15" t="inlineStr">
        <is>
          <t xml:space="preserve">CRS-LEV-003</t>
        </is>
      </c>
      <c r="D36" s="15">
        <v>320</v>
      </c>
      <c r="E36" s="15">
        <v>1</v>
      </c>
      <c r="F36" s="15" t="inlineStr">
        <is>
          <t xml:space="preserve">Leviticus</t>
        </is>
      </c>
      <c r="G36" s="15" t="inlineStr">
        <is>
          <t xml:space="preserve">Exodus &amp; Sinai</t>
        </is>
      </c>
      <c r="H36" s="15" t="inlineStr">
        <is>
          <t xml:space="preserve">Worship at Sinai</t>
        </is>
      </c>
      <c r="I36" s="15" t="inlineStr">
        <is>
          <t xml:space="preserve">Food, purity, and cleansing</t>
        </is>
      </c>
      <c r="J36" s="15" t="inlineStr">
        <is>
          <t xml:space="preserve">Leviticus 11-15</t>
        </is>
      </c>
      <c r="K36" s="15" t="inlineStr">
        <is>
          <t xml:space="preserve">High</t>
        </is>
      </c>
      <c r="L36" s="15" t="inlineStr">
        <is>
          <t xml:space="preserve">High</t>
        </is>
      </c>
      <c r="M36" s="15"/>
      <c r="N36" s="15" t="inlineStr">
        <is>
          <t xml:space="preserve">Read the assigned main-spine block in full.</t>
        </is>
      </c>
      <c r="O36" s="15" t="inlineStr">
        <is>
          <t xml:space="preserve">Read primary block; continue to next chronological set.</t>
        </is>
      </c>
      <c r="P36" s="15" t="inlineStr">
        <is>
          <t xml:space="preserve">No</t>
        </is>
      </c>
      <c r="Q36" s="15" t="inlineStr">
        <is>
          <t xml:space="preserve">Exodus &amp; Sinai</t>
        </is>
      </c>
      <c r="R36" s="15"/>
      <c r="S36" s="15" t="inlineStr">
        <is>
          <t xml:space="preserve">SRC-TEXT-TORAH; SRC-TORAH-OVERVIEW</t>
        </is>
      </c>
      <c r="T36" s="15" t="inlineStr">
        <is>
          <t xml:space="preserve">Editorial</t>
        </is>
      </c>
      <c r="U36" s="11" t="inlineStr">
        <is>
          <t xml:space="preserve">Needs Review</t>
        </is>
      </c>
      <c r="V36" s="13" t="inlineStr">
        <is>
          <t xml:space="preserve">Draft</t>
        </is>
      </c>
      <c r="W36" s="15"/>
    </row>
    <row r="37" ht="34" customHeight="1">
      <c r="A37" s="15" t="inlineStr">
        <is>
          <t xml:space="preserve">v0.1</t>
        </is>
      </c>
      <c r="B37" s="15" t="inlineStr">
        <is>
          <t xml:space="preserve">Bible_Journey_Canon_Map_v0_1_Genesis_to_2Samuel.xlsx</t>
        </is>
      </c>
      <c r="C37" s="15" t="inlineStr">
        <is>
          <t xml:space="preserve">CRS-LEV-004</t>
        </is>
      </c>
      <c r="D37" s="15">
        <v>330</v>
      </c>
      <c r="E37" s="15">
        <v>1</v>
      </c>
      <c r="F37" s="15" t="inlineStr">
        <is>
          <t xml:space="preserve">Leviticus</t>
        </is>
      </c>
      <c r="G37" s="15" t="inlineStr">
        <is>
          <t xml:space="preserve">Exodus &amp; Sinai</t>
        </is>
      </c>
      <c r="H37" s="15" t="inlineStr">
        <is>
          <t xml:space="preserve">Worship at Sinai</t>
        </is>
      </c>
      <c r="I37" s="15" t="inlineStr">
        <is>
          <t xml:space="preserve">The Day of Atonement</t>
        </is>
      </c>
      <c r="J37" s="15" t="inlineStr">
        <is>
          <t xml:space="preserve">Leviticus 16</t>
        </is>
      </c>
      <c r="K37" s="15" t="inlineStr">
        <is>
          <t xml:space="preserve">High</t>
        </is>
      </c>
      <c r="L37" s="15" t="inlineStr">
        <is>
          <t xml:space="preserve">High</t>
        </is>
      </c>
      <c r="M37" s="15"/>
      <c r="N37" s="15" t="inlineStr">
        <is>
          <t xml:space="preserve">Read the assigned main-spine block in full.</t>
        </is>
      </c>
      <c r="O37" s="15" t="inlineStr">
        <is>
          <t xml:space="preserve">Read primary block; continue to next chronological set.</t>
        </is>
      </c>
      <c r="P37" s="15" t="inlineStr">
        <is>
          <t xml:space="preserve">No</t>
        </is>
      </c>
      <c r="Q37" s="15" t="inlineStr">
        <is>
          <t xml:space="preserve">Exodus &amp; Sinai</t>
        </is>
      </c>
      <c r="R37" s="15"/>
      <c r="S37" s="15" t="inlineStr">
        <is>
          <t xml:space="preserve">SRC-TEXT-TORAH; SRC-TORAH-OVERVIEW</t>
        </is>
      </c>
      <c r="T37" s="15" t="inlineStr">
        <is>
          <t xml:space="preserve">Editorial</t>
        </is>
      </c>
      <c r="U37" s="11" t="inlineStr">
        <is>
          <t xml:space="preserve">Needs Review</t>
        </is>
      </c>
      <c r="V37" s="13" t="inlineStr">
        <is>
          <t xml:space="preserve">Draft</t>
        </is>
      </c>
      <c r="W37" s="15"/>
    </row>
    <row r="38" ht="34" customHeight="1">
      <c r="A38" s="15" t="inlineStr">
        <is>
          <t xml:space="preserve">v0.1</t>
        </is>
      </c>
      <c r="B38" s="15" t="inlineStr">
        <is>
          <t xml:space="preserve">Bible_Journey_Canon_Map_v0_1_Genesis_to_2Samuel.xlsx</t>
        </is>
      </c>
      <c r="C38" s="15" t="inlineStr">
        <is>
          <t xml:space="preserve">CRS-LEV-005</t>
        </is>
      </c>
      <c r="D38" s="15">
        <v>340</v>
      </c>
      <c r="E38" s="15">
        <v>1</v>
      </c>
      <c r="F38" s="15" t="inlineStr">
        <is>
          <t xml:space="preserve">Leviticus</t>
        </is>
      </c>
      <c r="G38" s="15" t="inlineStr">
        <is>
          <t xml:space="preserve">Exodus &amp; Sinai</t>
        </is>
      </c>
      <c r="H38" s="15" t="inlineStr">
        <is>
          <t xml:space="preserve">Worship at Sinai</t>
        </is>
      </c>
      <c r="I38" s="15" t="inlineStr">
        <is>
          <t xml:space="preserve">Holiness, ethics, and covenant life</t>
        </is>
      </c>
      <c r="J38" s="15" t="inlineStr">
        <is>
          <t xml:space="preserve">Leviticus 17-20</t>
        </is>
      </c>
      <c r="K38" s="15" t="inlineStr">
        <is>
          <t xml:space="preserve">High</t>
        </is>
      </c>
      <c r="L38" s="15" t="inlineStr">
        <is>
          <t xml:space="preserve">High</t>
        </is>
      </c>
      <c r="M38" s="15"/>
      <c r="N38" s="15" t="inlineStr">
        <is>
          <t xml:space="preserve">Read the assigned main-spine block in full.</t>
        </is>
      </c>
      <c r="O38" s="15" t="inlineStr">
        <is>
          <t xml:space="preserve">Read primary block; continue to next chronological set.</t>
        </is>
      </c>
      <c r="P38" s="15" t="inlineStr">
        <is>
          <t xml:space="preserve">No</t>
        </is>
      </c>
      <c r="Q38" s="15" t="inlineStr">
        <is>
          <t xml:space="preserve">Exodus &amp; Sinai</t>
        </is>
      </c>
      <c r="R38" s="15"/>
      <c r="S38" s="15" t="inlineStr">
        <is>
          <t xml:space="preserve">SRC-TEXT-TORAH; SRC-TORAH-OVERVIEW</t>
        </is>
      </c>
      <c r="T38" s="15" t="inlineStr">
        <is>
          <t xml:space="preserve">Editorial</t>
        </is>
      </c>
      <c r="U38" s="11" t="inlineStr">
        <is>
          <t xml:space="preserve">Needs Review</t>
        </is>
      </c>
      <c r="V38" s="13" t="inlineStr">
        <is>
          <t xml:space="preserve">Draft</t>
        </is>
      </c>
      <c r="W38" s="15"/>
    </row>
    <row r="39" ht="34" customHeight="1">
      <c r="A39" s="15" t="inlineStr">
        <is>
          <t xml:space="preserve">v0.1</t>
        </is>
      </c>
      <c r="B39" s="15" t="inlineStr">
        <is>
          <t xml:space="preserve">Bible_Journey_Canon_Map_v0_1_Genesis_to_2Samuel.xlsx</t>
        </is>
      </c>
      <c r="C39" s="15" t="inlineStr">
        <is>
          <t xml:space="preserve">CRS-LEV-006</t>
        </is>
      </c>
      <c r="D39" s="15">
        <v>350</v>
      </c>
      <c r="E39" s="15">
        <v>1</v>
      </c>
      <c r="F39" s="15" t="inlineStr">
        <is>
          <t xml:space="preserve">Leviticus</t>
        </is>
      </c>
      <c r="G39" s="15" t="inlineStr">
        <is>
          <t xml:space="preserve">Exodus &amp; Sinai</t>
        </is>
      </c>
      <c r="H39" s="15" t="inlineStr">
        <is>
          <t xml:space="preserve">Worship at Sinai</t>
        </is>
      </c>
      <c r="I39" s="15" t="inlineStr">
        <is>
          <t xml:space="preserve">Priests, feasts, and sacred rhythms</t>
        </is>
      </c>
      <c r="J39" s="15" t="inlineStr">
        <is>
          <t xml:space="preserve">Leviticus 21-24</t>
        </is>
      </c>
      <c r="K39" s="15" t="inlineStr">
        <is>
          <t xml:space="preserve">High</t>
        </is>
      </c>
      <c r="L39" s="15" t="inlineStr">
        <is>
          <t xml:space="preserve">High</t>
        </is>
      </c>
      <c r="M39" s="15"/>
      <c r="N39" s="15" t="inlineStr">
        <is>
          <t xml:space="preserve">Read the assigned main-spine block in full.</t>
        </is>
      </c>
      <c r="O39" s="15" t="inlineStr">
        <is>
          <t xml:space="preserve">Read primary block; continue to next chronological set.</t>
        </is>
      </c>
      <c r="P39" s="15" t="inlineStr">
        <is>
          <t xml:space="preserve">No</t>
        </is>
      </c>
      <c r="Q39" s="15" t="inlineStr">
        <is>
          <t xml:space="preserve">Exodus &amp; Sinai</t>
        </is>
      </c>
      <c r="R39" s="15"/>
      <c r="S39" s="15" t="inlineStr">
        <is>
          <t xml:space="preserve">SRC-TEXT-TORAH; SRC-TORAH-OVERVIEW</t>
        </is>
      </c>
      <c r="T39" s="15" t="inlineStr">
        <is>
          <t xml:space="preserve">Editorial</t>
        </is>
      </c>
      <c r="U39" s="11" t="inlineStr">
        <is>
          <t xml:space="preserve">Needs Review</t>
        </is>
      </c>
      <c r="V39" s="13" t="inlineStr">
        <is>
          <t xml:space="preserve">Draft</t>
        </is>
      </c>
      <c r="W39" s="15"/>
    </row>
    <row r="40" ht="34" customHeight="1">
      <c r="A40" s="15" t="inlineStr">
        <is>
          <t xml:space="preserve">v0.1</t>
        </is>
      </c>
      <c r="B40" s="15" t="inlineStr">
        <is>
          <t xml:space="preserve">Bible_Journey_Canon_Map_v0_1_Genesis_to_2Samuel.xlsx</t>
        </is>
      </c>
      <c r="C40" s="15" t="inlineStr">
        <is>
          <t xml:space="preserve">CRS-LEV-007</t>
        </is>
      </c>
      <c r="D40" s="15">
        <v>360</v>
      </c>
      <c r="E40" s="15">
        <v>1</v>
      </c>
      <c r="F40" s="15" t="inlineStr">
        <is>
          <t xml:space="preserve">Leviticus</t>
        </is>
      </c>
      <c r="G40" s="15" t="inlineStr">
        <is>
          <t xml:space="preserve">Exodus &amp; Sinai</t>
        </is>
      </c>
      <c r="H40" s="15" t="inlineStr">
        <is>
          <t xml:space="preserve">Worship at Sinai</t>
        </is>
      </c>
      <c r="I40" s="15" t="inlineStr">
        <is>
          <t xml:space="preserve">Sabbath, Jubilee, and covenant commitments</t>
        </is>
      </c>
      <c r="J40" s="15" t="inlineStr">
        <is>
          <t xml:space="preserve">Leviticus 25-27</t>
        </is>
      </c>
      <c r="K40" s="15" t="inlineStr">
        <is>
          <t xml:space="preserve">High</t>
        </is>
      </c>
      <c r="L40" s="15" t="inlineStr">
        <is>
          <t xml:space="preserve">High</t>
        </is>
      </c>
      <c r="M40" s="15"/>
      <c r="N40" s="15" t="inlineStr">
        <is>
          <t xml:space="preserve">Read the assigned main-spine block in full.</t>
        </is>
      </c>
      <c r="O40" s="15" t="inlineStr">
        <is>
          <t xml:space="preserve">Read primary block; continue to next chronological set.</t>
        </is>
      </c>
      <c r="P40" s="15" t="inlineStr">
        <is>
          <t xml:space="preserve">No</t>
        </is>
      </c>
      <c r="Q40" s="15" t="inlineStr">
        <is>
          <t xml:space="preserve">Exodus &amp; Sinai</t>
        </is>
      </c>
      <c r="R40" s="15"/>
      <c r="S40" s="15" t="inlineStr">
        <is>
          <t xml:space="preserve">SRC-TEXT-TORAH; SRC-TORAH-OVERVIEW</t>
        </is>
      </c>
      <c r="T40" s="15" t="inlineStr">
        <is>
          <t xml:space="preserve">Editorial</t>
        </is>
      </c>
      <c r="U40" s="11" t="inlineStr">
        <is>
          <t xml:space="preserve">Needs Review</t>
        </is>
      </c>
      <c r="V40" s="13" t="inlineStr">
        <is>
          <t xml:space="preserve">Draft</t>
        </is>
      </c>
      <c r="W40" s="15"/>
    </row>
    <row r="41" ht="34" customHeight="1">
      <c r="A41" s="15" t="inlineStr">
        <is>
          <t xml:space="preserve">v0.1</t>
        </is>
      </c>
      <c r="B41" s="15" t="inlineStr">
        <is>
          <t xml:space="preserve">Bible_Journey_Canon_Map_v0_1_Genesis_to_2Samuel.xlsx</t>
        </is>
      </c>
      <c r="C41" s="15" t="inlineStr">
        <is>
          <t xml:space="preserve">CRS-NUM-001</t>
        </is>
      </c>
      <c r="D41" s="15">
        <v>370</v>
      </c>
      <c r="E41" s="15">
        <v>1</v>
      </c>
      <c r="F41" s="15" t="inlineStr">
        <is>
          <t xml:space="preserve">Numbers</t>
        </is>
      </c>
      <c r="G41" s="15" t="inlineStr">
        <is>
          <t xml:space="preserve">Wilderness</t>
        </is>
      </c>
      <c r="H41" s="15" t="inlineStr">
        <is>
          <t xml:space="preserve">Ordering the camp</t>
        </is>
      </c>
      <c r="I41" s="15" t="inlineStr">
        <is>
          <t xml:space="preserve">Census, camp order, and Levites</t>
        </is>
      </c>
      <c r="J41" s="15" t="inlineStr">
        <is>
          <t xml:space="preserve">Numbers 1-4</t>
        </is>
      </c>
      <c r="K41" s="15" t="inlineStr">
        <is>
          <t xml:space="preserve">High</t>
        </is>
      </c>
      <c r="L41" s="15" t="inlineStr">
        <is>
          <t xml:space="preserve">High</t>
        </is>
      </c>
      <c r="M41" s="15"/>
      <c r="N41" s="15" t="inlineStr">
        <is>
          <t xml:space="preserve">Read the assigned main-spine block in full.</t>
        </is>
      </c>
      <c r="O41" s="15" t="inlineStr">
        <is>
          <t xml:space="preserve">Read primary block; continue to next chronological set.</t>
        </is>
      </c>
      <c r="P41" s="15" t="inlineStr">
        <is>
          <t xml:space="preserve">No</t>
        </is>
      </c>
      <c r="Q41" s="15" t="inlineStr">
        <is>
          <t xml:space="preserve">Wilderness</t>
        </is>
      </c>
      <c r="R41" s="15"/>
      <c r="S41" s="15" t="inlineStr">
        <is>
          <t xml:space="preserve">SRC-TEXT-TORAH; SRC-TORAH-OVERVIEW</t>
        </is>
      </c>
      <c r="T41" s="15" t="inlineStr">
        <is>
          <t xml:space="preserve">Editorial</t>
        </is>
      </c>
      <c r="U41" s="11" t="inlineStr">
        <is>
          <t xml:space="preserve">Needs Review</t>
        </is>
      </c>
      <c r="V41" s="13" t="inlineStr">
        <is>
          <t xml:space="preserve">Draft</t>
        </is>
      </c>
      <c r="W41" s="15"/>
    </row>
    <row r="42" ht="34" customHeight="1">
      <c r="A42" s="15" t="inlineStr">
        <is>
          <t xml:space="preserve">v0.1</t>
        </is>
      </c>
      <c r="B42" s="15" t="inlineStr">
        <is>
          <t xml:space="preserve">Bible_Journey_Canon_Map_v0_1_Genesis_to_2Samuel.xlsx</t>
        </is>
      </c>
      <c r="C42" s="15" t="inlineStr">
        <is>
          <t xml:space="preserve">CRS-NUM-002</t>
        </is>
      </c>
      <c r="D42" s="15">
        <v>380</v>
      </c>
      <c r="E42" s="15">
        <v>1</v>
      </c>
      <c r="F42" s="15" t="inlineStr">
        <is>
          <t xml:space="preserve">Numbers</t>
        </is>
      </c>
      <c r="G42" s="15" t="inlineStr">
        <is>
          <t xml:space="preserve">Wilderness</t>
        </is>
      </c>
      <c r="H42" s="15" t="inlineStr">
        <is>
          <t xml:space="preserve">Worship and purity</t>
        </is>
      </c>
      <c r="I42" s="15" t="inlineStr">
        <is>
          <t xml:space="preserve">Purity, Nazirite vow, and tribal offerings</t>
        </is>
      </c>
      <c r="J42" s="15" t="inlineStr">
        <is>
          <t xml:space="preserve">Numbers 5-7</t>
        </is>
      </c>
      <c r="K42" s="15" t="inlineStr">
        <is>
          <t xml:space="preserve">High</t>
        </is>
      </c>
      <c r="L42" s="15" t="inlineStr">
        <is>
          <t xml:space="preserve">High</t>
        </is>
      </c>
      <c r="M42" s="15"/>
      <c r="N42" s="15" t="inlineStr">
        <is>
          <t xml:space="preserve">Read the assigned main-spine block in full.</t>
        </is>
      </c>
      <c r="O42" s="15" t="inlineStr">
        <is>
          <t xml:space="preserve">Read primary block; continue to next chronological set.</t>
        </is>
      </c>
      <c r="P42" s="15" t="inlineStr">
        <is>
          <t xml:space="preserve">No</t>
        </is>
      </c>
      <c r="Q42" s="15" t="inlineStr">
        <is>
          <t xml:space="preserve">Wilderness</t>
        </is>
      </c>
      <c r="R42" s="15"/>
      <c r="S42" s="15" t="inlineStr">
        <is>
          <t xml:space="preserve">SRC-TEXT-TORAH; SRC-TORAH-OVERVIEW</t>
        </is>
      </c>
      <c r="T42" s="15" t="inlineStr">
        <is>
          <t xml:space="preserve">Editorial</t>
        </is>
      </c>
      <c r="U42" s="11" t="inlineStr">
        <is>
          <t xml:space="preserve">Needs Review</t>
        </is>
      </c>
      <c r="V42" s="13" t="inlineStr">
        <is>
          <t xml:space="preserve">Draft</t>
        </is>
      </c>
      <c r="W42" s="15"/>
    </row>
    <row r="43" ht="34" customHeight="1">
      <c r="A43" s="15" t="inlineStr">
        <is>
          <t xml:space="preserve">v0.1</t>
        </is>
      </c>
      <c r="B43" s="15" t="inlineStr">
        <is>
          <t xml:space="preserve">Bible_Journey_Canon_Map_v0_1_Genesis_to_2Samuel.xlsx</t>
        </is>
      </c>
      <c r="C43" s="15" t="inlineStr">
        <is>
          <t xml:space="preserve">CRS-NUM-003</t>
        </is>
      </c>
      <c r="D43" s="15">
        <v>390</v>
      </c>
      <c r="E43" s="15">
        <v>1</v>
      </c>
      <c r="F43" s="15" t="inlineStr">
        <is>
          <t xml:space="preserve">Numbers</t>
        </is>
      </c>
      <c r="G43" s="15" t="inlineStr">
        <is>
          <t xml:space="preserve">Wilderness</t>
        </is>
      </c>
      <c r="H43" s="15" t="inlineStr">
        <is>
          <t xml:space="preserve">Departure from Sinai</t>
        </is>
      </c>
      <c r="I43" s="15" t="inlineStr">
        <is>
          <t xml:space="preserve">Passover, departure, and guidance</t>
        </is>
      </c>
      <c r="J43" s="15" t="inlineStr">
        <is>
          <t xml:space="preserve">Numbers 8-10</t>
        </is>
      </c>
      <c r="K43" s="15" t="inlineStr">
        <is>
          <t xml:space="preserve">High</t>
        </is>
      </c>
      <c r="L43" s="15" t="inlineStr">
        <is>
          <t xml:space="preserve">High</t>
        </is>
      </c>
      <c r="M43" s="15"/>
      <c r="N43" s="15" t="inlineStr">
        <is>
          <t xml:space="preserve">Read the assigned main-spine block in full.</t>
        </is>
      </c>
      <c r="O43" s="15" t="inlineStr">
        <is>
          <t xml:space="preserve">Read primary block; continue to next chronological set.</t>
        </is>
      </c>
      <c r="P43" s="15" t="inlineStr">
        <is>
          <t xml:space="preserve">No</t>
        </is>
      </c>
      <c r="Q43" s="15" t="inlineStr">
        <is>
          <t xml:space="preserve">Wilderness</t>
        </is>
      </c>
      <c r="R43" s="15"/>
      <c r="S43" s="15" t="inlineStr">
        <is>
          <t xml:space="preserve">SRC-TEXT-TORAH; SRC-TORAH-OVERVIEW</t>
        </is>
      </c>
      <c r="T43" s="15" t="inlineStr">
        <is>
          <t xml:space="preserve">Editorial</t>
        </is>
      </c>
      <c r="U43" s="11" t="inlineStr">
        <is>
          <t xml:space="preserve">Needs Review</t>
        </is>
      </c>
      <c r="V43" s="13" t="inlineStr">
        <is>
          <t xml:space="preserve">Draft</t>
        </is>
      </c>
      <c r="W43" s="15"/>
    </row>
    <row r="44" ht="34" customHeight="1">
      <c r="A44" s="15" t="inlineStr">
        <is>
          <t xml:space="preserve">v0.1</t>
        </is>
      </c>
      <c r="B44" s="15" t="inlineStr">
        <is>
          <t xml:space="preserve">Bible_Journey_Canon_Map_v0_1_Genesis_to_2Samuel.xlsx</t>
        </is>
      </c>
      <c r="C44" s="15" t="inlineStr">
        <is>
          <t xml:space="preserve">CRS-NUM-004</t>
        </is>
      </c>
      <c r="D44" s="15">
        <v>400</v>
      </c>
      <c r="E44" s="15">
        <v>1</v>
      </c>
      <c r="F44" s="15" t="inlineStr">
        <is>
          <t xml:space="preserve">Numbers</t>
        </is>
      </c>
      <c r="G44" s="15" t="inlineStr">
        <is>
          <t xml:space="preserve">Wilderness</t>
        </is>
      </c>
      <c r="H44" s="15" t="inlineStr">
        <is>
          <t xml:space="preserve">Early wilderness</t>
        </is>
      </c>
      <c r="I44" s="15" t="inlineStr">
        <is>
          <t xml:space="preserve">Complaints and leadership tensions</t>
        </is>
      </c>
      <c r="J44" s="15" t="inlineStr">
        <is>
          <t xml:space="preserve">Numbers 11-12</t>
        </is>
      </c>
      <c r="K44" s="15" t="inlineStr">
        <is>
          <t xml:space="preserve">High</t>
        </is>
      </c>
      <c r="L44" s="15" t="inlineStr">
        <is>
          <t xml:space="preserve">High</t>
        </is>
      </c>
      <c r="M44" s="15"/>
      <c r="N44" s="15" t="inlineStr">
        <is>
          <t xml:space="preserve">Read the assigned main-spine block in full.</t>
        </is>
      </c>
      <c r="O44" s="15" t="inlineStr">
        <is>
          <t xml:space="preserve">Read primary block; continue to next chronological set.</t>
        </is>
      </c>
      <c r="P44" s="15" t="inlineStr">
        <is>
          <t xml:space="preserve">No</t>
        </is>
      </c>
      <c r="Q44" s="15" t="inlineStr">
        <is>
          <t xml:space="preserve">Wilderness</t>
        </is>
      </c>
      <c r="R44" s="15"/>
      <c r="S44" s="15" t="inlineStr">
        <is>
          <t xml:space="preserve">SRC-TEXT-TORAH; SRC-TORAH-OVERVIEW</t>
        </is>
      </c>
      <c r="T44" s="15" t="inlineStr">
        <is>
          <t xml:space="preserve">Editorial</t>
        </is>
      </c>
      <c r="U44" s="11" t="inlineStr">
        <is>
          <t xml:space="preserve">Needs Review</t>
        </is>
      </c>
      <c r="V44" s="13" t="inlineStr">
        <is>
          <t xml:space="preserve">Draft</t>
        </is>
      </c>
      <c r="W44" s="15"/>
    </row>
    <row r="45" ht="34" customHeight="1">
      <c r="A45" s="15" t="inlineStr">
        <is>
          <t xml:space="preserve">v0.1</t>
        </is>
      </c>
      <c r="B45" s="15" t="inlineStr">
        <is>
          <t xml:space="preserve">Bible_Journey_Canon_Map_v0_1_Genesis_to_2Samuel.xlsx</t>
        </is>
      </c>
      <c r="C45" s="15" t="inlineStr">
        <is>
          <t xml:space="preserve">CRS-NUM-005</t>
        </is>
      </c>
      <c r="D45" s="15">
        <v>410</v>
      </c>
      <c r="E45" s="15">
        <v>1</v>
      </c>
      <c r="F45" s="15" t="inlineStr">
        <is>
          <t xml:space="preserve">Numbers</t>
        </is>
      </c>
      <c r="G45" s="15" t="inlineStr">
        <is>
          <t xml:space="preserve">Wilderness</t>
        </is>
      </c>
      <c r="H45" s="15" t="inlineStr">
        <is>
          <t xml:space="preserve">Kadesh</t>
        </is>
      </c>
      <c r="I45" s="15" t="inlineStr">
        <is>
          <t xml:space="preserve">The spies and the rebellion at Kadesh</t>
        </is>
      </c>
      <c r="J45" s="15" t="inlineStr">
        <is>
          <t xml:space="preserve">Numbers 13-14</t>
        </is>
      </c>
      <c r="K45" s="15" t="inlineStr">
        <is>
          <t xml:space="preserve">High</t>
        </is>
      </c>
      <c r="L45" s="15" t="inlineStr">
        <is>
          <t xml:space="preserve">High</t>
        </is>
      </c>
      <c r="M45" s="15"/>
      <c r="N45" s="15" t="inlineStr">
        <is>
          <t xml:space="preserve">Read the assigned main-spine block in full.</t>
        </is>
      </c>
      <c r="O45" s="15" t="inlineStr">
        <is>
          <t xml:space="preserve">Read primary block; continue to next chronological set.</t>
        </is>
      </c>
      <c r="P45" s="15" t="inlineStr">
        <is>
          <t xml:space="preserve">No</t>
        </is>
      </c>
      <c r="Q45" s="15" t="inlineStr">
        <is>
          <t xml:space="preserve">Wilderness</t>
        </is>
      </c>
      <c r="R45" s="15"/>
      <c r="S45" s="15" t="inlineStr">
        <is>
          <t xml:space="preserve">SRC-TEXT-TORAH; SRC-TORAH-OVERVIEW</t>
        </is>
      </c>
      <c r="T45" s="15" t="inlineStr">
        <is>
          <t xml:space="preserve">Editorial</t>
        </is>
      </c>
      <c r="U45" s="11" t="inlineStr">
        <is>
          <t xml:space="preserve">Needs Review</t>
        </is>
      </c>
      <c r="V45" s="13" t="inlineStr">
        <is>
          <t xml:space="preserve">Draft</t>
        </is>
      </c>
      <c r="W45" s="15"/>
    </row>
    <row r="46" ht="34" customHeight="1">
      <c r="A46" s="15" t="inlineStr">
        <is>
          <t xml:space="preserve">v0.1</t>
        </is>
      </c>
      <c r="B46" s="15" t="inlineStr">
        <is>
          <t xml:space="preserve">Bible_Journey_Canon_Map_v0_1_Genesis_to_2Samuel.xlsx</t>
        </is>
      </c>
      <c r="C46" s="15" t="inlineStr">
        <is>
          <t xml:space="preserve">CRS-NUM-006</t>
        </is>
      </c>
      <c r="D46" s="15">
        <v>420</v>
      </c>
      <c r="E46" s="15">
        <v>1</v>
      </c>
      <c r="F46" s="15" t="inlineStr">
        <is>
          <t xml:space="preserve">Numbers</t>
        </is>
      </c>
      <c r="G46" s="15" t="inlineStr">
        <is>
          <t xml:space="preserve">Wilderness</t>
        </is>
      </c>
      <c r="H46" s="15" t="inlineStr">
        <is>
          <t xml:space="preserve">Wilderness years</t>
        </is>
      </c>
      <c r="I46" s="15" t="inlineStr">
        <is>
          <t xml:space="preserve">Laws, rebellion, and priestly confirmation</t>
        </is>
      </c>
      <c r="J46" s="15" t="inlineStr">
        <is>
          <t xml:space="preserve">Numbers 15-19</t>
        </is>
      </c>
      <c r="K46" s="15" t="inlineStr">
        <is>
          <t xml:space="preserve">High</t>
        </is>
      </c>
      <c r="L46" s="15" t="inlineStr">
        <is>
          <t xml:space="preserve">High</t>
        </is>
      </c>
      <c r="M46" s="15"/>
      <c r="N46" s="15" t="inlineStr">
        <is>
          <t xml:space="preserve">Read the assigned main-spine block in full.</t>
        </is>
      </c>
      <c r="O46" s="15" t="inlineStr">
        <is>
          <t xml:space="preserve">Read primary block; continue to next chronological set.</t>
        </is>
      </c>
      <c r="P46" s="15" t="inlineStr">
        <is>
          <t xml:space="preserve">No</t>
        </is>
      </c>
      <c r="Q46" s="15" t="inlineStr">
        <is>
          <t xml:space="preserve">Wilderness</t>
        </is>
      </c>
      <c r="R46" s="15"/>
      <c r="S46" s="15" t="inlineStr">
        <is>
          <t xml:space="preserve">SRC-TEXT-TORAH; SRC-TORAH-OVERVIEW</t>
        </is>
      </c>
      <c r="T46" s="15" t="inlineStr">
        <is>
          <t xml:space="preserve">Editorial</t>
        </is>
      </c>
      <c r="U46" s="11" t="inlineStr">
        <is>
          <t xml:space="preserve">Needs Review</t>
        </is>
      </c>
      <c r="V46" s="13" t="inlineStr">
        <is>
          <t xml:space="preserve">Draft</t>
        </is>
      </c>
      <c r="W46" s="15"/>
    </row>
    <row r="47" ht="34" customHeight="1">
      <c r="A47" s="15" t="inlineStr">
        <is>
          <t xml:space="preserve">v0.1</t>
        </is>
      </c>
      <c r="B47" s="15" t="inlineStr">
        <is>
          <t xml:space="preserve">Bible_Journey_Canon_Map_v0_1_Genesis_to_2Samuel.xlsx</t>
        </is>
      </c>
      <c r="C47" s="15" t="inlineStr">
        <is>
          <t xml:space="preserve">CRS-NUM-007</t>
        </is>
      </c>
      <c r="D47" s="15">
        <v>430</v>
      </c>
      <c r="E47" s="15">
        <v>1</v>
      </c>
      <c r="F47" s="15" t="inlineStr">
        <is>
          <t xml:space="preserve">Numbers</t>
        </is>
      </c>
      <c r="G47" s="15" t="inlineStr">
        <is>
          <t xml:space="preserve">Wilderness</t>
        </is>
      </c>
      <c r="H47" s="15" t="inlineStr">
        <is>
          <t xml:space="preserve">Toward Moab</t>
        </is>
      </c>
      <c r="I47" s="15" t="inlineStr">
        <is>
          <t xml:space="preserve">Miriam and Aaron, Edom, and the bronze serpent</t>
        </is>
      </c>
      <c r="J47" s="15" t="inlineStr">
        <is>
          <t xml:space="preserve">Numbers 20-21</t>
        </is>
      </c>
      <c r="K47" s="15" t="inlineStr">
        <is>
          <t xml:space="preserve">High</t>
        </is>
      </c>
      <c r="L47" s="15" t="inlineStr">
        <is>
          <t xml:space="preserve">High</t>
        </is>
      </c>
      <c r="M47" s="15"/>
      <c r="N47" s="15" t="inlineStr">
        <is>
          <t xml:space="preserve">Read the assigned main-spine block in full.</t>
        </is>
      </c>
      <c r="O47" s="15" t="inlineStr">
        <is>
          <t xml:space="preserve">Read primary block; continue to next chronological set.</t>
        </is>
      </c>
      <c r="P47" s="15" t="inlineStr">
        <is>
          <t xml:space="preserve">No</t>
        </is>
      </c>
      <c r="Q47" s="15" t="inlineStr">
        <is>
          <t xml:space="preserve">Wilderness</t>
        </is>
      </c>
      <c r="R47" s="15"/>
      <c r="S47" s="15" t="inlineStr">
        <is>
          <t xml:space="preserve">SRC-TEXT-TORAH; SRC-TORAH-OVERVIEW</t>
        </is>
      </c>
      <c r="T47" s="15" t="inlineStr">
        <is>
          <t xml:space="preserve">Editorial</t>
        </is>
      </c>
      <c r="U47" s="11" t="inlineStr">
        <is>
          <t xml:space="preserve">Needs Review</t>
        </is>
      </c>
      <c r="V47" s="13" t="inlineStr">
        <is>
          <t xml:space="preserve">Draft</t>
        </is>
      </c>
      <c r="W47" s="15"/>
    </row>
    <row r="48" ht="34" customHeight="1">
      <c r="A48" s="15" t="inlineStr">
        <is>
          <t xml:space="preserve">v0.1</t>
        </is>
      </c>
      <c r="B48" s="15" t="inlineStr">
        <is>
          <t xml:space="preserve">Bible_Journey_Canon_Map_v0_1_Genesis_to_2Samuel.xlsx</t>
        </is>
      </c>
      <c r="C48" s="15" t="inlineStr">
        <is>
          <t xml:space="preserve">CRS-NUM-008</t>
        </is>
      </c>
      <c r="D48" s="15">
        <v>440</v>
      </c>
      <c r="E48" s="15">
        <v>1</v>
      </c>
      <c r="F48" s="15" t="inlineStr">
        <is>
          <t xml:space="preserve">Numbers</t>
        </is>
      </c>
      <c r="G48" s="15" t="inlineStr">
        <is>
          <t xml:space="preserve">Wilderness</t>
        </is>
      </c>
      <c r="H48" s="15" t="inlineStr">
        <is>
          <t xml:space="preserve">Moab</t>
        </is>
      </c>
      <c r="I48" s="15" t="inlineStr">
        <is>
          <t xml:space="preserve">Balaam and the Moabite king</t>
        </is>
      </c>
      <c r="J48" s="15" t="inlineStr">
        <is>
          <t xml:space="preserve">Numbers 22-24</t>
        </is>
      </c>
      <c r="K48" s="15" t="inlineStr">
        <is>
          <t xml:space="preserve">High</t>
        </is>
      </c>
      <c r="L48" s="15" t="inlineStr">
        <is>
          <t xml:space="preserve">High</t>
        </is>
      </c>
      <c r="M48" s="15"/>
      <c r="N48" s="15" t="inlineStr">
        <is>
          <t xml:space="preserve">Read the assigned main-spine block in full.</t>
        </is>
      </c>
      <c r="O48" s="15" t="inlineStr">
        <is>
          <t xml:space="preserve">Read primary block; continue to next chronological set.</t>
        </is>
      </c>
      <c r="P48" s="15" t="inlineStr">
        <is>
          <t xml:space="preserve">No</t>
        </is>
      </c>
      <c r="Q48" s="15" t="inlineStr">
        <is>
          <t xml:space="preserve">Wilderness</t>
        </is>
      </c>
      <c r="R48" s="15"/>
      <c r="S48" s="15" t="inlineStr">
        <is>
          <t xml:space="preserve">SRC-TEXT-TORAH; SRC-TORAH-OVERVIEW</t>
        </is>
      </c>
      <c r="T48" s="15" t="inlineStr">
        <is>
          <t xml:space="preserve">Editorial</t>
        </is>
      </c>
      <c r="U48" s="11" t="inlineStr">
        <is>
          <t xml:space="preserve">Needs Review</t>
        </is>
      </c>
      <c r="V48" s="13" t="inlineStr">
        <is>
          <t xml:space="preserve">Draft</t>
        </is>
      </c>
      <c r="W48" s="15"/>
    </row>
    <row r="49" ht="34" customHeight="1">
      <c r="A49" s="15" t="inlineStr">
        <is>
          <t xml:space="preserve">v0.1</t>
        </is>
      </c>
      <c r="B49" s="15" t="inlineStr">
        <is>
          <t xml:space="preserve">Bible_Journey_Canon_Map_v0_1_Genesis_to_2Samuel.xlsx</t>
        </is>
      </c>
      <c r="C49" s="15" t="inlineStr">
        <is>
          <t xml:space="preserve">CRS-NUM-009</t>
        </is>
      </c>
      <c r="D49" s="15">
        <v>450</v>
      </c>
      <c r="E49" s="15">
        <v>1</v>
      </c>
      <c r="F49" s="15" t="inlineStr">
        <is>
          <t xml:space="preserve">Numbers</t>
        </is>
      </c>
      <c r="G49" s="15" t="inlineStr">
        <is>
          <t xml:space="preserve">Wilderness</t>
        </is>
      </c>
      <c r="H49" s="15" t="inlineStr">
        <is>
          <t xml:space="preserve">Moab</t>
        </is>
      </c>
      <c r="I49" s="15" t="inlineStr">
        <is>
          <t xml:space="preserve">Baal Peor and the new census</t>
        </is>
      </c>
      <c r="J49" s="15" t="inlineStr">
        <is>
          <t xml:space="preserve">Numbers 25-26</t>
        </is>
      </c>
      <c r="K49" s="15" t="inlineStr">
        <is>
          <t xml:space="preserve">High</t>
        </is>
      </c>
      <c r="L49" s="15" t="inlineStr">
        <is>
          <t xml:space="preserve">High</t>
        </is>
      </c>
      <c r="M49" s="15"/>
      <c r="N49" s="15" t="inlineStr">
        <is>
          <t xml:space="preserve">Read the assigned main-spine block in full.</t>
        </is>
      </c>
      <c r="O49" s="15" t="inlineStr">
        <is>
          <t xml:space="preserve">Read primary block; continue to next chronological set.</t>
        </is>
      </c>
      <c r="P49" s="15" t="inlineStr">
        <is>
          <t xml:space="preserve">No</t>
        </is>
      </c>
      <c r="Q49" s="15" t="inlineStr">
        <is>
          <t xml:space="preserve">Wilderness</t>
        </is>
      </c>
      <c r="R49" s="15"/>
      <c r="S49" s="15" t="inlineStr">
        <is>
          <t xml:space="preserve">SRC-TEXT-TORAH; SRC-TORAH-OVERVIEW</t>
        </is>
      </c>
      <c r="T49" s="15" t="inlineStr">
        <is>
          <t xml:space="preserve">Editorial</t>
        </is>
      </c>
      <c r="U49" s="11" t="inlineStr">
        <is>
          <t xml:space="preserve">Needs Review</t>
        </is>
      </c>
      <c r="V49" s="13" t="inlineStr">
        <is>
          <t xml:space="preserve">Draft</t>
        </is>
      </c>
      <c r="W49" s="15"/>
    </row>
    <row r="50" ht="34" customHeight="1">
      <c r="A50" s="15" t="inlineStr">
        <is>
          <t xml:space="preserve">v0.1</t>
        </is>
      </c>
      <c r="B50" s="15" t="inlineStr">
        <is>
          <t xml:space="preserve">Bible_Journey_Canon_Map_v0_1_Genesis_to_2Samuel.xlsx</t>
        </is>
      </c>
      <c r="C50" s="15" t="inlineStr">
        <is>
          <t xml:space="preserve">CRS-NUM-010</t>
        </is>
      </c>
      <c r="D50" s="15">
        <v>460</v>
      </c>
      <c r="E50" s="15">
        <v>1</v>
      </c>
      <c r="F50" s="15" t="inlineStr">
        <is>
          <t xml:space="preserve">Numbers</t>
        </is>
      </c>
      <c r="G50" s="15" t="inlineStr">
        <is>
          <t xml:space="preserve">Wilderness</t>
        </is>
      </c>
      <c r="H50" s="15" t="inlineStr">
        <is>
          <t xml:space="preserve">Next generation</t>
        </is>
      </c>
      <c r="I50" s="15" t="inlineStr">
        <is>
          <t xml:space="preserve">Inheritance, Joshua's commissioning, offerings, and vows</t>
        </is>
      </c>
      <c r="J50" s="15" t="inlineStr">
        <is>
          <t xml:space="preserve">Numbers 27-30</t>
        </is>
      </c>
      <c r="K50" s="15" t="inlineStr">
        <is>
          <t xml:space="preserve">High</t>
        </is>
      </c>
      <c r="L50" s="15" t="inlineStr">
        <is>
          <t xml:space="preserve">High</t>
        </is>
      </c>
      <c r="M50" s="15"/>
      <c r="N50" s="15" t="inlineStr">
        <is>
          <t xml:space="preserve">Read the assigned main-spine block in full.</t>
        </is>
      </c>
      <c r="O50" s="15" t="inlineStr">
        <is>
          <t xml:space="preserve">Read primary block; continue to next chronological set.</t>
        </is>
      </c>
      <c r="P50" s="15" t="inlineStr">
        <is>
          <t xml:space="preserve">No</t>
        </is>
      </c>
      <c r="Q50" s="15" t="inlineStr">
        <is>
          <t xml:space="preserve">Wilderness</t>
        </is>
      </c>
      <c r="R50" s="15"/>
      <c r="S50" s="15" t="inlineStr">
        <is>
          <t xml:space="preserve">SRC-TEXT-TORAH; SRC-TORAH-OVERVIEW</t>
        </is>
      </c>
      <c r="T50" s="15" t="inlineStr">
        <is>
          <t xml:space="preserve">Editorial</t>
        </is>
      </c>
      <c r="U50" s="11" t="inlineStr">
        <is>
          <t xml:space="preserve">Needs Review</t>
        </is>
      </c>
      <c r="V50" s="13" t="inlineStr">
        <is>
          <t xml:space="preserve">Draft</t>
        </is>
      </c>
      <c r="W50" s="15"/>
    </row>
    <row r="51" ht="34" customHeight="1">
      <c r="A51" s="15" t="inlineStr">
        <is>
          <t xml:space="preserve">v0.1</t>
        </is>
      </c>
      <c r="B51" s="15" t="inlineStr">
        <is>
          <t xml:space="preserve">Bible_Journey_Canon_Map_v0_1_Genesis_to_2Samuel.xlsx</t>
        </is>
      </c>
      <c r="C51" s="15" t="inlineStr">
        <is>
          <t xml:space="preserve">CRS-NUM-011</t>
        </is>
      </c>
      <c r="D51" s="15">
        <v>470</v>
      </c>
      <c r="E51" s="15">
        <v>1</v>
      </c>
      <c r="F51" s="15" t="inlineStr">
        <is>
          <t xml:space="preserve">Numbers</t>
        </is>
      </c>
      <c r="G51" s="15" t="inlineStr">
        <is>
          <t xml:space="preserve">Wilderness</t>
        </is>
      </c>
      <c r="H51" s="15" t="inlineStr">
        <is>
          <t xml:space="preserve">Transjordan</t>
        </is>
      </c>
      <c r="I51" s="15" t="inlineStr">
        <is>
          <t xml:space="preserve">War with Midian and Transjordan settlement</t>
        </is>
      </c>
      <c r="J51" s="15" t="inlineStr">
        <is>
          <t xml:space="preserve">Numbers 31-32</t>
        </is>
      </c>
      <c r="K51" s="15" t="inlineStr">
        <is>
          <t xml:space="preserve">High</t>
        </is>
      </c>
      <c r="L51" s="15" t="inlineStr">
        <is>
          <t xml:space="preserve">High</t>
        </is>
      </c>
      <c r="M51" s="15"/>
      <c r="N51" s="15" t="inlineStr">
        <is>
          <t xml:space="preserve">Read the assigned main-spine block in full.</t>
        </is>
      </c>
      <c r="O51" s="15" t="inlineStr">
        <is>
          <t xml:space="preserve">Read primary block; continue to next chronological set.</t>
        </is>
      </c>
      <c r="P51" s="15" t="inlineStr">
        <is>
          <t xml:space="preserve">No</t>
        </is>
      </c>
      <c r="Q51" s="15" t="inlineStr">
        <is>
          <t xml:space="preserve">Wilderness</t>
        </is>
      </c>
      <c r="R51" s="15"/>
      <c r="S51" s="15" t="inlineStr">
        <is>
          <t xml:space="preserve">SRC-TEXT-TORAH; SRC-TORAH-OVERVIEW</t>
        </is>
      </c>
      <c r="T51" s="15" t="inlineStr">
        <is>
          <t xml:space="preserve">Editorial</t>
        </is>
      </c>
      <c r="U51" s="11" t="inlineStr">
        <is>
          <t xml:space="preserve">Needs Review</t>
        </is>
      </c>
      <c r="V51" s="13" t="inlineStr">
        <is>
          <t xml:space="preserve">Draft</t>
        </is>
      </c>
      <c r="W51" s="15"/>
    </row>
    <row r="52" ht="34" customHeight="1">
      <c r="A52" s="15" t="inlineStr">
        <is>
          <t xml:space="preserve">v0.1</t>
        </is>
      </c>
      <c r="B52" s="15" t="inlineStr">
        <is>
          <t xml:space="preserve">Bible_Journey_Canon_Map_v0_1_Genesis_to_2Samuel.xlsx</t>
        </is>
      </c>
      <c r="C52" s="15" t="inlineStr">
        <is>
          <t xml:space="preserve">CRS-NUM-012</t>
        </is>
      </c>
      <c r="D52" s="15">
        <v>480</v>
      </c>
      <c r="E52" s="15">
        <v>1</v>
      </c>
      <c r="F52" s="15" t="inlineStr">
        <is>
          <t xml:space="preserve">Numbers</t>
        </is>
      </c>
      <c r="G52" s="15" t="inlineStr">
        <is>
          <t xml:space="preserve">Wilderness</t>
        </is>
      </c>
      <c r="H52" s="15" t="inlineStr">
        <is>
          <t xml:space="preserve">Preparation for entry</t>
        </is>
      </c>
      <c r="I52" s="15" t="inlineStr">
        <is>
          <t xml:space="preserve">Stages, boundaries, cities, and inheritance</t>
        </is>
      </c>
      <c r="J52" s="15" t="inlineStr">
        <is>
          <t xml:space="preserve">Numbers 33-36</t>
        </is>
      </c>
      <c r="K52" s="15" t="inlineStr">
        <is>
          <t xml:space="preserve">High</t>
        </is>
      </c>
      <c r="L52" s="15" t="inlineStr">
        <is>
          <t xml:space="preserve">High</t>
        </is>
      </c>
      <c r="M52" s="15"/>
      <c r="N52" s="15" t="inlineStr">
        <is>
          <t xml:space="preserve">Read the assigned main-spine block in full.</t>
        </is>
      </c>
      <c r="O52" s="15" t="inlineStr">
        <is>
          <t xml:space="preserve">Read primary block; continue to next chronological set.</t>
        </is>
      </c>
      <c r="P52" s="15" t="inlineStr">
        <is>
          <t xml:space="preserve">No</t>
        </is>
      </c>
      <c r="Q52" s="15" t="inlineStr">
        <is>
          <t xml:space="preserve">Wilderness</t>
        </is>
      </c>
      <c r="R52" s="15"/>
      <c r="S52" s="15" t="inlineStr">
        <is>
          <t xml:space="preserve">SRC-TEXT-TORAH; SRC-TORAH-OVERVIEW</t>
        </is>
      </c>
      <c r="T52" s="15" t="inlineStr">
        <is>
          <t xml:space="preserve">Editorial</t>
        </is>
      </c>
      <c r="U52" s="11" t="inlineStr">
        <is>
          <t xml:space="preserve">Needs Review</t>
        </is>
      </c>
      <c r="V52" s="13" t="inlineStr">
        <is>
          <t xml:space="preserve">Draft</t>
        </is>
      </c>
      <c r="W52" s="15"/>
    </row>
    <row r="53" ht="34" customHeight="1">
      <c r="A53" s="15" t="inlineStr">
        <is>
          <t xml:space="preserve">v0.1</t>
        </is>
      </c>
      <c r="B53" s="15" t="inlineStr">
        <is>
          <t xml:space="preserve">Bible_Journey_Canon_Map_v0_1_Genesis_to_2Samuel.xlsx</t>
        </is>
      </c>
      <c r="C53" s="15" t="inlineStr">
        <is>
          <t xml:space="preserve">CRS-DEU-001</t>
        </is>
      </c>
      <c r="D53" s="15">
        <v>490</v>
      </c>
      <c r="E53" s="15">
        <v>1</v>
      </c>
      <c r="F53" s="15" t="inlineStr">
        <is>
          <t xml:space="preserve">Deuteronomy</t>
        </is>
      </c>
      <c r="G53" s="15" t="inlineStr">
        <is>
          <t xml:space="preserve">Plains of Moab</t>
        </is>
      </c>
      <c r="H53" s="15" t="inlineStr">
        <is>
          <t xml:space="preserve">Moses' first discourse</t>
        </is>
      </c>
      <c r="I53" s="15" t="inlineStr">
        <is>
          <t xml:space="preserve">Historical review and call to obedience</t>
        </is>
      </c>
      <c r="J53" s="15" t="inlineStr">
        <is>
          <t xml:space="preserve">Deuteronomy 1-4</t>
        </is>
      </c>
      <c r="K53" s="15" t="inlineStr">
        <is>
          <t xml:space="preserve">High</t>
        </is>
      </c>
      <c r="L53" s="15" t="inlineStr">
        <is>
          <t xml:space="preserve">High</t>
        </is>
      </c>
      <c r="M53" s="15"/>
      <c r="N53" s="15" t="inlineStr">
        <is>
          <t xml:space="preserve">Read the assigned main-spine block in full.</t>
        </is>
      </c>
      <c r="O53" s="15" t="inlineStr">
        <is>
          <t xml:space="preserve">Read primary block; continue to next chronological set.</t>
        </is>
      </c>
      <c r="P53" s="15" t="inlineStr">
        <is>
          <t xml:space="preserve">No</t>
        </is>
      </c>
      <c r="Q53" s="15" t="inlineStr">
        <is>
          <t xml:space="preserve">Wilderness; Covenant</t>
        </is>
      </c>
      <c r="R53" s="15"/>
      <c r="S53" s="15" t="inlineStr">
        <is>
          <t xml:space="preserve">SRC-TEXT-DEUT; SRC-DEUT-OVERVIEW; SRC-DET-HISTORY</t>
        </is>
      </c>
      <c r="T53" s="15" t="inlineStr">
        <is>
          <t xml:space="preserve">Editorial</t>
        </is>
      </c>
      <c r="U53" s="11" t="inlineStr">
        <is>
          <t xml:space="preserve">Needs Review</t>
        </is>
      </c>
      <c r="V53" s="13" t="inlineStr">
        <is>
          <t xml:space="preserve">Draft</t>
        </is>
      </c>
      <c r="W53" s="15"/>
    </row>
    <row r="54" ht="34" customHeight="1">
      <c r="A54" s="15" t="inlineStr">
        <is>
          <t xml:space="preserve">v0.1</t>
        </is>
      </c>
      <c r="B54" s="15" t="inlineStr">
        <is>
          <t xml:space="preserve">Bible_Journey_Canon_Map_v0_1_Genesis_to_2Samuel.xlsx</t>
        </is>
      </c>
      <c r="C54" s="15" t="inlineStr">
        <is>
          <t xml:space="preserve">CRS-DEU-002</t>
        </is>
      </c>
      <c r="D54" s="15">
        <v>500</v>
      </c>
      <c r="E54" s="15">
        <v>1</v>
      </c>
      <c r="F54" s="15" t="inlineStr">
        <is>
          <t xml:space="preserve">Deuteronomy</t>
        </is>
      </c>
      <c r="G54" s="15" t="inlineStr">
        <is>
          <t xml:space="preserve">Plains of Moab</t>
        </is>
      </c>
      <c r="H54" s="15" t="inlineStr">
        <is>
          <t xml:space="preserve">Moses' second discourse</t>
        </is>
      </c>
      <c r="I54" s="15" t="inlineStr">
        <is>
          <t xml:space="preserve">Covenant, allegiance, and the Shema</t>
        </is>
      </c>
      <c r="J54" s="15" t="inlineStr">
        <is>
          <t xml:space="preserve">Deuteronomy 5-11</t>
        </is>
      </c>
      <c r="K54" s="15" t="inlineStr">
        <is>
          <t xml:space="preserve">High</t>
        </is>
      </c>
      <c r="L54" s="15" t="inlineStr">
        <is>
          <t xml:space="preserve">High</t>
        </is>
      </c>
      <c r="M54" s="15"/>
      <c r="N54" s="15" t="inlineStr">
        <is>
          <t xml:space="preserve">Read the assigned main-spine block in full.</t>
        </is>
      </c>
      <c r="O54" s="15" t="inlineStr">
        <is>
          <t xml:space="preserve">Read primary block; continue to next chronological set.</t>
        </is>
      </c>
      <c r="P54" s="15" t="inlineStr">
        <is>
          <t xml:space="preserve">No</t>
        </is>
      </c>
      <c r="Q54" s="15" t="inlineStr">
        <is>
          <t xml:space="preserve">Wilderness; Covenant</t>
        </is>
      </c>
      <c r="R54" s="15"/>
      <c r="S54" s="15" t="inlineStr">
        <is>
          <t xml:space="preserve">SRC-TEXT-DEUT; SRC-DEUT-OVERVIEW; SRC-DET-HISTORY</t>
        </is>
      </c>
      <c r="T54" s="15" t="inlineStr">
        <is>
          <t xml:space="preserve">Editorial</t>
        </is>
      </c>
      <c r="U54" s="11" t="inlineStr">
        <is>
          <t xml:space="preserve">Needs Review</t>
        </is>
      </c>
      <c r="V54" s="13" t="inlineStr">
        <is>
          <t xml:space="preserve">Draft</t>
        </is>
      </c>
      <c r="W54" s="15"/>
    </row>
    <row r="55" ht="34" customHeight="1">
      <c r="A55" s="15" t="inlineStr">
        <is>
          <t xml:space="preserve">v0.1</t>
        </is>
      </c>
      <c r="B55" s="15" t="inlineStr">
        <is>
          <t xml:space="preserve">Bible_Journey_Canon_Map_v0_1_Genesis_to_2Samuel.xlsx</t>
        </is>
      </c>
      <c r="C55" s="15" t="inlineStr">
        <is>
          <t xml:space="preserve">CRS-DEU-003</t>
        </is>
      </c>
      <c r="D55" s="15">
        <v>510</v>
      </c>
      <c r="E55" s="15">
        <v>1</v>
      </c>
      <c r="F55" s="15" t="inlineStr">
        <is>
          <t xml:space="preserve">Deuteronomy</t>
        </is>
      </c>
      <c r="G55" s="15" t="inlineStr">
        <is>
          <t xml:space="preserve">Plains of Moab</t>
        </is>
      </c>
      <c r="H55" s="15" t="inlineStr">
        <is>
          <t xml:space="preserve">Moses' second discourse</t>
        </is>
      </c>
      <c r="I55" s="15" t="inlineStr">
        <is>
          <t xml:space="preserve">Worship, justice, and communal life</t>
        </is>
      </c>
      <c r="J55" s="15" t="inlineStr">
        <is>
          <t xml:space="preserve">Deuteronomy 12-18</t>
        </is>
      </c>
      <c r="K55" s="15" t="inlineStr">
        <is>
          <t xml:space="preserve">High</t>
        </is>
      </c>
      <c r="L55" s="15" t="inlineStr">
        <is>
          <t xml:space="preserve">High</t>
        </is>
      </c>
      <c r="M55" s="15"/>
      <c r="N55" s="15" t="inlineStr">
        <is>
          <t xml:space="preserve">Read the assigned main-spine block in full.</t>
        </is>
      </c>
      <c r="O55" s="15" t="inlineStr">
        <is>
          <t xml:space="preserve">Read primary block; continue to next chronological set.</t>
        </is>
      </c>
      <c r="P55" s="15" t="inlineStr">
        <is>
          <t xml:space="preserve">No</t>
        </is>
      </c>
      <c r="Q55" s="15" t="inlineStr">
        <is>
          <t xml:space="preserve">Wilderness; Covenant</t>
        </is>
      </c>
      <c r="R55" s="15"/>
      <c r="S55" s="15" t="inlineStr">
        <is>
          <t xml:space="preserve">SRC-TEXT-DEUT; SRC-DEUT-OVERVIEW; SRC-DET-HISTORY</t>
        </is>
      </c>
      <c r="T55" s="15" t="inlineStr">
        <is>
          <t xml:space="preserve">Editorial</t>
        </is>
      </c>
      <c r="U55" s="11" t="inlineStr">
        <is>
          <t xml:space="preserve">Needs Review</t>
        </is>
      </c>
      <c r="V55" s="13" t="inlineStr">
        <is>
          <t xml:space="preserve">Draft</t>
        </is>
      </c>
      <c r="W55" s="15"/>
    </row>
    <row r="56" ht="34" customHeight="1">
      <c r="A56" s="15" t="inlineStr">
        <is>
          <t xml:space="preserve">v0.1</t>
        </is>
      </c>
      <c r="B56" s="15" t="inlineStr">
        <is>
          <t xml:space="preserve">Bible_Journey_Canon_Map_v0_1_Genesis_to_2Samuel.xlsx</t>
        </is>
      </c>
      <c r="C56" s="15" t="inlineStr">
        <is>
          <t xml:space="preserve">CRS-DEU-004</t>
        </is>
      </c>
      <c r="D56" s="15">
        <v>520</v>
      </c>
      <c r="E56" s="15">
        <v>1</v>
      </c>
      <c r="F56" s="15" t="inlineStr">
        <is>
          <t xml:space="preserve">Deuteronomy</t>
        </is>
      </c>
      <c r="G56" s="15" t="inlineStr">
        <is>
          <t xml:space="preserve">Plains of Moab</t>
        </is>
      </c>
      <c r="H56" s="15" t="inlineStr">
        <is>
          <t xml:space="preserve">Moses' second discourse</t>
        </is>
      </c>
      <c r="I56" s="15" t="inlineStr">
        <is>
          <t xml:space="preserve">Justice, leadership, war, and covenant practice</t>
        </is>
      </c>
      <c r="J56" s="15" t="inlineStr">
        <is>
          <t xml:space="preserve">Deuteronomy 19-26</t>
        </is>
      </c>
      <c r="K56" s="15" t="inlineStr">
        <is>
          <t xml:space="preserve">High</t>
        </is>
      </c>
      <c r="L56" s="15" t="inlineStr">
        <is>
          <t xml:space="preserve">High</t>
        </is>
      </c>
      <c r="M56" s="15"/>
      <c r="N56" s="15" t="inlineStr">
        <is>
          <t xml:space="preserve">Read the assigned main-spine block in full.</t>
        </is>
      </c>
      <c r="O56" s="15" t="inlineStr">
        <is>
          <t xml:space="preserve">Read primary block; continue to next chronological set.</t>
        </is>
      </c>
      <c r="P56" s="15" t="inlineStr">
        <is>
          <t xml:space="preserve">No</t>
        </is>
      </c>
      <c r="Q56" s="15" t="inlineStr">
        <is>
          <t xml:space="preserve">Wilderness; Covenant</t>
        </is>
      </c>
      <c r="R56" s="15"/>
      <c r="S56" s="15" t="inlineStr">
        <is>
          <t xml:space="preserve">SRC-TEXT-DEUT; SRC-DEUT-OVERVIEW; SRC-DET-HISTORY</t>
        </is>
      </c>
      <c r="T56" s="15" t="inlineStr">
        <is>
          <t xml:space="preserve">Editorial</t>
        </is>
      </c>
      <c r="U56" s="11" t="inlineStr">
        <is>
          <t xml:space="preserve">Needs Review</t>
        </is>
      </c>
      <c r="V56" s="13" t="inlineStr">
        <is>
          <t xml:space="preserve">Draft</t>
        </is>
      </c>
      <c r="W56" s="15"/>
    </row>
    <row r="57" ht="34" customHeight="1">
      <c r="A57" s="15" t="inlineStr">
        <is>
          <t xml:space="preserve">v0.1</t>
        </is>
      </c>
      <c r="B57" s="15" t="inlineStr">
        <is>
          <t xml:space="preserve">Bible_Journey_Canon_Map_v0_1_Genesis_to_2Samuel.xlsx</t>
        </is>
      </c>
      <c r="C57" s="15" t="inlineStr">
        <is>
          <t xml:space="preserve">CRS-DEU-005</t>
        </is>
      </c>
      <c r="D57" s="15">
        <v>530</v>
      </c>
      <c r="E57" s="15">
        <v>1</v>
      </c>
      <c r="F57" s="15" t="inlineStr">
        <is>
          <t xml:space="preserve">Deuteronomy</t>
        </is>
      </c>
      <c r="G57" s="15" t="inlineStr">
        <is>
          <t xml:space="preserve">Plains of Moab</t>
        </is>
      </c>
      <c r="H57" s="15" t="inlineStr">
        <is>
          <t xml:space="preserve">Covenant renewal</t>
        </is>
      </c>
      <c r="I57" s="15" t="inlineStr">
        <is>
          <t xml:space="preserve">Blessings, curses, and covenant consequences</t>
        </is>
      </c>
      <c r="J57" s="15" t="inlineStr">
        <is>
          <t xml:space="preserve">Deuteronomy 27-28</t>
        </is>
      </c>
      <c r="K57" s="15" t="inlineStr">
        <is>
          <t xml:space="preserve">High</t>
        </is>
      </c>
      <c r="L57" s="15" t="inlineStr">
        <is>
          <t xml:space="preserve">High</t>
        </is>
      </c>
      <c r="M57" s="15"/>
      <c r="N57" s="15" t="inlineStr">
        <is>
          <t xml:space="preserve">Read the assigned main-spine block in full.</t>
        </is>
      </c>
      <c r="O57" s="15" t="inlineStr">
        <is>
          <t xml:space="preserve">Read primary block; continue to next chronological set.</t>
        </is>
      </c>
      <c r="P57" s="15" t="inlineStr">
        <is>
          <t xml:space="preserve">No</t>
        </is>
      </c>
      <c r="Q57" s="15" t="inlineStr">
        <is>
          <t xml:space="preserve">Wilderness; Covenant</t>
        </is>
      </c>
      <c r="R57" s="15"/>
      <c r="S57" s="15" t="inlineStr">
        <is>
          <t xml:space="preserve">SRC-TEXT-DEUT; SRC-DEUT-OVERVIEW; SRC-DET-HISTORY</t>
        </is>
      </c>
      <c r="T57" s="15" t="inlineStr">
        <is>
          <t xml:space="preserve">Editorial</t>
        </is>
      </c>
      <c r="U57" s="11" t="inlineStr">
        <is>
          <t xml:space="preserve">Needs Review</t>
        </is>
      </c>
      <c r="V57" s="13" t="inlineStr">
        <is>
          <t xml:space="preserve">Draft</t>
        </is>
      </c>
      <c r="W57" s="15"/>
    </row>
    <row r="58" ht="34" customHeight="1">
      <c r="A58" s="15" t="inlineStr">
        <is>
          <t xml:space="preserve">v0.1</t>
        </is>
      </c>
      <c r="B58" s="15" t="inlineStr">
        <is>
          <t xml:space="preserve">Bible_Journey_Canon_Map_v0_1_Genesis_to_2Samuel.xlsx</t>
        </is>
      </c>
      <c r="C58" s="15" t="inlineStr">
        <is>
          <t xml:space="preserve">CRS-DEU-006</t>
        </is>
      </c>
      <c r="D58" s="15">
        <v>540</v>
      </c>
      <c r="E58" s="15">
        <v>1</v>
      </c>
      <c r="F58" s="15" t="inlineStr">
        <is>
          <t xml:space="preserve">Deuteronomy</t>
        </is>
      </c>
      <c r="G58" s="15" t="inlineStr">
        <is>
          <t xml:space="preserve">Plains of Moab</t>
        </is>
      </c>
      <c r="H58" s="15" t="inlineStr">
        <is>
          <t xml:space="preserve">Covenant renewal</t>
        </is>
      </c>
      <c r="I58" s="15" t="inlineStr">
        <is>
          <t xml:space="preserve">Renewal, return, and choice</t>
        </is>
      </c>
      <c r="J58" s="15" t="inlineStr">
        <is>
          <t xml:space="preserve">Deuteronomy 29-30</t>
        </is>
      </c>
      <c r="K58" s="15" t="inlineStr">
        <is>
          <t xml:space="preserve">High</t>
        </is>
      </c>
      <c r="L58" s="15" t="inlineStr">
        <is>
          <t xml:space="preserve">High</t>
        </is>
      </c>
      <c r="M58" s="15"/>
      <c r="N58" s="15" t="inlineStr">
        <is>
          <t xml:space="preserve">Read the assigned main-spine block in full.</t>
        </is>
      </c>
      <c r="O58" s="15" t="inlineStr">
        <is>
          <t xml:space="preserve">Read primary block; continue to next chronological set.</t>
        </is>
      </c>
      <c r="P58" s="15" t="inlineStr">
        <is>
          <t xml:space="preserve">No</t>
        </is>
      </c>
      <c r="Q58" s="15" t="inlineStr">
        <is>
          <t xml:space="preserve">Wilderness; Covenant</t>
        </is>
      </c>
      <c r="R58" s="15"/>
      <c r="S58" s="15" t="inlineStr">
        <is>
          <t xml:space="preserve">SRC-TEXT-DEUT; SRC-DEUT-OVERVIEW; SRC-DET-HISTORY</t>
        </is>
      </c>
      <c r="T58" s="15" t="inlineStr">
        <is>
          <t xml:space="preserve">Editorial</t>
        </is>
      </c>
      <c r="U58" s="11" t="inlineStr">
        <is>
          <t xml:space="preserve">Needs Review</t>
        </is>
      </c>
      <c r="V58" s="13" t="inlineStr">
        <is>
          <t xml:space="preserve">Draft</t>
        </is>
      </c>
      <c r="W58" s="15"/>
    </row>
    <row r="59" ht="34" customHeight="1">
      <c r="A59" s="15" t="inlineStr">
        <is>
          <t xml:space="preserve">v0.1</t>
        </is>
      </c>
      <c r="B59" s="15" t="inlineStr">
        <is>
          <t xml:space="preserve">Bible_Journey_Canon_Map_v0_1_Genesis_to_2Samuel.xlsx</t>
        </is>
      </c>
      <c r="C59" s="15" t="inlineStr">
        <is>
          <t xml:space="preserve">CRS-DEU-007</t>
        </is>
      </c>
      <c r="D59" s="15">
        <v>550</v>
      </c>
      <c r="E59" s="15">
        <v>1</v>
      </c>
      <c r="F59" s="15" t="inlineStr">
        <is>
          <t xml:space="preserve">Deuteronomy</t>
        </is>
      </c>
      <c r="G59" s="15" t="inlineStr">
        <is>
          <t xml:space="preserve">Plains of Moab</t>
        </is>
      </c>
      <c r="H59" s="15" t="inlineStr">
        <is>
          <t xml:space="preserve">Transition</t>
        </is>
      </c>
      <c r="I59" s="15" t="inlineStr">
        <is>
          <t xml:space="preserve">Joshua's succession and the song of Moses</t>
        </is>
      </c>
      <c r="J59" s="15" t="inlineStr">
        <is>
          <t xml:space="preserve">Deuteronomy 31-32</t>
        </is>
      </c>
      <c r="K59" s="15" t="inlineStr">
        <is>
          <t xml:space="preserve">High</t>
        </is>
      </c>
      <c r="L59" s="15" t="inlineStr">
        <is>
          <t xml:space="preserve">High</t>
        </is>
      </c>
      <c r="M59" s="15"/>
      <c r="N59" s="15" t="inlineStr">
        <is>
          <t xml:space="preserve">Read the assigned main-spine block in full.</t>
        </is>
      </c>
      <c r="O59" s="15" t="inlineStr">
        <is>
          <t xml:space="preserve">Read primary block; continue to next chronological set.</t>
        </is>
      </c>
      <c r="P59" s="15" t="inlineStr">
        <is>
          <t xml:space="preserve">No</t>
        </is>
      </c>
      <c r="Q59" s="15" t="inlineStr">
        <is>
          <t xml:space="preserve">Wilderness; Conquest</t>
        </is>
      </c>
      <c r="R59" s="15"/>
      <c r="S59" s="15" t="inlineStr">
        <is>
          <t xml:space="preserve">SRC-TEXT-DEUT; SRC-DEUT-OVERVIEW; SRC-DET-HISTORY</t>
        </is>
      </c>
      <c r="T59" s="15" t="inlineStr">
        <is>
          <t xml:space="preserve">Editorial</t>
        </is>
      </c>
      <c r="U59" s="11" t="inlineStr">
        <is>
          <t xml:space="preserve">Needs Review</t>
        </is>
      </c>
      <c r="V59" s="13" t="inlineStr">
        <is>
          <t xml:space="preserve">Draft</t>
        </is>
      </c>
      <c r="W59" s="15"/>
    </row>
    <row r="60" ht="34" customHeight="1">
      <c r="A60" s="15" t="inlineStr">
        <is>
          <t xml:space="preserve">v0.1</t>
        </is>
      </c>
      <c r="B60" s="15" t="inlineStr">
        <is>
          <t xml:space="preserve">Bible_Journey_Canon_Map_v0_1_Genesis_to_2Samuel.xlsx</t>
        </is>
      </c>
      <c r="C60" s="15" t="inlineStr">
        <is>
          <t xml:space="preserve">CRS-DEU-008</t>
        </is>
      </c>
      <c r="D60" s="15">
        <v>560</v>
      </c>
      <c r="E60" s="15">
        <v>1</v>
      </c>
      <c r="F60" s="15" t="inlineStr">
        <is>
          <t xml:space="preserve">Deuteronomy</t>
        </is>
      </c>
      <c r="G60" s="15" t="inlineStr">
        <is>
          <t xml:space="preserve">Plains of Moab</t>
        </is>
      </c>
      <c r="H60" s="15" t="inlineStr">
        <is>
          <t xml:space="preserve">Transition</t>
        </is>
      </c>
      <c r="I60" s="15" t="inlineStr">
        <is>
          <t xml:space="preserve">Moses blesses Israel and dies</t>
        </is>
      </c>
      <c r="J60" s="15" t="inlineStr">
        <is>
          <t xml:space="preserve">Deuteronomy 33-34</t>
        </is>
      </c>
      <c r="K60" s="15" t="inlineStr">
        <is>
          <t xml:space="preserve">High</t>
        </is>
      </c>
      <c r="L60" s="15" t="inlineStr">
        <is>
          <t xml:space="preserve">High</t>
        </is>
      </c>
      <c r="M60" s="15"/>
      <c r="N60" s="15" t="inlineStr">
        <is>
          <t xml:space="preserve">Read the assigned main-spine block in full.</t>
        </is>
      </c>
      <c r="O60" s="15" t="inlineStr">
        <is>
          <t xml:space="preserve">Read primary block; continue to next chronological set.</t>
        </is>
      </c>
      <c r="P60" s="15" t="inlineStr">
        <is>
          <t xml:space="preserve">No</t>
        </is>
      </c>
      <c r="Q60" s="15" t="inlineStr">
        <is>
          <t xml:space="preserve">Wilderness; Conquest</t>
        </is>
      </c>
      <c r="R60" s="15"/>
      <c r="S60" s="15" t="inlineStr">
        <is>
          <t xml:space="preserve">SRC-TEXT-DEUT; SRC-DEUT-OVERVIEW; SRC-DET-HISTORY</t>
        </is>
      </c>
      <c r="T60" s="15" t="inlineStr">
        <is>
          <t xml:space="preserve">Editorial</t>
        </is>
      </c>
      <c r="U60" s="11" t="inlineStr">
        <is>
          <t xml:space="preserve">Needs Review</t>
        </is>
      </c>
      <c r="V60" s="13" t="inlineStr">
        <is>
          <t xml:space="preserve">Draft</t>
        </is>
      </c>
      <c r="W60" s="15"/>
    </row>
    <row r="61" ht="34" customHeight="1">
      <c r="A61" s="15" t="inlineStr">
        <is>
          <t xml:space="preserve">v0.1</t>
        </is>
      </c>
      <c r="B61" s="15" t="inlineStr">
        <is>
          <t xml:space="preserve">Bible_Journey_Canon_Map_v0_1_Genesis_to_2Samuel.xlsx</t>
        </is>
      </c>
      <c r="C61" s="15" t="inlineStr">
        <is>
          <t xml:space="preserve">CRS-JOS-001</t>
        </is>
      </c>
      <c r="D61" s="15">
        <v>570</v>
      </c>
      <c r="E61" s="15">
        <v>1</v>
      </c>
      <c r="F61" s="15" t="inlineStr">
        <is>
          <t xml:space="preserve">Joshua</t>
        </is>
      </c>
      <c r="G61" s="15" t="inlineStr">
        <is>
          <t xml:space="preserve">Conquest &amp; Settlement</t>
        </is>
      </c>
      <c r="H61" s="15" t="inlineStr">
        <is>
          <t xml:space="preserve">Entry</t>
        </is>
      </c>
      <c r="I61" s="15" t="inlineStr">
        <is>
          <t xml:space="preserve">Joshua commissioned and Rahab protects the spies</t>
        </is>
      </c>
      <c r="J61" s="15" t="inlineStr">
        <is>
          <t xml:space="preserve">Joshua 1-2</t>
        </is>
      </c>
      <c r="K61" s="15" t="inlineStr">
        <is>
          <t xml:space="preserve">High</t>
        </is>
      </c>
      <c r="L61" s="15" t="inlineStr">
        <is>
          <t xml:space="preserve">High</t>
        </is>
      </c>
      <c r="M61" s="15"/>
      <c r="N61" s="15" t="inlineStr">
        <is>
          <t xml:space="preserve">Read the assigned main-spine block in full.</t>
        </is>
      </c>
      <c r="O61" s="15" t="inlineStr">
        <is>
          <t xml:space="preserve">Read primary block; continue to next chronological set.</t>
        </is>
      </c>
      <c r="P61" s="15" t="inlineStr">
        <is>
          <t xml:space="preserve">No</t>
        </is>
      </c>
      <c r="Q61" s="15" t="inlineStr">
        <is>
          <t xml:space="preserve">Conquest</t>
        </is>
      </c>
      <c r="R61" s="15"/>
      <c r="S61" s="15" t="inlineStr">
        <is>
          <t xml:space="preserve">SRC-TEXT-JOSHUA; SRC-DET-HISTORY</t>
        </is>
      </c>
      <c r="T61" s="15" t="inlineStr">
        <is>
          <t xml:space="preserve">Editorial</t>
        </is>
      </c>
      <c r="U61" s="11" t="inlineStr">
        <is>
          <t xml:space="preserve">Needs Review</t>
        </is>
      </c>
      <c r="V61" s="13" t="inlineStr">
        <is>
          <t xml:space="preserve">Draft</t>
        </is>
      </c>
      <c r="W61" s="15"/>
    </row>
    <row r="62" ht="34" customHeight="1">
      <c r="A62" s="15" t="inlineStr">
        <is>
          <t xml:space="preserve">v0.1</t>
        </is>
      </c>
      <c r="B62" s="15" t="inlineStr">
        <is>
          <t xml:space="preserve">Bible_Journey_Canon_Map_v0_1_Genesis_to_2Samuel.xlsx</t>
        </is>
      </c>
      <c r="C62" s="15" t="inlineStr">
        <is>
          <t xml:space="preserve">CRS-JOS-002</t>
        </is>
      </c>
      <c r="D62" s="15">
        <v>580</v>
      </c>
      <c r="E62" s="15">
        <v>1</v>
      </c>
      <c r="F62" s="15" t="inlineStr">
        <is>
          <t xml:space="preserve">Joshua</t>
        </is>
      </c>
      <c r="G62" s="15" t="inlineStr">
        <is>
          <t xml:space="preserve">Conquest &amp; Settlement</t>
        </is>
      </c>
      <c r="H62" s="15" t="inlineStr">
        <is>
          <t xml:space="preserve">Entry</t>
        </is>
      </c>
      <c r="I62" s="15" t="inlineStr">
        <is>
          <t xml:space="preserve">Crossing the Jordan and memorial stones</t>
        </is>
      </c>
      <c r="J62" s="15" t="inlineStr">
        <is>
          <t xml:space="preserve">Joshua 3-4</t>
        </is>
      </c>
      <c r="K62" s="15" t="inlineStr">
        <is>
          <t xml:space="preserve">High</t>
        </is>
      </c>
      <c r="L62" s="15" t="inlineStr">
        <is>
          <t xml:space="preserve">High</t>
        </is>
      </c>
      <c r="M62" s="15"/>
      <c r="N62" s="15" t="inlineStr">
        <is>
          <t xml:space="preserve">Read the assigned main-spine block in full.</t>
        </is>
      </c>
      <c r="O62" s="15" t="inlineStr">
        <is>
          <t xml:space="preserve">Read primary block; continue to next chronological set.</t>
        </is>
      </c>
      <c r="P62" s="15" t="inlineStr">
        <is>
          <t xml:space="preserve">No</t>
        </is>
      </c>
      <c r="Q62" s="15" t="inlineStr">
        <is>
          <t xml:space="preserve">Conquest</t>
        </is>
      </c>
      <c r="R62" s="15"/>
      <c r="S62" s="15" t="inlineStr">
        <is>
          <t xml:space="preserve">SRC-TEXT-JOSHUA; SRC-DET-HISTORY</t>
        </is>
      </c>
      <c r="T62" s="15" t="inlineStr">
        <is>
          <t xml:space="preserve">Editorial</t>
        </is>
      </c>
      <c r="U62" s="11" t="inlineStr">
        <is>
          <t xml:space="preserve">Needs Review</t>
        </is>
      </c>
      <c r="V62" s="13" t="inlineStr">
        <is>
          <t xml:space="preserve">Draft</t>
        </is>
      </c>
      <c r="W62" s="15"/>
    </row>
    <row r="63" ht="34" customHeight="1">
      <c r="A63" s="15" t="inlineStr">
        <is>
          <t xml:space="preserve">v0.1</t>
        </is>
      </c>
      <c r="B63" s="15" t="inlineStr">
        <is>
          <t xml:space="preserve">Bible_Journey_Canon_Map_v0_1_Genesis_to_2Samuel.xlsx</t>
        </is>
      </c>
      <c r="C63" s="15" t="inlineStr">
        <is>
          <t xml:space="preserve">CRS-JOS-003</t>
        </is>
      </c>
      <c r="D63" s="15">
        <v>590</v>
      </c>
      <c r="E63" s="15">
        <v>1</v>
      </c>
      <c r="F63" s="15" t="inlineStr">
        <is>
          <t xml:space="preserve">Joshua</t>
        </is>
      </c>
      <c r="G63" s="15" t="inlineStr">
        <is>
          <t xml:space="preserve">Conquest &amp; Settlement</t>
        </is>
      </c>
      <c r="H63" s="15" t="inlineStr">
        <is>
          <t xml:space="preserve">Central campaign</t>
        </is>
      </c>
      <c r="I63" s="15" t="inlineStr">
        <is>
          <t xml:space="preserve">Consecration and Jericho</t>
        </is>
      </c>
      <c r="J63" s="15" t="inlineStr">
        <is>
          <t xml:space="preserve">Joshua 5-6</t>
        </is>
      </c>
      <c r="K63" s="15" t="inlineStr">
        <is>
          <t xml:space="preserve">High</t>
        </is>
      </c>
      <c r="L63" s="15" t="inlineStr">
        <is>
          <t xml:space="preserve">High</t>
        </is>
      </c>
      <c r="M63" s="15"/>
      <c r="N63" s="15" t="inlineStr">
        <is>
          <t xml:space="preserve">Read the assigned main-spine block in full.</t>
        </is>
      </c>
      <c r="O63" s="15" t="inlineStr">
        <is>
          <t xml:space="preserve">Read primary block; continue to next chronological set.</t>
        </is>
      </c>
      <c r="P63" s="15" t="inlineStr">
        <is>
          <t xml:space="preserve">No</t>
        </is>
      </c>
      <c r="Q63" s="15" t="inlineStr">
        <is>
          <t xml:space="preserve">Conquest</t>
        </is>
      </c>
      <c r="R63" s="15"/>
      <c r="S63" s="15" t="inlineStr">
        <is>
          <t xml:space="preserve">SRC-TEXT-JOSHUA; SRC-DET-HISTORY</t>
        </is>
      </c>
      <c r="T63" s="15" t="inlineStr">
        <is>
          <t xml:space="preserve">Editorial</t>
        </is>
      </c>
      <c r="U63" s="11" t="inlineStr">
        <is>
          <t xml:space="preserve">Needs Review</t>
        </is>
      </c>
      <c r="V63" s="13" t="inlineStr">
        <is>
          <t xml:space="preserve">Draft</t>
        </is>
      </c>
      <c r="W63" s="15"/>
    </row>
    <row r="64" ht="34" customHeight="1">
      <c r="A64" s="15" t="inlineStr">
        <is>
          <t xml:space="preserve">v0.1</t>
        </is>
      </c>
      <c r="B64" s="15" t="inlineStr">
        <is>
          <t xml:space="preserve">Bible_Journey_Canon_Map_v0_1_Genesis_to_2Samuel.xlsx</t>
        </is>
      </c>
      <c r="C64" s="15" t="inlineStr">
        <is>
          <t xml:space="preserve">CRS-JOS-004</t>
        </is>
      </c>
      <c r="D64" s="15">
        <v>600</v>
      </c>
      <c r="E64" s="15">
        <v>1</v>
      </c>
      <c r="F64" s="15" t="inlineStr">
        <is>
          <t xml:space="preserve">Joshua</t>
        </is>
      </c>
      <c r="G64" s="15" t="inlineStr">
        <is>
          <t xml:space="preserve">Conquest &amp; Settlement</t>
        </is>
      </c>
      <c r="H64" s="15" t="inlineStr">
        <is>
          <t xml:space="preserve">Central campaign</t>
        </is>
      </c>
      <c r="I64" s="15" t="inlineStr">
        <is>
          <t xml:space="preserve">Achan, Ai, and covenant renewal</t>
        </is>
      </c>
      <c r="J64" s="15" t="inlineStr">
        <is>
          <t xml:space="preserve">Joshua 7-8</t>
        </is>
      </c>
      <c r="K64" s="15" t="inlineStr">
        <is>
          <t xml:space="preserve">High</t>
        </is>
      </c>
      <c r="L64" s="15" t="inlineStr">
        <is>
          <t xml:space="preserve">High</t>
        </is>
      </c>
      <c r="M64" s="15"/>
      <c r="N64" s="15" t="inlineStr">
        <is>
          <t xml:space="preserve">Read the assigned main-spine block in full.</t>
        </is>
      </c>
      <c r="O64" s="15" t="inlineStr">
        <is>
          <t xml:space="preserve">Read primary block; continue to next chronological set.</t>
        </is>
      </c>
      <c r="P64" s="15" t="inlineStr">
        <is>
          <t xml:space="preserve">No</t>
        </is>
      </c>
      <c r="Q64" s="15" t="inlineStr">
        <is>
          <t xml:space="preserve">Conquest</t>
        </is>
      </c>
      <c r="R64" s="15"/>
      <c r="S64" s="15" t="inlineStr">
        <is>
          <t xml:space="preserve">SRC-TEXT-JOSHUA; SRC-DET-HISTORY</t>
        </is>
      </c>
      <c r="T64" s="15" t="inlineStr">
        <is>
          <t xml:space="preserve">Editorial</t>
        </is>
      </c>
      <c r="U64" s="11" t="inlineStr">
        <is>
          <t xml:space="preserve">Needs Review</t>
        </is>
      </c>
      <c r="V64" s="13" t="inlineStr">
        <is>
          <t xml:space="preserve">Draft</t>
        </is>
      </c>
      <c r="W64" s="15"/>
    </row>
    <row r="65" ht="34" customHeight="1">
      <c r="A65" s="15" t="inlineStr">
        <is>
          <t xml:space="preserve">v0.1</t>
        </is>
      </c>
      <c r="B65" s="15" t="inlineStr">
        <is>
          <t xml:space="preserve">Bible_Journey_Canon_Map_v0_1_Genesis_to_2Samuel.xlsx</t>
        </is>
      </c>
      <c r="C65" s="15" t="inlineStr">
        <is>
          <t xml:space="preserve">CRS-JOS-005</t>
        </is>
      </c>
      <c r="D65" s="15">
        <v>610</v>
      </c>
      <c r="E65" s="15">
        <v>1</v>
      </c>
      <c r="F65" s="15" t="inlineStr">
        <is>
          <t xml:space="preserve">Joshua</t>
        </is>
      </c>
      <c r="G65" s="15" t="inlineStr">
        <is>
          <t xml:space="preserve">Conquest &amp; Settlement</t>
        </is>
      </c>
      <c r="H65" s="15" t="inlineStr">
        <is>
          <t xml:space="preserve">Southern campaign</t>
        </is>
      </c>
      <c r="I65" s="15" t="inlineStr">
        <is>
          <t xml:space="preserve">Gibeon and the southern campaign</t>
        </is>
      </c>
      <c r="J65" s="15" t="inlineStr">
        <is>
          <t xml:space="preserve">Joshua 9-10</t>
        </is>
      </c>
      <c r="K65" s="15" t="inlineStr">
        <is>
          <t xml:space="preserve">High</t>
        </is>
      </c>
      <c r="L65" s="15" t="inlineStr">
        <is>
          <t xml:space="preserve">High</t>
        </is>
      </c>
      <c r="M65" s="15"/>
      <c r="N65" s="15" t="inlineStr">
        <is>
          <t xml:space="preserve">Read the assigned main-spine block in full.</t>
        </is>
      </c>
      <c r="O65" s="15" t="inlineStr">
        <is>
          <t xml:space="preserve">Read primary block; continue to next chronological set.</t>
        </is>
      </c>
      <c r="P65" s="15" t="inlineStr">
        <is>
          <t xml:space="preserve">No</t>
        </is>
      </c>
      <c r="Q65" s="15" t="inlineStr">
        <is>
          <t xml:space="preserve">Conquest</t>
        </is>
      </c>
      <c r="R65" s="15"/>
      <c r="S65" s="15" t="inlineStr">
        <is>
          <t xml:space="preserve">SRC-TEXT-JOSHUA; SRC-DET-HISTORY</t>
        </is>
      </c>
      <c r="T65" s="15" t="inlineStr">
        <is>
          <t xml:space="preserve">Editorial</t>
        </is>
      </c>
      <c r="U65" s="11" t="inlineStr">
        <is>
          <t xml:space="preserve">Needs Review</t>
        </is>
      </c>
      <c r="V65" s="13" t="inlineStr">
        <is>
          <t xml:space="preserve">Draft</t>
        </is>
      </c>
      <c r="W65" s="15"/>
    </row>
    <row r="66" ht="34" customHeight="1">
      <c r="A66" s="15" t="inlineStr">
        <is>
          <t xml:space="preserve">v0.1</t>
        </is>
      </c>
      <c r="B66" s="15" t="inlineStr">
        <is>
          <t xml:space="preserve">Bible_Journey_Canon_Map_v0_1_Genesis_to_2Samuel.xlsx</t>
        </is>
      </c>
      <c r="C66" s="15" t="inlineStr">
        <is>
          <t xml:space="preserve">CRS-JOS-006</t>
        </is>
      </c>
      <c r="D66" s="15">
        <v>620</v>
      </c>
      <c r="E66" s="15">
        <v>1</v>
      </c>
      <c r="F66" s="15" t="inlineStr">
        <is>
          <t xml:space="preserve">Joshua</t>
        </is>
      </c>
      <c r="G66" s="15" t="inlineStr">
        <is>
          <t xml:space="preserve">Conquest &amp; Settlement</t>
        </is>
      </c>
      <c r="H66" s="15" t="inlineStr">
        <is>
          <t xml:space="preserve">Northern campaign</t>
        </is>
      </c>
      <c r="I66" s="15" t="inlineStr">
        <is>
          <t xml:space="preserve">Northern campaign and conquest summary</t>
        </is>
      </c>
      <c r="J66" s="15" t="inlineStr">
        <is>
          <t xml:space="preserve">Joshua 11-12</t>
        </is>
      </c>
      <c r="K66" s="15" t="inlineStr">
        <is>
          <t xml:space="preserve">High</t>
        </is>
      </c>
      <c r="L66" s="15" t="inlineStr">
        <is>
          <t xml:space="preserve">High</t>
        </is>
      </c>
      <c r="M66" s="15"/>
      <c r="N66" s="15" t="inlineStr">
        <is>
          <t xml:space="preserve">Read the assigned main-spine block in full.</t>
        </is>
      </c>
      <c r="O66" s="15" t="inlineStr">
        <is>
          <t xml:space="preserve">Read primary block; continue to next chronological set.</t>
        </is>
      </c>
      <c r="P66" s="15" t="inlineStr">
        <is>
          <t xml:space="preserve">No</t>
        </is>
      </c>
      <c r="Q66" s="15" t="inlineStr">
        <is>
          <t xml:space="preserve">Conquest</t>
        </is>
      </c>
      <c r="R66" s="15"/>
      <c r="S66" s="15" t="inlineStr">
        <is>
          <t xml:space="preserve">SRC-TEXT-JOSHUA; SRC-DET-HISTORY</t>
        </is>
      </c>
      <c r="T66" s="15" t="inlineStr">
        <is>
          <t xml:space="preserve">Editorial</t>
        </is>
      </c>
      <c r="U66" s="11" t="inlineStr">
        <is>
          <t xml:space="preserve">Needs Review</t>
        </is>
      </c>
      <c r="V66" s="13" t="inlineStr">
        <is>
          <t xml:space="preserve">Draft</t>
        </is>
      </c>
      <c r="W66" s="15"/>
    </row>
    <row r="67" ht="34" customHeight="1">
      <c r="A67" s="15" t="inlineStr">
        <is>
          <t xml:space="preserve">v0.1</t>
        </is>
      </c>
      <c r="B67" s="15" t="inlineStr">
        <is>
          <t xml:space="preserve">Bible_Journey_Canon_Map_v0_1_Genesis_to_2Samuel.xlsx</t>
        </is>
      </c>
      <c r="C67" s="15" t="inlineStr">
        <is>
          <t xml:space="preserve">CRS-JOS-007</t>
        </is>
      </c>
      <c r="D67" s="15">
        <v>630</v>
      </c>
      <c r="E67" s="15">
        <v>1</v>
      </c>
      <c r="F67" s="15" t="inlineStr">
        <is>
          <t xml:space="preserve">Joshua</t>
        </is>
      </c>
      <c r="G67" s="15" t="inlineStr">
        <is>
          <t xml:space="preserve">Conquest &amp; Settlement</t>
        </is>
      </c>
      <c r="H67" s="15" t="inlineStr">
        <is>
          <t xml:space="preserve">Allotment</t>
        </is>
      </c>
      <c r="I67" s="15" t="inlineStr">
        <is>
          <t xml:space="preserve">Tribal allotments</t>
        </is>
      </c>
      <c r="J67" s="15" t="inlineStr">
        <is>
          <t xml:space="preserve">Joshua 13-19</t>
        </is>
      </c>
      <c r="K67" s="15" t="inlineStr">
        <is>
          <t xml:space="preserve">High</t>
        </is>
      </c>
      <c r="L67" s="15" t="inlineStr">
        <is>
          <t xml:space="preserve">High</t>
        </is>
      </c>
      <c r="M67" s="15"/>
      <c r="N67" s="15" t="inlineStr">
        <is>
          <t xml:space="preserve">Read the assigned main-spine block in full.</t>
        </is>
      </c>
      <c r="O67" s="15" t="inlineStr">
        <is>
          <t xml:space="preserve">Read primary block; continue to next chronological set.</t>
        </is>
      </c>
      <c r="P67" s="15" t="inlineStr">
        <is>
          <t xml:space="preserve">No</t>
        </is>
      </c>
      <c r="Q67" s="15" t="inlineStr">
        <is>
          <t xml:space="preserve">Conquest</t>
        </is>
      </c>
      <c r="R67" s="15"/>
      <c r="S67" s="15" t="inlineStr">
        <is>
          <t xml:space="preserve">SRC-TEXT-JOSHUA; SRC-DET-HISTORY</t>
        </is>
      </c>
      <c r="T67" s="15" t="inlineStr">
        <is>
          <t xml:space="preserve">Editorial</t>
        </is>
      </c>
      <c r="U67" s="11" t="inlineStr">
        <is>
          <t xml:space="preserve">Needs Review</t>
        </is>
      </c>
      <c r="V67" s="13" t="inlineStr">
        <is>
          <t xml:space="preserve">Draft</t>
        </is>
      </c>
      <c r="W67" s="15" t="inlineStr">
        <is>
          <t xml:space="preserve">Reading section rather than a single battlefield event; retain maps and territory layers as optional study context.</t>
        </is>
      </c>
    </row>
    <row r="68" ht="34" customHeight="1">
      <c r="A68" s="15" t="inlineStr">
        <is>
          <t xml:space="preserve">v0.1</t>
        </is>
      </c>
      <c r="B68" s="15" t="inlineStr">
        <is>
          <t xml:space="preserve">Bible_Journey_Canon_Map_v0_1_Genesis_to_2Samuel.xlsx</t>
        </is>
      </c>
      <c r="C68" s="15" t="inlineStr">
        <is>
          <t xml:space="preserve">CRS-JOS-008</t>
        </is>
      </c>
      <c r="D68" s="15">
        <v>640</v>
      </c>
      <c r="E68" s="15">
        <v>1</v>
      </c>
      <c r="F68" s="15" t="inlineStr">
        <is>
          <t xml:space="preserve">Joshua</t>
        </is>
      </c>
      <c r="G68" s="15" t="inlineStr">
        <is>
          <t xml:space="preserve">Conquest &amp; Settlement</t>
        </is>
      </c>
      <c r="H68" s="15" t="inlineStr">
        <is>
          <t xml:space="preserve">Settlement</t>
        </is>
      </c>
      <c r="I68" s="15" t="inlineStr">
        <is>
          <t xml:space="preserve">Cities of refuge, Levites, and the eastern altar</t>
        </is>
      </c>
      <c r="J68" s="15" t="inlineStr">
        <is>
          <t xml:space="preserve">Joshua 20-22</t>
        </is>
      </c>
      <c r="K68" s="15" t="inlineStr">
        <is>
          <t xml:space="preserve">High</t>
        </is>
      </c>
      <c r="L68" s="15" t="inlineStr">
        <is>
          <t xml:space="preserve">High</t>
        </is>
      </c>
      <c r="M68" s="15"/>
      <c r="N68" s="15" t="inlineStr">
        <is>
          <t xml:space="preserve">Read the assigned main-spine block in full.</t>
        </is>
      </c>
      <c r="O68" s="15" t="inlineStr">
        <is>
          <t xml:space="preserve">Read primary block; continue to next chronological set.</t>
        </is>
      </c>
      <c r="P68" s="15" t="inlineStr">
        <is>
          <t xml:space="preserve">No</t>
        </is>
      </c>
      <c r="Q68" s="15" t="inlineStr">
        <is>
          <t xml:space="preserve">Conquest</t>
        </is>
      </c>
      <c r="R68" s="15"/>
      <c r="S68" s="15" t="inlineStr">
        <is>
          <t xml:space="preserve">SRC-TEXT-JOSHUA; SRC-DET-HISTORY</t>
        </is>
      </c>
      <c r="T68" s="15" t="inlineStr">
        <is>
          <t xml:space="preserve">Editorial</t>
        </is>
      </c>
      <c r="U68" s="11" t="inlineStr">
        <is>
          <t xml:space="preserve">Needs Review</t>
        </is>
      </c>
      <c r="V68" s="13" t="inlineStr">
        <is>
          <t xml:space="preserve">Draft</t>
        </is>
      </c>
      <c r="W68" s="15"/>
    </row>
    <row r="69" ht="34" customHeight="1">
      <c r="A69" s="15" t="inlineStr">
        <is>
          <t xml:space="preserve">v0.1</t>
        </is>
      </c>
      <c r="B69" s="15" t="inlineStr">
        <is>
          <t xml:space="preserve">Bible_Journey_Canon_Map_v0_1_Genesis_to_2Samuel.xlsx</t>
        </is>
      </c>
      <c r="C69" s="15" t="inlineStr">
        <is>
          <t xml:space="preserve">CRS-JOS-009</t>
        </is>
      </c>
      <c r="D69" s="15">
        <v>650</v>
      </c>
      <c r="E69" s="15">
        <v>1</v>
      </c>
      <c r="F69" s="15" t="inlineStr">
        <is>
          <t xml:space="preserve">Joshua</t>
        </is>
      </c>
      <c r="G69" s="15" t="inlineStr">
        <is>
          <t xml:space="preserve">Conquest &amp; Settlement</t>
        </is>
      </c>
      <c r="H69" s="15" t="inlineStr">
        <is>
          <t xml:space="preserve">Covenant</t>
        </is>
      </c>
      <c r="I69" s="15" t="inlineStr">
        <is>
          <t xml:space="preserve">Joshua's farewell and covenant renewal</t>
        </is>
      </c>
      <c r="J69" s="15" t="inlineStr">
        <is>
          <t xml:space="preserve">Joshua 23-24</t>
        </is>
      </c>
      <c r="K69" s="15" t="inlineStr">
        <is>
          <t xml:space="preserve">High</t>
        </is>
      </c>
      <c r="L69" s="15" t="inlineStr">
        <is>
          <t xml:space="preserve">High</t>
        </is>
      </c>
      <c r="M69" s="15"/>
      <c r="N69" s="15" t="inlineStr">
        <is>
          <t xml:space="preserve">Read the assigned main-spine block in full.</t>
        </is>
      </c>
      <c r="O69" s="15" t="inlineStr">
        <is>
          <t xml:space="preserve">Read primary block; continue to next chronological set.</t>
        </is>
      </c>
      <c r="P69" s="15" t="inlineStr">
        <is>
          <t xml:space="preserve">No</t>
        </is>
      </c>
      <c r="Q69" s="15" t="inlineStr">
        <is>
          <t xml:space="preserve">Conquest</t>
        </is>
      </c>
      <c r="R69" s="15"/>
      <c r="S69" s="15" t="inlineStr">
        <is>
          <t xml:space="preserve">SRC-TEXT-JOSHUA; SRC-DET-HISTORY</t>
        </is>
      </c>
      <c r="T69" s="15" t="inlineStr">
        <is>
          <t xml:space="preserve">Editorial</t>
        </is>
      </c>
      <c r="U69" s="11" t="inlineStr">
        <is>
          <t xml:space="preserve">Needs Review</t>
        </is>
      </c>
      <c r="V69" s="13" t="inlineStr">
        <is>
          <t xml:space="preserve">Draft</t>
        </is>
      </c>
      <c r="W69" s="15"/>
    </row>
    <row r="70" ht="34" customHeight="1">
      <c r="A70" s="15" t="inlineStr">
        <is>
          <t xml:space="preserve">v0.1</t>
        </is>
      </c>
      <c r="B70" s="15" t="inlineStr">
        <is>
          <t xml:space="preserve">Bible_Journey_Canon_Map_v0_1_Genesis_to_2Samuel.xlsx</t>
        </is>
      </c>
      <c r="C70" s="15" t="inlineStr">
        <is>
          <t xml:space="preserve">CRS-JDG-001</t>
        </is>
      </c>
      <c r="D70" s="15">
        <v>660</v>
      </c>
      <c r="E70" s="15">
        <v>1</v>
      </c>
      <c r="F70" s="15" t="inlineStr">
        <is>
          <t xml:space="preserve">Judges</t>
        </is>
      </c>
      <c r="G70" s="15" t="inlineStr">
        <is>
          <t xml:space="preserve">Judges</t>
        </is>
      </c>
      <c r="H70" s="15" t="inlineStr">
        <is>
          <t xml:space="preserve">Opening cycles</t>
        </is>
      </c>
      <c r="I70" s="15" t="inlineStr">
        <is>
          <t xml:space="preserve">Incomplete conquest and the pattern of the judges</t>
        </is>
      </c>
      <c r="J70" s="15" t="inlineStr">
        <is>
          <t xml:space="preserve">Judges 1-3</t>
        </is>
      </c>
      <c r="K70" s="15" t="inlineStr">
        <is>
          <t xml:space="preserve">High</t>
        </is>
      </c>
      <c r="L70" s="15" t="inlineStr">
        <is>
          <t xml:space="preserve">High</t>
        </is>
      </c>
      <c r="M70" s="15"/>
      <c r="N70" s="15" t="inlineStr">
        <is>
          <t xml:space="preserve">Read the assigned main-spine block in full.</t>
        </is>
      </c>
      <c r="O70" s="15" t="inlineStr">
        <is>
          <t xml:space="preserve">Read primary block; continue to next chronological set.</t>
        </is>
      </c>
      <c r="P70" s="15" t="inlineStr">
        <is>
          <t xml:space="preserve">No</t>
        </is>
      </c>
      <c r="Q70" s="15" t="inlineStr">
        <is>
          <t xml:space="preserve">Judges</t>
        </is>
      </c>
      <c r="R70" s="15"/>
      <c r="S70" s="15" t="inlineStr">
        <is>
          <t xml:space="preserve">SRC-TEXT-JUDGES; SRC-DET-HISTORY</t>
        </is>
      </c>
      <c r="T70" s="15" t="inlineStr">
        <is>
          <t xml:space="preserve">Editorial</t>
        </is>
      </c>
      <c r="U70" s="11" t="inlineStr">
        <is>
          <t xml:space="preserve">Needs Review</t>
        </is>
      </c>
      <c r="V70" s="13" t="inlineStr">
        <is>
          <t xml:space="preserve">Draft</t>
        </is>
      </c>
      <c r="W70" s="15" t="inlineStr">
        <is>
          <t xml:space="preserve">Chapter 3 contains both cycle introduction and early judges. Keep chapter-level v0.1 grouping; verse-level segmentation is a later refinement.</t>
        </is>
      </c>
    </row>
    <row r="71" ht="34" customHeight="1">
      <c r="A71" s="15" t="inlineStr">
        <is>
          <t xml:space="preserve">v0.1</t>
        </is>
      </c>
      <c r="B71" s="15" t="inlineStr">
        <is>
          <t xml:space="preserve">Bible_Journey_Canon_Map_v0_1_Genesis_to_2Samuel.xlsx</t>
        </is>
      </c>
      <c r="C71" s="15" t="inlineStr">
        <is>
          <t xml:space="preserve">CRS-JDG-002</t>
        </is>
      </c>
      <c r="D71" s="15">
        <v>670</v>
      </c>
      <c r="E71" s="15">
        <v>1</v>
      </c>
      <c r="F71" s="15" t="inlineStr">
        <is>
          <t xml:space="preserve">Judges</t>
        </is>
      </c>
      <c r="G71" s="15" t="inlineStr">
        <is>
          <t xml:space="preserve">Judges</t>
        </is>
      </c>
      <c r="H71" s="15" t="inlineStr">
        <is>
          <t xml:space="preserve">Deborah and Barak</t>
        </is>
      </c>
      <c r="I71" s="15" t="inlineStr">
        <is>
          <t xml:space="preserve">Deborah, Barak, and the song of deliverance</t>
        </is>
      </c>
      <c r="J71" s="15" t="inlineStr">
        <is>
          <t xml:space="preserve">Judges 4-5</t>
        </is>
      </c>
      <c r="K71" s="15" t="inlineStr">
        <is>
          <t xml:space="preserve">High</t>
        </is>
      </c>
      <c r="L71" s="15" t="inlineStr">
        <is>
          <t xml:space="preserve">High</t>
        </is>
      </c>
      <c r="M71" s="15"/>
      <c r="N71" s="15" t="inlineStr">
        <is>
          <t xml:space="preserve">Read the assigned main-spine block in full.</t>
        </is>
      </c>
      <c r="O71" s="15" t="inlineStr">
        <is>
          <t xml:space="preserve">Read primary block; continue to next chronological set.</t>
        </is>
      </c>
      <c r="P71" s="15" t="inlineStr">
        <is>
          <t xml:space="preserve">No</t>
        </is>
      </c>
      <c r="Q71" s="15" t="inlineStr">
        <is>
          <t xml:space="preserve">Judges</t>
        </is>
      </c>
      <c r="R71" s="15"/>
      <c r="S71" s="15" t="inlineStr">
        <is>
          <t xml:space="preserve">SRC-TEXT-JUDGES; SRC-DET-HISTORY</t>
        </is>
      </c>
      <c r="T71" s="15" t="inlineStr">
        <is>
          <t xml:space="preserve">Editorial</t>
        </is>
      </c>
      <c r="U71" s="11" t="inlineStr">
        <is>
          <t xml:space="preserve">Needs Review</t>
        </is>
      </c>
      <c r="V71" s="13" t="inlineStr">
        <is>
          <t xml:space="preserve">Draft</t>
        </is>
      </c>
      <c r="W71" s="15"/>
    </row>
    <row r="72" ht="34" customHeight="1">
      <c r="A72" s="15" t="inlineStr">
        <is>
          <t xml:space="preserve">v0.1</t>
        </is>
      </c>
      <c r="B72" s="15" t="inlineStr">
        <is>
          <t xml:space="preserve">Bible_Journey_Canon_Map_v0_1_Genesis_to_2Samuel.xlsx</t>
        </is>
      </c>
      <c r="C72" s="15" t="inlineStr">
        <is>
          <t xml:space="preserve">CRS-JDG-003</t>
        </is>
      </c>
      <c r="D72" s="15">
        <v>680</v>
      </c>
      <c r="E72" s="15">
        <v>1</v>
      </c>
      <c r="F72" s="15" t="inlineStr">
        <is>
          <t xml:space="preserve">Judges</t>
        </is>
      </c>
      <c r="G72" s="15" t="inlineStr">
        <is>
          <t xml:space="preserve">Judges</t>
        </is>
      </c>
      <c r="H72" s="15" t="inlineStr">
        <is>
          <t xml:space="preserve">Gideon</t>
        </is>
      </c>
      <c r="I72" s="15" t="inlineStr">
        <is>
          <t xml:space="preserve">Gideon's calling, victory, and legacy</t>
        </is>
      </c>
      <c r="J72" s="15" t="inlineStr">
        <is>
          <t xml:space="preserve">Judges 6-8</t>
        </is>
      </c>
      <c r="K72" s="15" t="inlineStr">
        <is>
          <t xml:space="preserve">High</t>
        </is>
      </c>
      <c r="L72" s="15" t="inlineStr">
        <is>
          <t xml:space="preserve">High</t>
        </is>
      </c>
      <c r="M72" s="15"/>
      <c r="N72" s="15" t="inlineStr">
        <is>
          <t xml:space="preserve">Read the assigned main-spine block in full.</t>
        </is>
      </c>
      <c r="O72" s="15" t="inlineStr">
        <is>
          <t xml:space="preserve">Read primary block; continue to next chronological set.</t>
        </is>
      </c>
      <c r="P72" s="15" t="inlineStr">
        <is>
          <t xml:space="preserve">No</t>
        </is>
      </c>
      <c r="Q72" s="15" t="inlineStr">
        <is>
          <t xml:space="preserve">Judges</t>
        </is>
      </c>
      <c r="R72" s="15"/>
      <c r="S72" s="15" t="inlineStr">
        <is>
          <t xml:space="preserve">SRC-TEXT-JUDGES; SRC-DET-HISTORY</t>
        </is>
      </c>
      <c r="T72" s="15" t="inlineStr">
        <is>
          <t xml:space="preserve">Editorial</t>
        </is>
      </c>
      <c r="U72" s="11" t="inlineStr">
        <is>
          <t xml:space="preserve">Needs Review</t>
        </is>
      </c>
      <c r="V72" s="13" t="inlineStr">
        <is>
          <t xml:space="preserve">Draft</t>
        </is>
      </c>
      <c r="W72" s="15"/>
    </row>
    <row r="73" ht="34" customHeight="1">
      <c r="A73" s="15" t="inlineStr">
        <is>
          <t xml:space="preserve">v0.1</t>
        </is>
      </c>
      <c r="B73" s="15" t="inlineStr">
        <is>
          <t xml:space="preserve">Bible_Journey_Canon_Map_v0_1_Genesis_to_2Samuel.xlsx</t>
        </is>
      </c>
      <c r="C73" s="15" t="inlineStr">
        <is>
          <t xml:space="preserve">CRS-JDG-004</t>
        </is>
      </c>
      <c r="D73" s="15">
        <v>690</v>
      </c>
      <c r="E73" s="15">
        <v>1</v>
      </c>
      <c r="F73" s="15" t="inlineStr">
        <is>
          <t xml:space="preserve">Judges</t>
        </is>
      </c>
      <c r="G73" s="15" t="inlineStr">
        <is>
          <t xml:space="preserve">Judges</t>
        </is>
      </c>
      <c r="H73" s="15" t="inlineStr">
        <is>
          <t xml:space="preserve">Abimelech</t>
        </is>
      </c>
      <c r="I73" s="15" t="inlineStr">
        <is>
          <t xml:space="preserve">Abimelech's rise and fall</t>
        </is>
      </c>
      <c r="J73" s="15" t="inlineStr">
        <is>
          <t xml:space="preserve">Judges 9</t>
        </is>
      </c>
      <c r="K73" s="15" t="inlineStr">
        <is>
          <t xml:space="preserve">High</t>
        </is>
      </c>
      <c r="L73" s="15" t="inlineStr">
        <is>
          <t xml:space="preserve">High</t>
        </is>
      </c>
      <c r="M73" s="15"/>
      <c r="N73" s="15" t="inlineStr">
        <is>
          <t xml:space="preserve">Read the assigned main-spine block in full.</t>
        </is>
      </c>
      <c r="O73" s="15" t="inlineStr">
        <is>
          <t xml:space="preserve">Read primary block; continue to next chronological set.</t>
        </is>
      </c>
      <c r="P73" s="15" t="inlineStr">
        <is>
          <t xml:space="preserve">No</t>
        </is>
      </c>
      <c r="Q73" s="15" t="inlineStr">
        <is>
          <t xml:space="preserve">Judges</t>
        </is>
      </c>
      <c r="R73" s="15"/>
      <c r="S73" s="15" t="inlineStr">
        <is>
          <t xml:space="preserve">SRC-TEXT-JUDGES; SRC-DET-HISTORY</t>
        </is>
      </c>
      <c r="T73" s="15" t="inlineStr">
        <is>
          <t xml:space="preserve">Editorial</t>
        </is>
      </c>
      <c r="U73" s="11" t="inlineStr">
        <is>
          <t xml:space="preserve">Needs Review</t>
        </is>
      </c>
      <c r="V73" s="13" t="inlineStr">
        <is>
          <t xml:space="preserve">Draft</t>
        </is>
      </c>
      <c r="W73" s="15"/>
    </row>
    <row r="74" ht="34" customHeight="1">
      <c r="A74" s="15" t="inlineStr">
        <is>
          <t xml:space="preserve">v0.1</t>
        </is>
      </c>
      <c r="B74" s="15" t="inlineStr">
        <is>
          <t xml:space="preserve">Bible_Journey_Canon_Map_v0_1_Genesis_to_2Samuel.xlsx</t>
        </is>
      </c>
      <c r="C74" s="15" t="inlineStr">
        <is>
          <t xml:space="preserve">CRS-JDG-005</t>
        </is>
      </c>
      <c r="D74" s="15">
        <v>700</v>
      </c>
      <c r="E74" s="15">
        <v>1</v>
      </c>
      <c r="F74" s="15" t="inlineStr">
        <is>
          <t xml:space="preserve">Judges</t>
        </is>
      </c>
      <c r="G74" s="15" t="inlineStr">
        <is>
          <t xml:space="preserve">Judges</t>
        </is>
      </c>
      <c r="H74" s="15" t="inlineStr">
        <is>
          <t xml:space="preserve">Eastern judges</t>
        </is>
      </c>
      <c r="I74" s="15" t="inlineStr">
        <is>
          <t xml:space="preserve">Jephthah and the eastern judges</t>
        </is>
      </c>
      <c r="J74" s="15" t="inlineStr">
        <is>
          <t xml:space="preserve">Judges 10-12</t>
        </is>
      </c>
      <c r="K74" s="15" t="inlineStr">
        <is>
          <t xml:space="preserve">High</t>
        </is>
      </c>
      <c r="L74" s="15" t="inlineStr">
        <is>
          <t xml:space="preserve">High</t>
        </is>
      </c>
      <c r="M74" s="15"/>
      <c r="N74" s="15" t="inlineStr">
        <is>
          <t xml:space="preserve">Read the assigned main-spine block in full.</t>
        </is>
      </c>
      <c r="O74" s="15" t="inlineStr">
        <is>
          <t xml:space="preserve">Read primary block; continue to next chronological set.</t>
        </is>
      </c>
      <c r="P74" s="15" t="inlineStr">
        <is>
          <t xml:space="preserve">No</t>
        </is>
      </c>
      <c r="Q74" s="15" t="inlineStr">
        <is>
          <t xml:space="preserve">Judges</t>
        </is>
      </c>
      <c r="R74" s="15"/>
      <c r="S74" s="15" t="inlineStr">
        <is>
          <t xml:space="preserve">SRC-TEXT-JUDGES; SRC-DET-HISTORY</t>
        </is>
      </c>
      <c r="T74" s="15" t="inlineStr">
        <is>
          <t xml:space="preserve">Editorial</t>
        </is>
      </c>
      <c r="U74" s="11" t="inlineStr">
        <is>
          <t xml:space="preserve">Needs Review</t>
        </is>
      </c>
      <c r="V74" s="13" t="inlineStr">
        <is>
          <t xml:space="preserve">Draft</t>
        </is>
      </c>
      <c r="W74" s="15"/>
    </row>
    <row r="75" ht="34" customHeight="1">
      <c r="A75" s="15" t="inlineStr">
        <is>
          <t xml:space="preserve">v0.1</t>
        </is>
      </c>
      <c r="B75" s="15" t="inlineStr">
        <is>
          <t xml:space="preserve">Bible_Journey_Canon_Map_v0_1_Genesis_to_2Samuel.xlsx</t>
        </is>
      </c>
      <c r="C75" s="15" t="inlineStr">
        <is>
          <t xml:space="preserve">CRS-JDG-006</t>
        </is>
      </c>
      <c r="D75" s="15">
        <v>710</v>
      </c>
      <c r="E75" s="15">
        <v>1</v>
      </c>
      <c r="F75" s="15" t="inlineStr">
        <is>
          <t xml:space="preserve">Judges</t>
        </is>
      </c>
      <c r="G75" s="15" t="inlineStr">
        <is>
          <t xml:space="preserve">Judges</t>
        </is>
      </c>
      <c r="H75" s="15" t="inlineStr">
        <is>
          <t xml:space="preserve">Samson</t>
        </is>
      </c>
      <c r="I75" s="15" t="inlineStr">
        <is>
          <t xml:space="preserve">Samson's birth, conflicts, and death</t>
        </is>
      </c>
      <c r="J75" s="15" t="inlineStr">
        <is>
          <t xml:space="preserve">Judges 13-16</t>
        </is>
      </c>
      <c r="K75" s="15" t="inlineStr">
        <is>
          <t xml:space="preserve">High</t>
        </is>
      </c>
      <c r="L75" s="15" t="inlineStr">
        <is>
          <t xml:space="preserve">High</t>
        </is>
      </c>
      <c r="M75" s="15"/>
      <c r="N75" s="15" t="inlineStr">
        <is>
          <t xml:space="preserve">Read the assigned main-spine block in full.</t>
        </is>
      </c>
      <c r="O75" s="15" t="inlineStr">
        <is>
          <t xml:space="preserve">Read primary block; continue to next chronological set.</t>
        </is>
      </c>
      <c r="P75" s="15" t="inlineStr">
        <is>
          <t xml:space="preserve">No</t>
        </is>
      </c>
      <c r="Q75" s="15" t="inlineStr">
        <is>
          <t xml:space="preserve">Judges</t>
        </is>
      </c>
      <c r="R75" s="15"/>
      <c r="S75" s="15" t="inlineStr">
        <is>
          <t xml:space="preserve">SRC-TEXT-JUDGES; SRC-DET-HISTORY</t>
        </is>
      </c>
      <c r="T75" s="15" t="inlineStr">
        <is>
          <t xml:space="preserve">Editorial</t>
        </is>
      </c>
      <c r="U75" s="11" t="inlineStr">
        <is>
          <t xml:space="preserve">Needs Review</t>
        </is>
      </c>
      <c r="V75" s="13" t="inlineStr">
        <is>
          <t xml:space="preserve">Draft</t>
        </is>
      </c>
      <c r="W75" s="15"/>
    </row>
    <row r="76" ht="34" customHeight="1">
      <c r="A76" s="15" t="inlineStr">
        <is>
          <t xml:space="preserve">v0.1</t>
        </is>
      </c>
      <c r="B76" s="15" t="inlineStr">
        <is>
          <t xml:space="preserve">Bible_Journey_Canon_Map_v0_1_Genesis_to_2Samuel.xlsx</t>
        </is>
      </c>
      <c r="C76" s="15" t="inlineStr">
        <is>
          <t xml:space="preserve">CRS-JDG-007</t>
        </is>
      </c>
      <c r="D76" s="15">
        <v>720</v>
      </c>
      <c r="E76" s="15">
        <v>1</v>
      </c>
      <c r="F76" s="15" t="inlineStr">
        <is>
          <t xml:space="preserve">Judges</t>
        </is>
      </c>
      <c r="G76" s="15" t="inlineStr">
        <is>
          <t xml:space="preserve">Judges</t>
        </is>
      </c>
      <c r="H76" s="15" t="inlineStr">
        <is>
          <t xml:space="preserve">Tribal disorder</t>
        </is>
      </c>
      <c r="I76" s="15" t="inlineStr">
        <is>
          <t xml:space="preserve">Micah, the Levite, and the tribe of Dan</t>
        </is>
      </c>
      <c r="J76" s="15" t="inlineStr">
        <is>
          <t xml:space="preserve">Judges 17-18</t>
        </is>
      </c>
      <c r="K76" s="15" t="inlineStr">
        <is>
          <t xml:space="preserve">High</t>
        </is>
      </c>
      <c r="L76" s="15" t="inlineStr">
        <is>
          <t xml:space="preserve">Probable</t>
        </is>
      </c>
      <c r="M76" s="15"/>
      <c r="N76" s="15" t="inlineStr">
        <is>
          <t xml:space="preserve">Read the assigned main-spine block in full.</t>
        </is>
      </c>
      <c r="O76" s="15" t="inlineStr">
        <is>
          <t xml:space="preserve">Read primary block; continue to next chronological set.</t>
        </is>
      </c>
      <c r="P76" s="15" t="inlineStr">
        <is>
          <t xml:space="preserve">No</t>
        </is>
      </c>
      <c r="Q76" s="15" t="inlineStr">
        <is>
          <t xml:space="preserve">Judges</t>
        </is>
      </c>
      <c r="R76" s="15"/>
      <c r="S76" s="15" t="inlineStr">
        <is>
          <t xml:space="preserve">SRC-TEXT-JUDGES; SRC-DET-HISTORY</t>
        </is>
      </c>
      <c r="T76" s="15" t="inlineStr">
        <is>
          <t xml:space="preserve">Editorial</t>
        </is>
      </c>
      <c r="U76" s="11" t="inlineStr">
        <is>
          <t xml:space="preserve">Needs Review</t>
        </is>
      </c>
      <c r="V76" s="13" t="inlineStr">
        <is>
          <t xml:space="preserve">Draft</t>
        </is>
      </c>
      <c r="W76" s="15" t="inlineStr">
        <is>
          <t xml:space="preserve">These chapters are not necessarily placed in strict historical sequence by the narrative. V0.1 keeps canonical order and flags the section as an editorial placement.</t>
        </is>
      </c>
    </row>
    <row r="77" ht="34" customHeight="1">
      <c r="A77" s="15" t="inlineStr">
        <is>
          <t xml:space="preserve">v0.1</t>
        </is>
      </c>
      <c r="B77" s="15" t="inlineStr">
        <is>
          <t xml:space="preserve">Bible_Journey_Canon_Map_v0_1_Genesis_to_2Samuel.xlsx</t>
        </is>
      </c>
      <c r="C77" s="15" t="inlineStr">
        <is>
          <t xml:space="preserve">CRS-JDG-008</t>
        </is>
      </c>
      <c r="D77" s="15">
        <v>730</v>
      </c>
      <c r="E77" s="15">
        <v>1</v>
      </c>
      <c r="F77" s="15" t="inlineStr">
        <is>
          <t xml:space="preserve">Judges</t>
        </is>
      </c>
      <c r="G77" s="15" t="inlineStr">
        <is>
          <t xml:space="preserve">Judges</t>
        </is>
      </c>
      <c r="H77" s="15" t="inlineStr">
        <is>
          <t xml:space="preserve">Tribal disorder</t>
        </is>
      </c>
      <c r="I77" s="15" t="inlineStr">
        <is>
          <t xml:space="preserve">Gibeah and the civil war</t>
        </is>
      </c>
      <c r="J77" s="15" t="inlineStr">
        <is>
          <t xml:space="preserve">Judges 19-21</t>
        </is>
      </c>
      <c r="K77" s="15" t="inlineStr">
        <is>
          <t xml:space="preserve">High</t>
        </is>
      </c>
      <c r="L77" s="15" t="inlineStr">
        <is>
          <t xml:space="preserve">Probable</t>
        </is>
      </c>
      <c r="M77" s="15"/>
      <c r="N77" s="15" t="inlineStr">
        <is>
          <t xml:space="preserve">Read the assigned main-spine block in full.</t>
        </is>
      </c>
      <c r="O77" s="15" t="inlineStr">
        <is>
          <t xml:space="preserve">Read primary block; continue to next chronological set.</t>
        </is>
      </c>
      <c r="P77" s="15" t="inlineStr">
        <is>
          <t xml:space="preserve">No</t>
        </is>
      </c>
      <c r="Q77" s="15" t="inlineStr">
        <is>
          <t xml:space="preserve">Judges</t>
        </is>
      </c>
      <c r="R77" s="15"/>
      <c r="S77" s="15" t="inlineStr">
        <is>
          <t xml:space="preserve">SRC-TEXT-JUDGES; SRC-DET-HISTORY</t>
        </is>
      </c>
      <c r="T77" s="15" t="inlineStr">
        <is>
          <t xml:space="preserve">Editorial</t>
        </is>
      </c>
      <c r="U77" s="11" t="inlineStr">
        <is>
          <t xml:space="preserve">Needs Review</t>
        </is>
      </c>
      <c r="V77" s="13" t="inlineStr">
        <is>
          <t xml:space="preserve">Draft</t>
        </is>
      </c>
      <c r="W77" s="15" t="inlineStr">
        <is>
          <t xml:space="preserve">These chapters are not necessarily placed in strict historical sequence by the narrative. V0.1 keeps canonical order and flags the section as an editorial placement.</t>
        </is>
      </c>
    </row>
    <row r="78" ht="34" customHeight="1">
      <c r="A78" s="15" t="inlineStr">
        <is>
          <t xml:space="preserve">v0.1</t>
        </is>
      </c>
      <c r="B78" s="15" t="inlineStr">
        <is>
          <t xml:space="preserve">Bible_Journey_Canon_Map_v0_1_Genesis_to_2Samuel.xlsx</t>
        </is>
      </c>
      <c r="C78" s="15" t="inlineStr">
        <is>
          <t xml:space="preserve">CRS-RUT-001</t>
        </is>
      </c>
      <c r="D78" s="15">
        <v>740</v>
      </c>
      <c r="E78" s="15">
        <v>1</v>
      </c>
      <c r="F78" s="15" t="inlineStr">
        <is>
          <t xml:space="preserve">Ruth</t>
        </is>
      </c>
      <c r="G78" s="15" t="inlineStr">
        <is>
          <t xml:space="preserve">Judges</t>
        </is>
      </c>
      <c r="H78" s="15" t="inlineStr">
        <is>
          <t xml:space="preserve">Ruth</t>
        </is>
      </c>
      <c r="I78" s="15" t="inlineStr">
        <is>
          <t xml:space="preserve">Ruth, Naomi, Boaz, and the Davidic line</t>
        </is>
      </c>
      <c r="J78" s="15" t="inlineStr">
        <is>
          <t xml:space="preserve">Ruth 1-4</t>
        </is>
      </c>
      <c r="K78" s="15" t="inlineStr">
        <is>
          <t xml:space="preserve">High</t>
        </is>
      </c>
      <c r="L78" s="15" t="inlineStr">
        <is>
          <t xml:space="preserve">Probable</t>
        </is>
      </c>
      <c r="M78" s="15"/>
      <c r="N78" s="15" t="inlineStr">
        <is>
          <t xml:space="preserve">Read the assigned main-spine block in full.</t>
        </is>
      </c>
      <c r="O78" s="15" t="inlineStr">
        <is>
          <t xml:space="preserve">Read primary block; continue to next chronological set.</t>
        </is>
      </c>
      <c r="P78" s="15" t="inlineStr">
        <is>
          <t xml:space="preserve">No</t>
        </is>
      </c>
      <c r="Q78" s="15" t="inlineStr">
        <is>
          <t xml:space="preserve">Ruth; Davidic Line</t>
        </is>
      </c>
      <c r="R78" s="15"/>
      <c r="S78" s="15" t="inlineStr">
        <is>
          <t xml:space="preserve">SRC-TEXT-RUTH</t>
        </is>
      </c>
      <c r="T78" s="15" t="inlineStr">
        <is>
          <t xml:space="preserve">Editorial</t>
        </is>
      </c>
      <c r="U78" s="11" t="inlineStr">
        <is>
          <t xml:space="preserve">Needs Review</t>
        </is>
      </c>
      <c r="V78" s="13" t="inlineStr">
        <is>
          <t xml:space="preserve">Draft</t>
        </is>
      </c>
      <c r="W78" s="15" t="inlineStr">
        <is>
          <t xml:space="preserve">The book is set 'in the days when the judges ruled'; its precise placement within the judges period is not stated.</t>
        </is>
      </c>
    </row>
    <row r="79" ht="34" customHeight="1">
      <c r="A79" s="15" t="inlineStr">
        <is>
          <t xml:space="preserve">v0.1</t>
        </is>
      </c>
      <c r="B79" s="15" t="inlineStr">
        <is>
          <t xml:space="preserve">Bible_Journey_Canon_Map_v0_1_Genesis_to_2Samuel.xlsx</t>
        </is>
      </c>
      <c r="C79" s="15" t="inlineStr">
        <is>
          <t xml:space="preserve">CRS-1SA-001</t>
        </is>
      </c>
      <c r="D79" s="15">
        <v>750</v>
      </c>
      <c r="E79" s="15">
        <v>1</v>
      </c>
      <c r="F79" s="15" t="inlineStr">
        <is>
          <t xml:space="preserve">1 Samuel</t>
        </is>
      </c>
      <c r="G79" s="15" t="inlineStr">
        <is>
          <t xml:space="preserve">Rise of the Monarchy</t>
        </is>
      </c>
      <c r="H79" s="15" t="inlineStr">
        <is>
          <t xml:space="preserve">Samuel</t>
        </is>
      </c>
      <c r="I79" s="15" t="inlineStr">
        <is>
          <t xml:space="preserve">Samuel's birth, dedication, and call</t>
        </is>
      </c>
      <c r="J79" s="15" t="inlineStr">
        <is>
          <t xml:space="preserve">1 Samuel 1-3</t>
        </is>
      </c>
      <c r="K79" s="15" t="inlineStr">
        <is>
          <t xml:space="preserve">High</t>
        </is>
      </c>
      <c r="L79" s="15" t="inlineStr">
        <is>
          <t xml:space="preserve">High</t>
        </is>
      </c>
      <c r="M79" s="15"/>
      <c r="N79" s="15" t="inlineStr">
        <is>
          <t xml:space="preserve">Read the assigned main-spine block in full.</t>
        </is>
      </c>
      <c r="O79" s="15" t="inlineStr">
        <is>
          <t xml:space="preserve">Read primary block; continue to next chronological set.</t>
        </is>
      </c>
      <c r="P79" s="15" t="inlineStr">
        <is>
          <t xml:space="preserve">No</t>
        </is>
      </c>
      <c r="Q79" s="15" t="inlineStr">
        <is>
          <t xml:space="preserve">Samuel; Rise of the Monarchy</t>
        </is>
      </c>
      <c r="R79" s="15"/>
      <c r="S79" s="15" t="inlineStr">
        <is>
          <t xml:space="preserve">SRC-TEXT-1SAM; SRC-SAMUEL-OVERVIEW; SRC-DAVID-OVERVIEW</t>
        </is>
      </c>
      <c r="T79" s="15" t="inlineStr">
        <is>
          <t xml:space="preserve">Editorial</t>
        </is>
      </c>
      <c r="U79" s="11" t="inlineStr">
        <is>
          <t xml:space="preserve">Needs Review</t>
        </is>
      </c>
      <c r="V79" s="13" t="inlineStr">
        <is>
          <t xml:space="preserve">Draft</t>
        </is>
      </c>
      <c r="W79" s="15"/>
    </row>
    <row r="80" ht="34" customHeight="1">
      <c r="A80" s="15" t="inlineStr">
        <is>
          <t xml:space="preserve">v0.1</t>
        </is>
      </c>
      <c r="B80" s="15" t="inlineStr">
        <is>
          <t xml:space="preserve">Bible_Journey_Canon_Map_v0_1_Genesis_to_2Samuel.xlsx</t>
        </is>
      </c>
      <c r="C80" s="15" t="inlineStr">
        <is>
          <t xml:space="preserve">CRS-1SA-002</t>
        </is>
      </c>
      <c r="D80" s="15">
        <v>760</v>
      </c>
      <c r="E80" s="15">
        <v>1</v>
      </c>
      <c r="F80" s="15" t="inlineStr">
        <is>
          <t xml:space="preserve">1 Samuel</t>
        </is>
      </c>
      <c r="G80" s="15" t="inlineStr">
        <is>
          <t xml:space="preserve">Rise of the Monarchy</t>
        </is>
      </c>
      <c r="H80" s="15" t="inlineStr">
        <is>
          <t xml:space="preserve">Ark narrative</t>
        </is>
      </c>
      <c r="I80" s="15" t="inlineStr">
        <is>
          <t xml:space="preserve">The ark captured, returned, and restored</t>
        </is>
      </c>
      <c r="J80" s="15" t="inlineStr">
        <is>
          <t xml:space="preserve">1 Samuel 4-7</t>
        </is>
      </c>
      <c r="K80" s="15" t="inlineStr">
        <is>
          <t xml:space="preserve">High</t>
        </is>
      </c>
      <c r="L80" s="15" t="inlineStr">
        <is>
          <t xml:space="preserve">High</t>
        </is>
      </c>
      <c r="M80" s="15"/>
      <c r="N80" s="15" t="inlineStr">
        <is>
          <t xml:space="preserve">Read the assigned main-spine block in full.</t>
        </is>
      </c>
      <c r="O80" s="15" t="inlineStr">
        <is>
          <t xml:space="preserve">Read primary block; continue to next chronological set.</t>
        </is>
      </c>
      <c r="P80" s="15" t="inlineStr">
        <is>
          <t xml:space="preserve">No</t>
        </is>
      </c>
      <c r="Q80" s="15" t="inlineStr">
        <is>
          <t xml:space="preserve">Samuel; Rise of the Monarchy</t>
        </is>
      </c>
      <c r="R80" s="15"/>
      <c r="S80" s="15" t="inlineStr">
        <is>
          <t xml:space="preserve">SRC-TEXT-1SAM; SRC-SAMUEL-OVERVIEW; SRC-DAVID-OVERVIEW</t>
        </is>
      </c>
      <c r="T80" s="15" t="inlineStr">
        <is>
          <t xml:space="preserve">Editorial</t>
        </is>
      </c>
      <c r="U80" s="11" t="inlineStr">
        <is>
          <t xml:space="preserve">Needs Review</t>
        </is>
      </c>
      <c r="V80" s="13" t="inlineStr">
        <is>
          <t xml:space="preserve">Draft</t>
        </is>
      </c>
      <c r="W80" s="15"/>
    </row>
    <row r="81" ht="34" customHeight="1">
      <c r="A81" s="15" t="inlineStr">
        <is>
          <t xml:space="preserve">v0.1</t>
        </is>
      </c>
      <c r="B81" s="15" t="inlineStr">
        <is>
          <t xml:space="preserve">Bible_Journey_Canon_Map_v0_1_Genesis_to_2Samuel.xlsx</t>
        </is>
      </c>
      <c r="C81" s="15" t="inlineStr">
        <is>
          <t xml:space="preserve">CRS-1SA-003</t>
        </is>
      </c>
      <c r="D81" s="15">
        <v>770</v>
      </c>
      <c r="E81" s="15">
        <v>1</v>
      </c>
      <c r="F81" s="15" t="inlineStr">
        <is>
          <t xml:space="preserve">1 Samuel</t>
        </is>
      </c>
      <c r="G81" s="15" t="inlineStr">
        <is>
          <t xml:space="preserve">Rise of the Monarchy</t>
        </is>
      </c>
      <c r="H81" s="15" t="inlineStr">
        <is>
          <t xml:space="preserve">Saul</t>
        </is>
      </c>
      <c r="I81" s="15" t="inlineStr">
        <is>
          <t xml:space="preserve">Israel asks for a king and Saul is chosen</t>
        </is>
      </c>
      <c r="J81" s="15" t="inlineStr">
        <is>
          <t xml:space="preserve">1 Samuel 8-10</t>
        </is>
      </c>
      <c r="K81" s="15" t="inlineStr">
        <is>
          <t xml:space="preserve">High</t>
        </is>
      </c>
      <c r="L81" s="15" t="inlineStr">
        <is>
          <t xml:space="preserve">High</t>
        </is>
      </c>
      <c r="M81" s="15"/>
      <c r="N81" s="15" t="inlineStr">
        <is>
          <t xml:space="preserve">Read the assigned main-spine block in full.</t>
        </is>
      </c>
      <c r="O81" s="15" t="inlineStr">
        <is>
          <t xml:space="preserve">Read primary block; continue to next chronological set.</t>
        </is>
      </c>
      <c r="P81" s="15" t="inlineStr">
        <is>
          <t xml:space="preserve">No</t>
        </is>
      </c>
      <c r="Q81" s="15" t="inlineStr">
        <is>
          <t xml:space="preserve">Saul; Rise of the Monarchy</t>
        </is>
      </c>
      <c r="R81" s="15"/>
      <c r="S81" s="15" t="inlineStr">
        <is>
          <t xml:space="preserve">SRC-TEXT-1SAM; SRC-SAMUEL-OVERVIEW; SRC-DAVID-OVERVIEW</t>
        </is>
      </c>
      <c r="T81" s="15" t="inlineStr">
        <is>
          <t xml:space="preserve">Editorial</t>
        </is>
      </c>
      <c r="U81" s="11" t="inlineStr">
        <is>
          <t xml:space="preserve">Needs Review</t>
        </is>
      </c>
      <c r="V81" s="13" t="inlineStr">
        <is>
          <t xml:space="preserve">Draft</t>
        </is>
      </c>
      <c r="W81" s="15"/>
    </row>
    <row r="82" ht="34" customHeight="1">
      <c r="A82" s="15" t="inlineStr">
        <is>
          <t xml:space="preserve">v0.1</t>
        </is>
      </c>
      <c r="B82" s="15" t="inlineStr">
        <is>
          <t xml:space="preserve">Bible_Journey_Canon_Map_v0_1_Genesis_to_2Samuel.xlsx</t>
        </is>
      </c>
      <c r="C82" s="15" t="inlineStr">
        <is>
          <t xml:space="preserve">CRS-1SA-004</t>
        </is>
      </c>
      <c r="D82" s="15">
        <v>780</v>
      </c>
      <c r="E82" s="15">
        <v>1</v>
      </c>
      <c r="F82" s="15" t="inlineStr">
        <is>
          <t xml:space="preserve">1 Samuel</t>
        </is>
      </c>
      <c r="G82" s="15" t="inlineStr">
        <is>
          <t xml:space="preserve">Rise of the Monarchy</t>
        </is>
      </c>
      <c r="H82" s="15" t="inlineStr">
        <is>
          <t xml:space="preserve">Saul</t>
        </is>
      </c>
      <c r="I82" s="15" t="inlineStr">
        <is>
          <t xml:space="preserve">Saul delivers Jabesh and the kingdom is renewed</t>
        </is>
      </c>
      <c r="J82" s="15" t="inlineStr">
        <is>
          <t xml:space="preserve">1 Samuel 11-12</t>
        </is>
      </c>
      <c r="K82" s="15" t="inlineStr">
        <is>
          <t xml:space="preserve">High</t>
        </is>
      </c>
      <c r="L82" s="15" t="inlineStr">
        <is>
          <t xml:space="preserve">High</t>
        </is>
      </c>
      <c r="M82" s="15"/>
      <c r="N82" s="15" t="inlineStr">
        <is>
          <t xml:space="preserve">Read the assigned main-spine block in full.</t>
        </is>
      </c>
      <c r="O82" s="15" t="inlineStr">
        <is>
          <t xml:space="preserve">Read primary block; continue to next chronological set.</t>
        </is>
      </c>
      <c r="P82" s="15" t="inlineStr">
        <is>
          <t xml:space="preserve">No</t>
        </is>
      </c>
      <c r="Q82" s="15" t="inlineStr">
        <is>
          <t xml:space="preserve">Saul; Rise of the Monarchy</t>
        </is>
      </c>
      <c r="R82" s="15"/>
      <c r="S82" s="15" t="inlineStr">
        <is>
          <t xml:space="preserve">SRC-TEXT-1SAM; SRC-SAMUEL-OVERVIEW; SRC-DAVID-OVERVIEW</t>
        </is>
      </c>
      <c r="T82" s="15" t="inlineStr">
        <is>
          <t xml:space="preserve">Editorial</t>
        </is>
      </c>
      <c r="U82" s="11" t="inlineStr">
        <is>
          <t xml:space="preserve">Needs Review</t>
        </is>
      </c>
      <c r="V82" s="13" t="inlineStr">
        <is>
          <t xml:space="preserve">Draft</t>
        </is>
      </c>
      <c r="W82" s="15"/>
    </row>
    <row r="83" ht="34" customHeight="1">
      <c r="A83" s="15" t="inlineStr">
        <is>
          <t xml:space="preserve">v0.1</t>
        </is>
      </c>
      <c r="B83" s="15" t="inlineStr">
        <is>
          <t xml:space="preserve">Bible_Journey_Canon_Map_v0_1_Genesis_to_2Samuel.xlsx</t>
        </is>
      </c>
      <c r="C83" s="15" t="inlineStr">
        <is>
          <t xml:space="preserve">CRS-1SA-005</t>
        </is>
      </c>
      <c r="D83" s="15">
        <v>790</v>
      </c>
      <c r="E83" s="15">
        <v>1</v>
      </c>
      <c r="F83" s="15" t="inlineStr">
        <is>
          <t xml:space="preserve">1 Samuel</t>
        </is>
      </c>
      <c r="G83" s="15" t="inlineStr">
        <is>
          <t xml:space="preserve">Rise of the Monarchy</t>
        </is>
      </c>
      <c r="H83" s="15" t="inlineStr">
        <is>
          <t xml:space="preserve">Saul</t>
        </is>
      </c>
      <c r="I83" s="15" t="inlineStr">
        <is>
          <t xml:space="preserve">Saul's early reign and rejection</t>
        </is>
      </c>
      <c r="J83" s="15" t="inlineStr">
        <is>
          <t xml:space="preserve">1 Samuel 13-15</t>
        </is>
      </c>
      <c r="K83" s="15" t="inlineStr">
        <is>
          <t xml:space="preserve">High</t>
        </is>
      </c>
      <c r="L83" s="15" t="inlineStr">
        <is>
          <t xml:space="preserve">High</t>
        </is>
      </c>
      <c r="M83" s="15"/>
      <c r="N83" s="15" t="inlineStr">
        <is>
          <t xml:space="preserve">Read the assigned main-spine block in full.</t>
        </is>
      </c>
      <c r="O83" s="15" t="inlineStr">
        <is>
          <t xml:space="preserve">Read primary block; continue to next chronological set.</t>
        </is>
      </c>
      <c r="P83" s="15" t="inlineStr">
        <is>
          <t xml:space="preserve">No</t>
        </is>
      </c>
      <c r="Q83" s="15" t="inlineStr">
        <is>
          <t xml:space="preserve">Saul; Rise of the Monarchy</t>
        </is>
      </c>
      <c r="R83" s="15"/>
      <c r="S83" s="15" t="inlineStr">
        <is>
          <t xml:space="preserve">SRC-TEXT-1SAM; SRC-SAMUEL-OVERVIEW; SRC-DAVID-OVERVIEW</t>
        </is>
      </c>
      <c r="T83" s="15" t="inlineStr">
        <is>
          <t xml:space="preserve">Editorial</t>
        </is>
      </c>
      <c r="U83" s="11" t="inlineStr">
        <is>
          <t xml:space="preserve">Needs Review</t>
        </is>
      </c>
      <c r="V83" s="13" t="inlineStr">
        <is>
          <t xml:space="preserve">Draft</t>
        </is>
      </c>
      <c r="W83" s="15"/>
    </row>
    <row r="84" ht="34" customHeight="1">
      <c r="A84" s="15" t="inlineStr">
        <is>
          <t xml:space="preserve">v0.1</t>
        </is>
      </c>
      <c r="B84" s="15" t="inlineStr">
        <is>
          <t xml:space="preserve">Bible_Journey_Canon_Map_v0_1_Genesis_to_2Samuel.xlsx</t>
        </is>
      </c>
      <c r="C84" s="15" t="inlineStr">
        <is>
          <t xml:space="preserve">CRS-1SA-006</t>
        </is>
      </c>
      <c r="D84" s="15">
        <v>800</v>
      </c>
      <c r="E84" s="15">
        <v>1</v>
      </c>
      <c r="F84" s="15" t="inlineStr">
        <is>
          <t xml:space="preserve">1 Samuel</t>
        </is>
      </c>
      <c r="G84" s="15" t="inlineStr">
        <is>
          <t xml:space="preserve">Rise of the Monarchy</t>
        </is>
      </c>
      <c r="H84" s="15" t="inlineStr">
        <is>
          <t xml:space="preserve">David / Act I: The Chosen One</t>
        </is>
      </c>
      <c r="I84" s="15" t="inlineStr">
        <is>
          <t xml:space="preserve">David anointed and enters Saul's service</t>
        </is>
      </c>
      <c r="J84" s="15" t="inlineStr">
        <is>
          <t xml:space="preserve">1 Samuel 16</t>
        </is>
      </c>
      <c r="K84" s="15" t="inlineStr">
        <is>
          <t xml:space="preserve">High</t>
        </is>
      </c>
      <c r="L84" s="15" t="inlineStr">
        <is>
          <t xml:space="preserve">Probable</t>
        </is>
      </c>
      <c r="M84" s="15"/>
      <c r="N84" s="15" t="inlineStr">
        <is>
          <t xml:space="preserve">Read the assigned main-spine block in full.</t>
        </is>
      </c>
      <c r="O84" s="15" t="inlineStr">
        <is>
          <t xml:space="preserve">Read primary block; continue to next chronological set.</t>
        </is>
      </c>
      <c r="P84" s="15" t="inlineStr">
        <is>
          <t xml:space="preserve">No</t>
        </is>
      </c>
      <c r="Q84" s="15" t="inlineStr">
        <is>
          <t xml:space="preserve">The Life of David; Saul</t>
        </is>
      </c>
      <c r="R84" s="15"/>
      <c r="S84" s="15" t="inlineStr">
        <is>
          <t xml:space="preserve">SRC-TEXT-1SAM; SRC-SAMUEL-OVERVIEW; SRC-DAVID-OVERVIEW</t>
        </is>
      </c>
      <c r="T84" s="15" t="inlineStr">
        <is>
          <t xml:space="preserve">Editorial</t>
        </is>
      </c>
      <c r="U84" s="11" t="inlineStr">
        <is>
          <t xml:space="preserve">Needs Review</t>
        </is>
      </c>
      <c r="V84" s="13" t="inlineStr">
        <is>
          <t xml:space="preserve">Draft</t>
        </is>
      </c>
      <c r="W84" s="15" t="inlineStr">
        <is>
          <t xml:space="preserve">V0.1 follows the canonical sequence. The relation between David's early court service and the Goliath narrative is a documented editorial / source-critical discussion to be tracked separately.</t>
        </is>
      </c>
    </row>
    <row r="85" ht="34" customHeight="1">
      <c r="A85" s="15" t="inlineStr">
        <is>
          <t xml:space="preserve">v0.1</t>
        </is>
      </c>
      <c r="B85" s="15" t="inlineStr">
        <is>
          <t xml:space="preserve">Bible_Journey_Canon_Map_v0_1_Genesis_to_2Samuel.xlsx</t>
        </is>
      </c>
      <c r="C85" s="15" t="inlineStr">
        <is>
          <t xml:space="preserve">CRS-1SA-007</t>
        </is>
      </c>
      <c r="D85" s="15">
        <v>810</v>
      </c>
      <c r="E85" s="15">
        <v>1</v>
      </c>
      <c r="F85" s="15" t="inlineStr">
        <is>
          <t xml:space="preserve">1 Samuel</t>
        </is>
      </c>
      <c r="G85" s="15" t="inlineStr">
        <is>
          <t xml:space="preserve">Rise of the Monarchy</t>
        </is>
      </c>
      <c r="H85" s="15" t="inlineStr">
        <is>
          <t xml:space="preserve">David / Act I: The Chosen One</t>
        </is>
      </c>
      <c r="I85" s="15" t="inlineStr">
        <is>
          <t xml:space="preserve">David and Goliath</t>
        </is>
      </c>
      <c r="J85" s="15" t="inlineStr">
        <is>
          <t xml:space="preserve">1 Samuel 17</t>
        </is>
      </c>
      <c r="K85" s="15" t="inlineStr">
        <is>
          <t xml:space="preserve">High</t>
        </is>
      </c>
      <c r="L85" s="15" t="inlineStr">
        <is>
          <t xml:space="preserve">Probable</t>
        </is>
      </c>
      <c r="M85" s="15"/>
      <c r="N85" s="15" t="inlineStr">
        <is>
          <t xml:space="preserve">Read the assigned main-spine block in full.</t>
        </is>
      </c>
      <c r="O85" s="15" t="inlineStr">
        <is>
          <t xml:space="preserve">Read primary block; continue to next chronological set.</t>
        </is>
      </c>
      <c r="P85" s="15" t="inlineStr">
        <is>
          <t xml:space="preserve">No</t>
        </is>
      </c>
      <c r="Q85" s="15" t="inlineStr">
        <is>
          <t xml:space="preserve">The Life of David</t>
        </is>
      </c>
      <c r="R85" s="15"/>
      <c r="S85" s="15" t="inlineStr">
        <is>
          <t xml:space="preserve">SRC-TEXT-1SAM; SRC-SAMUEL-OVERVIEW; SRC-DAVID-OVERVIEW</t>
        </is>
      </c>
      <c r="T85" s="15" t="inlineStr">
        <is>
          <t xml:space="preserve">Editorial</t>
        </is>
      </c>
      <c r="U85" s="11" t="inlineStr">
        <is>
          <t xml:space="preserve">Needs Review</t>
        </is>
      </c>
      <c r="V85" s="13" t="inlineStr">
        <is>
          <t xml:space="preserve">Draft</t>
        </is>
      </c>
      <c r="W85" s="15"/>
    </row>
    <row r="86" ht="34" customHeight="1">
      <c r="A86" s="15" t="inlineStr">
        <is>
          <t xml:space="preserve">v0.1</t>
        </is>
      </c>
      <c r="B86" s="15" t="inlineStr">
        <is>
          <t xml:space="preserve">Bible_Journey_Canon_Map_v0_1_Genesis_to_2Samuel.xlsx</t>
        </is>
      </c>
      <c r="C86" s="15" t="inlineStr">
        <is>
          <t xml:space="preserve">CRS-1SA-008</t>
        </is>
      </c>
      <c r="D86" s="15">
        <v>820</v>
      </c>
      <c r="E86" s="15">
        <v>1</v>
      </c>
      <c r="F86" s="15" t="inlineStr">
        <is>
          <t xml:space="preserve">1 Samuel</t>
        </is>
      </c>
      <c r="G86" s="15" t="inlineStr">
        <is>
          <t xml:space="preserve">Rise of the Monarchy</t>
        </is>
      </c>
      <c r="H86" s="15" t="inlineStr">
        <is>
          <t xml:space="preserve">David / Act I: The Chosen One</t>
        </is>
      </c>
      <c r="I86" s="15" t="inlineStr">
        <is>
          <t xml:space="preserve">David in Saul's court and covenant with Jonathan</t>
        </is>
      </c>
      <c r="J86" s="15" t="inlineStr">
        <is>
          <t xml:space="preserve">1 Samuel 18</t>
        </is>
      </c>
      <c r="K86" s="15" t="inlineStr">
        <is>
          <t xml:space="preserve">High</t>
        </is>
      </c>
      <c r="L86" s="15" t="inlineStr">
        <is>
          <t xml:space="preserve">Probable</t>
        </is>
      </c>
      <c r="M86" s="15"/>
      <c r="N86" s="15" t="inlineStr">
        <is>
          <t xml:space="preserve">Read the assigned main-spine block in full.</t>
        </is>
      </c>
      <c r="O86" s="15" t="inlineStr">
        <is>
          <t xml:space="preserve">Read primary block; continue to next chronological set.</t>
        </is>
      </c>
      <c r="P86" s="15" t="inlineStr">
        <is>
          <t xml:space="preserve">No</t>
        </is>
      </c>
      <c r="Q86" s="15" t="inlineStr">
        <is>
          <t xml:space="preserve">The Life of David; Jonathan</t>
        </is>
      </c>
      <c r="R86" s="15"/>
      <c r="S86" s="15" t="inlineStr">
        <is>
          <t xml:space="preserve">SRC-TEXT-1SAM; SRC-SAMUEL-OVERVIEW; SRC-DAVID-OVERVIEW</t>
        </is>
      </c>
      <c r="T86" s="15" t="inlineStr">
        <is>
          <t xml:space="preserve">Editorial</t>
        </is>
      </c>
      <c r="U86" s="11" t="inlineStr">
        <is>
          <t xml:space="preserve">Needs Review</t>
        </is>
      </c>
      <c r="V86" s="13" t="inlineStr">
        <is>
          <t xml:space="preserve">Draft</t>
        </is>
      </c>
      <c r="W86" s="15"/>
    </row>
    <row r="87" ht="34" customHeight="1">
      <c r="A87" s="15" t="inlineStr">
        <is>
          <t xml:space="preserve">v0.1</t>
        </is>
      </c>
      <c r="B87" s="15" t="inlineStr">
        <is>
          <t xml:space="preserve">Bible_Journey_Canon_Map_v0_1_Genesis_to_2Samuel.xlsx</t>
        </is>
      </c>
      <c r="C87" s="15" t="inlineStr">
        <is>
          <t xml:space="preserve">CRS-1SA-009</t>
        </is>
      </c>
      <c r="D87" s="15">
        <v>830</v>
      </c>
      <c r="E87" s="15">
        <v>1</v>
      </c>
      <c r="F87" s="15" t="inlineStr">
        <is>
          <t xml:space="preserve">1 Samuel</t>
        </is>
      </c>
      <c r="G87" s="15" t="inlineStr">
        <is>
          <t xml:space="preserve">Rise of the Monarchy</t>
        </is>
      </c>
      <c r="H87" s="15" t="inlineStr">
        <is>
          <t xml:space="preserve">David / Act II: The Fugitive</t>
        </is>
      </c>
      <c r="I87" s="15" t="inlineStr">
        <is>
          <t xml:space="preserve">David escapes Saul's first pursuit</t>
        </is>
      </c>
      <c r="J87" s="15" t="inlineStr">
        <is>
          <t xml:space="preserve">1 Samuel 19</t>
        </is>
      </c>
      <c r="K87" s="15" t="inlineStr">
        <is>
          <t xml:space="preserve">High</t>
        </is>
      </c>
      <c r="L87" s="15" t="inlineStr">
        <is>
          <t xml:space="preserve">Probable</t>
        </is>
      </c>
      <c r="M87" s="15"/>
      <c r="N87" s="15" t="inlineStr">
        <is>
          <t xml:space="preserve">Read all assigned blocks; external links marked required in Full Stream must be completed before full-event completion.</t>
        </is>
      </c>
      <c r="O87" s="15" t="inlineStr">
        <is>
          <t xml:space="preserve">Read primary block; clearly surface linked accounts as pending, never auto-complete.</t>
        </is>
      </c>
      <c r="P87" s="15" t="inlineStr">
        <is>
          <t xml:space="preserve">No</t>
        </is>
      </c>
      <c r="Q87" s="15" t="inlineStr">
        <is>
          <t xml:space="preserve">The Life of David</t>
        </is>
      </c>
      <c r="R87" s="15"/>
      <c r="S87" s="15" t="inlineStr">
        <is>
          <t xml:space="preserve">SRC-TEXT-1SAM; SRC-SAMUEL-OVERVIEW; SRC-DAVID-OVERVIEW</t>
        </is>
      </c>
      <c r="T87" s="15" t="inlineStr">
        <is>
          <t xml:space="preserve">Editorial</t>
        </is>
      </c>
      <c r="U87" s="11" t="inlineStr">
        <is>
          <t xml:space="preserve">Needs Review</t>
        </is>
      </c>
      <c r="V87" s="13" t="inlineStr">
        <is>
          <t xml:space="preserve">Draft</t>
        </is>
      </c>
      <c r="W87" s="15"/>
    </row>
    <row r="88" ht="34" customHeight="1">
      <c r="A88" s="15" t="inlineStr">
        <is>
          <t xml:space="preserve">v0.1</t>
        </is>
      </c>
      <c r="B88" s="15" t="inlineStr">
        <is>
          <t xml:space="preserve">Bible_Journey_Canon_Map_v0_1_Genesis_to_2Samuel.xlsx</t>
        </is>
      </c>
      <c r="C88" s="15" t="inlineStr">
        <is>
          <t xml:space="preserve">CRS-1SA-010</t>
        </is>
      </c>
      <c r="D88" s="15">
        <v>840</v>
      </c>
      <c r="E88" s="15">
        <v>1</v>
      </c>
      <c r="F88" s="15" t="inlineStr">
        <is>
          <t xml:space="preserve">1 Samuel</t>
        </is>
      </c>
      <c r="G88" s="15" t="inlineStr">
        <is>
          <t xml:space="preserve">Rise of the Monarchy</t>
        </is>
      </c>
      <c r="H88" s="15" t="inlineStr">
        <is>
          <t xml:space="preserve">David / Act II: The Fugitive</t>
        </is>
      </c>
      <c r="I88" s="15" t="inlineStr">
        <is>
          <t xml:space="preserve">David and Jonathan's covenant renewed</t>
        </is>
      </c>
      <c r="J88" s="15" t="inlineStr">
        <is>
          <t xml:space="preserve">1 Samuel 20</t>
        </is>
      </c>
      <c r="K88" s="15" t="inlineStr">
        <is>
          <t xml:space="preserve">High</t>
        </is>
      </c>
      <c r="L88" s="15" t="inlineStr">
        <is>
          <t xml:space="preserve">Probable</t>
        </is>
      </c>
      <c r="M88" s="15"/>
      <c r="N88" s="15" t="inlineStr">
        <is>
          <t xml:space="preserve">Read the assigned main-spine block in full.</t>
        </is>
      </c>
      <c r="O88" s="15" t="inlineStr">
        <is>
          <t xml:space="preserve">Read primary block; continue to next chronological set.</t>
        </is>
      </c>
      <c r="P88" s="15" t="inlineStr">
        <is>
          <t xml:space="preserve">No</t>
        </is>
      </c>
      <c r="Q88" s="15" t="inlineStr">
        <is>
          <t xml:space="preserve">The Life of David; Jonathan</t>
        </is>
      </c>
      <c r="R88" s="15"/>
      <c r="S88" s="15" t="inlineStr">
        <is>
          <t xml:space="preserve">SRC-TEXT-1SAM; SRC-SAMUEL-OVERVIEW; SRC-DAVID-OVERVIEW</t>
        </is>
      </c>
      <c r="T88" s="15" t="inlineStr">
        <is>
          <t xml:space="preserve">Editorial</t>
        </is>
      </c>
      <c r="U88" s="11" t="inlineStr">
        <is>
          <t xml:space="preserve">Needs Review</t>
        </is>
      </c>
      <c r="V88" s="13" t="inlineStr">
        <is>
          <t xml:space="preserve">Draft</t>
        </is>
      </c>
      <c r="W88" s="15"/>
    </row>
    <row r="89" ht="34" customHeight="1">
      <c r="A89" s="15" t="inlineStr">
        <is>
          <t xml:space="preserve">v0.1</t>
        </is>
      </c>
      <c r="B89" s="15" t="inlineStr">
        <is>
          <t xml:space="preserve">Bible_Journey_Canon_Map_v0_1_Genesis_to_2Samuel.xlsx</t>
        </is>
      </c>
      <c r="C89" s="15" t="inlineStr">
        <is>
          <t xml:space="preserve">CRS-1SA-011</t>
        </is>
      </c>
      <c r="D89" s="15">
        <v>850</v>
      </c>
      <c r="E89" s="15">
        <v>1</v>
      </c>
      <c r="F89" s="15" t="inlineStr">
        <is>
          <t xml:space="preserve">1 Samuel</t>
        </is>
      </c>
      <c r="G89" s="15" t="inlineStr">
        <is>
          <t xml:space="preserve">Rise of the Monarchy</t>
        </is>
      </c>
      <c r="H89" s="15" t="inlineStr">
        <is>
          <t xml:space="preserve">David / Act II: The Fugitive</t>
        </is>
      </c>
      <c r="I89" s="15" t="inlineStr">
        <is>
          <t xml:space="preserve">David at Nob and Gath</t>
        </is>
      </c>
      <c r="J89" s="15" t="inlineStr">
        <is>
          <t xml:space="preserve">1 Samuel 21</t>
        </is>
      </c>
      <c r="K89" s="15" t="inlineStr">
        <is>
          <t xml:space="preserve">High</t>
        </is>
      </c>
      <c r="L89" s="15" t="inlineStr">
        <is>
          <t xml:space="preserve">Probable</t>
        </is>
      </c>
      <c r="M89" s="15"/>
      <c r="N89" s="15" t="inlineStr">
        <is>
          <t xml:space="preserve">Read all assigned blocks; external links marked required in Full Stream must be completed before full-event completion.</t>
        </is>
      </c>
      <c r="O89" s="15" t="inlineStr">
        <is>
          <t xml:space="preserve">Read primary block; clearly surface linked accounts as pending, never auto-complete.</t>
        </is>
      </c>
      <c r="P89" s="15" t="inlineStr">
        <is>
          <t xml:space="preserve">No</t>
        </is>
      </c>
      <c r="Q89" s="15" t="inlineStr">
        <is>
          <t xml:space="preserve">The Life of David</t>
        </is>
      </c>
      <c r="R89" s="15"/>
      <c r="S89" s="15" t="inlineStr">
        <is>
          <t xml:space="preserve">SRC-TEXT-1SAM; SRC-SAMUEL-OVERVIEW; SRC-DAVID-OVERVIEW</t>
        </is>
      </c>
      <c r="T89" s="15" t="inlineStr">
        <is>
          <t xml:space="preserve">Editorial</t>
        </is>
      </c>
      <c r="U89" s="11" t="inlineStr">
        <is>
          <t xml:space="preserve">Needs Review</t>
        </is>
      </c>
      <c r="V89" s="13" t="inlineStr">
        <is>
          <t xml:space="preserve">Draft</t>
        </is>
      </c>
      <c r="W89" s="15"/>
    </row>
    <row r="90" ht="34" customHeight="1">
      <c r="A90" s="15" t="inlineStr">
        <is>
          <t xml:space="preserve">v0.1</t>
        </is>
      </c>
      <c r="B90" s="15" t="inlineStr">
        <is>
          <t xml:space="preserve">Bible_Journey_Canon_Map_v0_1_Genesis_to_2Samuel.xlsx</t>
        </is>
      </c>
      <c r="C90" s="15" t="inlineStr">
        <is>
          <t xml:space="preserve">CRS-1SA-012</t>
        </is>
      </c>
      <c r="D90" s="15">
        <v>860</v>
      </c>
      <c r="E90" s="15">
        <v>1</v>
      </c>
      <c r="F90" s="15" t="inlineStr">
        <is>
          <t xml:space="preserve">1 Samuel</t>
        </is>
      </c>
      <c r="G90" s="15" t="inlineStr">
        <is>
          <t xml:space="preserve">Rise of the Monarchy</t>
        </is>
      </c>
      <c r="H90" s="15" t="inlineStr">
        <is>
          <t xml:space="preserve">David / Act II: The Fugitive</t>
        </is>
      </c>
      <c r="I90" s="15" t="inlineStr">
        <is>
          <t xml:space="preserve">Adullam, the priests of Nob, and Doeg</t>
        </is>
      </c>
      <c r="J90" s="15" t="inlineStr">
        <is>
          <t xml:space="preserve">1 Samuel 22</t>
        </is>
      </c>
      <c r="K90" s="15" t="inlineStr">
        <is>
          <t xml:space="preserve">High</t>
        </is>
      </c>
      <c r="L90" s="15" t="inlineStr">
        <is>
          <t xml:space="preserve">Probable</t>
        </is>
      </c>
      <c r="M90" s="15"/>
      <c r="N90" s="15" t="inlineStr">
        <is>
          <t xml:space="preserve">Read all assigned blocks; external links marked required in Full Stream must be completed before full-event completion.</t>
        </is>
      </c>
      <c r="O90" s="15" t="inlineStr">
        <is>
          <t xml:space="preserve">Read primary block; clearly surface linked accounts as pending, never auto-complete.</t>
        </is>
      </c>
      <c r="P90" s="15" t="inlineStr">
        <is>
          <t xml:space="preserve">No</t>
        </is>
      </c>
      <c r="Q90" s="15" t="inlineStr">
        <is>
          <t xml:space="preserve">The Life of David</t>
        </is>
      </c>
      <c r="R90" s="15"/>
      <c r="S90" s="15" t="inlineStr">
        <is>
          <t xml:space="preserve">SRC-TEXT-1SAM; SRC-SAMUEL-OVERVIEW; SRC-DAVID-OVERVIEW</t>
        </is>
      </c>
      <c r="T90" s="15" t="inlineStr">
        <is>
          <t xml:space="preserve">Editorial</t>
        </is>
      </c>
      <c r="U90" s="11" t="inlineStr">
        <is>
          <t xml:space="preserve">Needs Review</t>
        </is>
      </c>
      <c r="V90" s="13" t="inlineStr">
        <is>
          <t xml:space="preserve">Draft</t>
        </is>
      </c>
      <c r="W90" s="15"/>
    </row>
    <row r="91" ht="34" customHeight="1">
      <c r="A91" s="15" t="inlineStr">
        <is>
          <t xml:space="preserve">v0.1</t>
        </is>
      </c>
      <c r="B91" s="15" t="inlineStr">
        <is>
          <t xml:space="preserve">Bible_Journey_Canon_Map_v0_1_Genesis_to_2Samuel.xlsx</t>
        </is>
      </c>
      <c r="C91" s="15" t="inlineStr">
        <is>
          <t xml:space="preserve">CRS-1SA-013</t>
        </is>
      </c>
      <c r="D91" s="15">
        <v>870</v>
      </c>
      <c r="E91" s="15">
        <v>1</v>
      </c>
      <c r="F91" s="15" t="inlineStr">
        <is>
          <t xml:space="preserve">1 Samuel</t>
        </is>
      </c>
      <c r="G91" s="15" t="inlineStr">
        <is>
          <t xml:space="preserve">Rise of the Monarchy</t>
        </is>
      </c>
      <c r="H91" s="15" t="inlineStr">
        <is>
          <t xml:space="preserve">David / Act II: The Fugitive</t>
        </is>
      </c>
      <c r="I91" s="15" t="inlineStr">
        <is>
          <t xml:space="preserve">Keilah, Ziph, and David's wilderness flight</t>
        </is>
      </c>
      <c r="J91" s="15" t="inlineStr">
        <is>
          <t xml:space="preserve">1 Samuel 23</t>
        </is>
      </c>
      <c r="K91" s="15" t="inlineStr">
        <is>
          <t xml:space="preserve">High</t>
        </is>
      </c>
      <c r="L91" s="15" t="inlineStr">
        <is>
          <t xml:space="preserve">Probable</t>
        </is>
      </c>
      <c r="M91" s="15"/>
      <c r="N91" s="15" t="inlineStr">
        <is>
          <t xml:space="preserve">Read all assigned blocks; external links marked required in Full Stream must be completed before full-event completion.</t>
        </is>
      </c>
      <c r="O91" s="15" t="inlineStr">
        <is>
          <t xml:space="preserve">Read primary block; clearly surface linked accounts as pending, never auto-complete.</t>
        </is>
      </c>
      <c r="P91" s="15" t="inlineStr">
        <is>
          <t xml:space="preserve">No</t>
        </is>
      </c>
      <c r="Q91" s="15" t="inlineStr">
        <is>
          <t xml:space="preserve">The Life of David</t>
        </is>
      </c>
      <c r="R91" s="15"/>
      <c r="S91" s="15" t="inlineStr">
        <is>
          <t xml:space="preserve">SRC-TEXT-1SAM; SRC-SAMUEL-OVERVIEW; SRC-DAVID-OVERVIEW</t>
        </is>
      </c>
      <c r="T91" s="15" t="inlineStr">
        <is>
          <t xml:space="preserve">Editorial</t>
        </is>
      </c>
      <c r="U91" s="11" t="inlineStr">
        <is>
          <t xml:space="preserve">Needs Review</t>
        </is>
      </c>
      <c r="V91" s="13" t="inlineStr">
        <is>
          <t xml:space="preserve">Draft</t>
        </is>
      </c>
      <c r="W91" s="15"/>
    </row>
    <row r="92" ht="34" customHeight="1">
      <c r="A92" s="15" t="inlineStr">
        <is>
          <t xml:space="preserve">v0.1</t>
        </is>
      </c>
      <c r="B92" s="15" t="inlineStr">
        <is>
          <t xml:space="preserve">Bible_Journey_Canon_Map_v0_1_Genesis_to_2Samuel.xlsx</t>
        </is>
      </c>
      <c r="C92" s="15" t="inlineStr">
        <is>
          <t xml:space="preserve">CRS-1SA-014</t>
        </is>
      </c>
      <c r="D92" s="15">
        <v>880</v>
      </c>
      <c r="E92" s="15">
        <v>1</v>
      </c>
      <c r="F92" s="15" t="inlineStr">
        <is>
          <t xml:space="preserve">1 Samuel</t>
        </is>
      </c>
      <c r="G92" s="15" t="inlineStr">
        <is>
          <t xml:space="preserve">Rise of the Monarchy</t>
        </is>
      </c>
      <c r="H92" s="15" t="inlineStr">
        <is>
          <t xml:space="preserve">David / Act II: The Fugitive</t>
        </is>
      </c>
      <c r="I92" s="15" t="inlineStr">
        <is>
          <t xml:space="preserve">David spares Saul at En-gedi</t>
        </is>
      </c>
      <c r="J92" s="15" t="inlineStr">
        <is>
          <t xml:space="preserve">1 Samuel 24</t>
        </is>
      </c>
      <c r="K92" s="15" t="inlineStr">
        <is>
          <t xml:space="preserve">High</t>
        </is>
      </c>
      <c r="L92" s="15" t="inlineStr">
        <is>
          <t xml:space="preserve">Probable</t>
        </is>
      </c>
      <c r="M92" s="15"/>
      <c r="N92" s="15" t="inlineStr">
        <is>
          <t xml:space="preserve">Read all assigned blocks; external links marked required in Full Stream must be completed before full-event completion.</t>
        </is>
      </c>
      <c r="O92" s="15" t="inlineStr">
        <is>
          <t xml:space="preserve">Read primary block; clearly surface linked accounts as pending, never auto-complete.</t>
        </is>
      </c>
      <c r="P92" s="15" t="inlineStr">
        <is>
          <t xml:space="preserve">No</t>
        </is>
      </c>
      <c r="Q92" s="15" t="inlineStr">
        <is>
          <t xml:space="preserve">The Life of David</t>
        </is>
      </c>
      <c r="R92" s="15"/>
      <c r="S92" s="15" t="inlineStr">
        <is>
          <t xml:space="preserve">SRC-TEXT-1SAM; SRC-SAMUEL-OVERVIEW; SRC-DAVID-OVERVIEW</t>
        </is>
      </c>
      <c r="T92" s="15" t="inlineStr">
        <is>
          <t xml:space="preserve">Editorial</t>
        </is>
      </c>
      <c r="U92" s="11" t="inlineStr">
        <is>
          <t xml:space="preserve">Needs Review</t>
        </is>
      </c>
      <c r="V92" s="13" t="inlineStr">
        <is>
          <t xml:space="preserve">Draft</t>
        </is>
      </c>
      <c r="W92" s="15"/>
    </row>
    <row r="93" ht="34" customHeight="1">
      <c r="A93" s="15" t="inlineStr">
        <is>
          <t xml:space="preserve">v0.1</t>
        </is>
      </c>
      <c r="B93" s="15" t="inlineStr">
        <is>
          <t xml:space="preserve">Bible_Journey_Canon_Map_v0_1_Genesis_to_2Samuel.xlsx</t>
        </is>
      </c>
      <c r="C93" s="15" t="inlineStr">
        <is>
          <t xml:space="preserve">CRS-1SA-015</t>
        </is>
      </c>
      <c r="D93" s="15">
        <v>890</v>
      </c>
      <c r="E93" s="15">
        <v>1</v>
      </c>
      <c r="F93" s="15" t="inlineStr">
        <is>
          <t xml:space="preserve">1 Samuel</t>
        </is>
      </c>
      <c r="G93" s="15" t="inlineStr">
        <is>
          <t xml:space="preserve">Rise of the Monarchy</t>
        </is>
      </c>
      <c r="H93" s="15" t="inlineStr">
        <is>
          <t xml:space="preserve">David / Act II: The Fugitive</t>
        </is>
      </c>
      <c r="I93" s="15" t="inlineStr">
        <is>
          <t xml:space="preserve">Nabal, Abigail, and David's restraint</t>
        </is>
      </c>
      <c r="J93" s="15" t="inlineStr">
        <is>
          <t xml:space="preserve">1 Samuel 25</t>
        </is>
      </c>
      <c r="K93" s="15" t="inlineStr">
        <is>
          <t xml:space="preserve">High</t>
        </is>
      </c>
      <c r="L93" s="15" t="inlineStr">
        <is>
          <t xml:space="preserve">Probable</t>
        </is>
      </c>
      <c r="M93" s="15"/>
      <c r="N93" s="15" t="inlineStr">
        <is>
          <t xml:space="preserve">Read the assigned main-spine block in full.</t>
        </is>
      </c>
      <c r="O93" s="15" t="inlineStr">
        <is>
          <t xml:space="preserve">Read primary block; continue to next chronological set.</t>
        </is>
      </c>
      <c r="P93" s="15" t="inlineStr">
        <is>
          <t xml:space="preserve">No</t>
        </is>
      </c>
      <c r="Q93" s="15" t="inlineStr">
        <is>
          <t xml:space="preserve">The Life of David</t>
        </is>
      </c>
      <c r="R93" s="15"/>
      <c r="S93" s="15" t="inlineStr">
        <is>
          <t xml:space="preserve">SRC-TEXT-1SAM; SRC-SAMUEL-OVERVIEW; SRC-DAVID-OVERVIEW</t>
        </is>
      </c>
      <c r="T93" s="15" t="inlineStr">
        <is>
          <t xml:space="preserve">Editorial</t>
        </is>
      </c>
      <c r="U93" s="11" t="inlineStr">
        <is>
          <t xml:space="preserve">Needs Review</t>
        </is>
      </c>
      <c r="V93" s="13" t="inlineStr">
        <is>
          <t xml:space="preserve">Draft</t>
        </is>
      </c>
      <c r="W93" s="15"/>
    </row>
    <row r="94" ht="34" customHeight="1">
      <c r="A94" s="15" t="inlineStr">
        <is>
          <t xml:space="preserve">v0.1</t>
        </is>
      </c>
      <c r="B94" s="15" t="inlineStr">
        <is>
          <t xml:space="preserve">Bible_Journey_Canon_Map_v0_1_Genesis_to_2Samuel.xlsx</t>
        </is>
      </c>
      <c r="C94" s="15" t="inlineStr">
        <is>
          <t xml:space="preserve">CRS-1SA-016</t>
        </is>
      </c>
      <c r="D94" s="15">
        <v>900</v>
      </c>
      <c r="E94" s="15">
        <v>1</v>
      </c>
      <c r="F94" s="15" t="inlineStr">
        <is>
          <t xml:space="preserve">1 Samuel</t>
        </is>
      </c>
      <c r="G94" s="15" t="inlineStr">
        <is>
          <t xml:space="preserve">Rise of the Monarchy</t>
        </is>
      </c>
      <c r="H94" s="15" t="inlineStr">
        <is>
          <t xml:space="preserve">David / Act II: The Fugitive</t>
        </is>
      </c>
      <c r="I94" s="15" t="inlineStr">
        <is>
          <t xml:space="preserve">David spares Saul in the wilderness of Ziph</t>
        </is>
      </c>
      <c r="J94" s="15" t="inlineStr">
        <is>
          <t xml:space="preserve">1 Samuel 26</t>
        </is>
      </c>
      <c r="K94" s="15" t="inlineStr">
        <is>
          <t xml:space="preserve">High</t>
        </is>
      </c>
      <c r="L94" s="15" t="inlineStr">
        <is>
          <t xml:space="preserve">Probable</t>
        </is>
      </c>
      <c r="M94" s="15"/>
      <c r="N94" s="15" t="inlineStr">
        <is>
          <t xml:space="preserve">Read the assigned main-spine block in full.</t>
        </is>
      </c>
      <c r="O94" s="15" t="inlineStr">
        <is>
          <t xml:space="preserve">Read primary block; continue to next chronological set.</t>
        </is>
      </c>
      <c r="P94" s="15" t="inlineStr">
        <is>
          <t xml:space="preserve">No</t>
        </is>
      </c>
      <c r="Q94" s="15" t="inlineStr">
        <is>
          <t xml:space="preserve">The Life of David</t>
        </is>
      </c>
      <c r="R94" s="15"/>
      <c r="S94" s="15" t="inlineStr">
        <is>
          <t xml:space="preserve">SRC-TEXT-1SAM; SRC-SAMUEL-OVERVIEW; SRC-DAVID-OVERVIEW</t>
        </is>
      </c>
      <c r="T94" s="15" t="inlineStr">
        <is>
          <t xml:space="preserve">Editorial</t>
        </is>
      </c>
      <c r="U94" s="11" t="inlineStr">
        <is>
          <t xml:space="preserve">Needs Review</t>
        </is>
      </c>
      <c r="V94" s="13" t="inlineStr">
        <is>
          <t xml:space="preserve">Draft</t>
        </is>
      </c>
      <c r="W94" s="15"/>
    </row>
    <row r="95" ht="34" customHeight="1">
      <c r="A95" s="15" t="inlineStr">
        <is>
          <t xml:space="preserve">v0.1</t>
        </is>
      </c>
      <c r="B95" s="15" t="inlineStr">
        <is>
          <t xml:space="preserve">Bible_Journey_Canon_Map_v0_1_Genesis_to_2Samuel.xlsx</t>
        </is>
      </c>
      <c r="C95" s="15" t="inlineStr">
        <is>
          <t xml:space="preserve">CRS-1SA-017</t>
        </is>
      </c>
      <c r="D95" s="15">
        <v>910</v>
      </c>
      <c r="E95" s="15">
        <v>1</v>
      </c>
      <c r="F95" s="15" t="inlineStr">
        <is>
          <t xml:space="preserve">1 Samuel</t>
        </is>
      </c>
      <c r="G95" s="15" t="inlineStr">
        <is>
          <t xml:space="preserve">Rise of the Monarchy</t>
        </is>
      </c>
      <c r="H95" s="15" t="inlineStr">
        <is>
          <t xml:space="preserve">David / Act II: The Fugitive</t>
        </is>
      </c>
      <c r="I95" s="15" t="inlineStr">
        <is>
          <t xml:space="preserve">David among the Philistines</t>
        </is>
      </c>
      <c r="J95" s="15" t="inlineStr">
        <is>
          <t xml:space="preserve">1 Samuel 27</t>
        </is>
      </c>
      <c r="K95" s="15" t="inlineStr">
        <is>
          <t xml:space="preserve">High</t>
        </is>
      </c>
      <c r="L95" s="15" t="inlineStr">
        <is>
          <t xml:space="preserve">Probable</t>
        </is>
      </c>
      <c r="M95" s="15"/>
      <c r="N95" s="15" t="inlineStr">
        <is>
          <t xml:space="preserve">Read the assigned main-spine block in full.</t>
        </is>
      </c>
      <c r="O95" s="15" t="inlineStr">
        <is>
          <t xml:space="preserve">Read primary block; continue to next chronological set.</t>
        </is>
      </c>
      <c r="P95" s="15" t="inlineStr">
        <is>
          <t xml:space="preserve">No</t>
        </is>
      </c>
      <c r="Q95" s="15" t="inlineStr">
        <is>
          <t xml:space="preserve">The Life of David</t>
        </is>
      </c>
      <c r="R95" s="15"/>
      <c r="S95" s="15" t="inlineStr">
        <is>
          <t xml:space="preserve">SRC-TEXT-1SAM; SRC-SAMUEL-OVERVIEW; SRC-DAVID-OVERVIEW</t>
        </is>
      </c>
      <c r="T95" s="15" t="inlineStr">
        <is>
          <t xml:space="preserve">Editorial</t>
        </is>
      </c>
      <c r="U95" s="11" t="inlineStr">
        <is>
          <t xml:space="preserve">Needs Review</t>
        </is>
      </c>
      <c r="V95" s="13" t="inlineStr">
        <is>
          <t xml:space="preserve">Draft</t>
        </is>
      </c>
      <c r="W95" s="15"/>
    </row>
    <row r="96" ht="34" customHeight="1">
      <c r="A96" s="15" t="inlineStr">
        <is>
          <t xml:space="preserve">v0.1</t>
        </is>
      </c>
      <c r="B96" s="15" t="inlineStr">
        <is>
          <t xml:space="preserve">Bible_Journey_Canon_Map_v0_1_Genesis_to_2Samuel.xlsx</t>
        </is>
      </c>
      <c r="C96" s="15" t="inlineStr">
        <is>
          <t xml:space="preserve">CRS-1SA-018</t>
        </is>
      </c>
      <c r="D96" s="15">
        <v>920</v>
      </c>
      <c r="E96" s="15">
        <v>1</v>
      </c>
      <c r="F96" s="15" t="inlineStr">
        <is>
          <t xml:space="preserve">1 Samuel</t>
        </is>
      </c>
      <c r="G96" s="15" t="inlineStr">
        <is>
          <t xml:space="preserve">Rise of the Monarchy</t>
        </is>
      </c>
      <c r="H96" s="15" t="inlineStr">
        <is>
          <t xml:space="preserve">Saul's final crisis</t>
        </is>
      </c>
      <c r="I96" s="15" t="inlineStr">
        <is>
          <t xml:space="preserve">Saul and the medium at Endor</t>
        </is>
      </c>
      <c r="J96" s="15" t="inlineStr">
        <is>
          <t xml:space="preserve">1 Samuel 28</t>
        </is>
      </c>
      <c r="K96" s="15" t="inlineStr">
        <is>
          <t xml:space="preserve">High</t>
        </is>
      </c>
      <c r="L96" s="15" t="inlineStr">
        <is>
          <t xml:space="preserve">Probable</t>
        </is>
      </c>
      <c r="M96" s="15"/>
      <c r="N96" s="15" t="inlineStr">
        <is>
          <t xml:space="preserve">Read the assigned main-spine block in full.</t>
        </is>
      </c>
      <c r="O96" s="15" t="inlineStr">
        <is>
          <t xml:space="preserve">Read primary block; continue to next chronological set.</t>
        </is>
      </c>
      <c r="P96" s="15" t="inlineStr">
        <is>
          <t xml:space="preserve">No</t>
        </is>
      </c>
      <c r="Q96" s="15" t="inlineStr">
        <is>
          <t xml:space="preserve">Saul</t>
        </is>
      </c>
      <c r="R96" s="15"/>
      <c r="S96" s="15" t="inlineStr">
        <is>
          <t xml:space="preserve">SRC-TEXT-1SAM; SRC-SAMUEL-OVERVIEW; SRC-DAVID-OVERVIEW</t>
        </is>
      </c>
      <c r="T96" s="15" t="inlineStr">
        <is>
          <t xml:space="preserve">Editorial</t>
        </is>
      </c>
      <c r="U96" s="11" t="inlineStr">
        <is>
          <t xml:space="preserve">Needs Review</t>
        </is>
      </c>
      <c r="V96" s="13" t="inlineStr">
        <is>
          <t xml:space="preserve">Draft</t>
        </is>
      </c>
      <c r="W96" s="15"/>
    </row>
    <row r="97" ht="34" customHeight="1">
      <c r="A97" s="15" t="inlineStr">
        <is>
          <t xml:space="preserve">v0.1</t>
        </is>
      </c>
      <c r="B97" s="15" t="inlineStr">
        <is>
          <t xml:space="preserve">Bible_Journey_Canon_Map_v0_1_Genesis_to_2Samuel.xlsx</t>
        </is>
      </c>
      <c r="C97" s="15" t="inlineStr">
        <is>
          <t xml:space="preserve">CRS-1SA-019</t>
        </is>
      </c>
      <c r="D97" s="15">
        <v>930</v>
      </c>
      <c r="E97" s="15">
        <v>1</v>
      </c>
      <c r="F97" s="15" t="inlineStr">
        <is>
          <t xml:space="preserve">1 Samuel</t>
        </is>
      </c>
      <c r="G97" s="15" t="inlineStr">
        <is>
          <t xml:space="preserve">Rise of the Monarchy</t>
        </is>
      </c>
      <c r="H97" s="15" t="inlineStr">
        <is>
          <t xml:space="preserve">David / Act II: The Fugitive</t>
        </is>
      </c>
      <c r="I97" s="15" t="inlineStr">
        <is>
          <t xml:space="preserve">The Philistine muster and David's dismissal</t>
        </is>
      </c>
      <c r="J97" s="15" t="inlineStr">
        <is>
          <t xml:space="preserve">1 Samuel 29</t>
        </is>
      </c>
      <c r="K97" s="15" t="inlineStr">
        <is>
          <t xml:space="preserve">High</t>
        </is>
      </c>
      <c r="L97" s="15" t="inlineStr">
        <is>
          <t xml:space="preserve">Probable</t>
        </is>
      </c>
      <c r="M97" s="15"/>
      <c r="N97" s="15" t="inlineStr">
        <is>
          <t xml:space="preserve">Read the assigned main-spine block in full.</t>
        </is>
      </c>
      <c r="O97" s="15" t="inlineStr">
        <is>
          <t xml:space="preserve">Read primary block; continue to next chronological set.</t>
        </is>
      </c>
      <c r="P97" s="15" t="inlineStr">
        <is>
          <t xml:space="preserve">No</t>
        </is>
      </c>
      <c r="Q97" s="15" t="inlineStr">
        <is>
          <t xml:space="preserve">The Life of David</t>
        </is>
      </c>
      <c r="R97" s="15"/>
      <c r="S97" s="15" t="inlineStr">
        <is>
          <t xml:space="preserve">SRC-TEXT-1SAM; SRC-SAMUEL-OVERVIEW; SRC-DAVID-OVERVIEW</t>
        </is>
      </c>
      <c r="T97" s="15" t="inlineStr">
        <is>
          <t xml:space="preserve">Editorial</t>
        </is>
      </c>
      <c r="U97" s="11" t="inlineStr">
        <is>
          <t xml:space="preserve">Needs Review</t>
        </is>
      </c>
      <c r="V97" s="13" t="inlineStr">
        <is>
          <t xml:space="preserve">Draft</t>
        </is>
      </c>
      <c r="W97" s="15"/>
    </row>
    <row r="98" ht="34" customHeight="1">
      <c r="A98" s="15" t="inlineStr">
        <is>
          <t xml:space="preserve">v0.1</t>
        </is>
      </c>
      <c r="B98" s="15" t="inlineStr">
        <is>
          <t xml:space="preserve">Bible_Journey_Canon_Map_v0_1_Genesis_to_2Samuel.xlsx</t>
        </is>
      </c>
      <c r="C98" s="15" t="inlineStr">
        <is>
          <t xml:space="preserve">CRS-1SA-020</t>
        </is>
      </c>
      <c r="D98" s="15">
        <v>940</v>
      </c>
      <c r="E98" s="15">
        <v>1</v>
      </c>
      <c r="F98" s="15" t="inlineStr">
        <is>
          <t xml:space="preserve">1 Samuel</t>
        </is>
      </c>
      <c r="G98" s="15" t="inlineStr">
        <is>
          <t xml:space="preserve">Rise of the Monarchy</t>
        </is>
      </c>
      <c r="H98" s="15" t="inlineStr">
        <is>
          <t xml:space="preserve">David / Act II: The Fugitive</t>
        </is>
      </c>
      <c r="I98" s="15" t="inlineStr">
        <is>
          <t xml:space="preserve">Ziklag and the Amalekite raid</t>
        </is>
      </c>
      <c r="J98" s="15" t="inlineStr">
        <is>
          <t xml:space="preserve">1 Samuel 30</t>
        </is>
      </c>
      <c r="K98" s="15" t="inlineStr">
        <is>
          <t xml:space="preserve">High</t>
        </is>
      </c>
      <c r="L98" s="15" t="inlineStr">
        <is>
          <t xml:space="preserve">Probable</t>
        </is>
      </c>
      <c r="M98" s="15"/>
      <c r="N98" s="15" t="inlineStr">
        <is>
          <t xml:space="preserve">Read the assigned main-spine block in full.</t>
        </is>
      </c>
      <c r="O98" s="15" t="inlineStr">
        <is>
          <t xml:space="preserve">Read primary block; continue to next chronological set.</t>
        </is>
      </c>
      <c r="P98" s="15" t="inlineStr">
        <is>
          <t xml:space="preserve">No</t>
        </is>
      </c>
      <c r="Q98" s="15" t="inlineStr">
        <is>
          <t xml:space="preserve">The Life of David</t>
        </is>
      </c>
      <c r="R98" s="15"/>
      <c r="S98" s="15" t="inlineStr">
        <is>
          <t xml:space="preserve">SRC-TEXT-1SAM; SRC-SAMUEL-OVERVIEW; SRC-DAVID-OVERVIEW</t>
        </is>
      </c>
      <c r="T98" s="15" t="inlineStr">
        <is>
          <t xml:space="preserve">Editorial</t>
        </is>
      </c>
      <c r="U98" s="11" t="inlineStr">
        <is>
          <t xml:space="preserve">Needs Review</t>
        </is>
      </c>
      <c r="V98" s="13" t="inlineStr">
        <is>
          <t xml:space="preserve">Draft</t>
        </is>
      </c>
      <c r="W98" s="15"/>
    </row>
    <row r="99" ht="34" customHeight="1">
      <c r="A99" s="15" t="inlineStr">
        <is>
          <t xml:space="preserve">v0.1</t>
        </is>
      </c>
      <c r="B99" s="15" t="inlineStr">
        <is>
          <t xml:space="preserve">Bible_Journey_Canon_Map_v0_1_Genesis_to_2Samuel.xlsx</t>
        </is>
      </c>
      <c r="C99" s="15" t="inlineStr">
        <is>
          <t xml:space="preserve">CRS-1SA-021</t>
        </is>
      </c>
      <c r="D99" s="15">
        <v>950</v>
      </c>
      <c r="E99" s="15">
        <v>1</v>
      </c>
      <c r="F99" s="15" t="inlineStr">
        <is>
          <t xml:space="preserve">1 Samuel</t>
        </is>
      </c>
      <c r="G99" s="15" t="inlineStr">
        <is>
          <t xml:space="preserve">Rise of the Monarchy</t>
        </is>
      </c>
      <c r="H99" s="15" t="inlineStr">
        <is>
          <t xml:space="preserve">Saul's death</t>
        </is>
      </c>
      <c r="I99" s="15" t="inlineStr">
        <is>
          <t xml:space="preserve">Saul dies at Gilboa</t>
        </is>
      </c>
      <c r="J99" s="15" t="inlineStr">
        <is>
          <t xml:space="preserve">1 Samuel 31</t>
        </is>
      </c>
      <c r="K99" s="15" t="inlineStr">
        <is>
          <t xml:space="preserve">High</t>
        </is>
      </c>
      <c r="L99" s="15" t="inlineStr">
        <is>
          <t xml:space="preserve">High</t>
        </is>
      </c>
      <c r="M99" s="15"/>
      <c r="N99" s="15" t="inlineStr">
        <is>
          <t xml:space="preserve">Read all assigned blocks; external links marked required in Full Stream must be completed before full-event completion.</t>
        </is>
      </c>
      <c r="O99" s="15" t="inlineStr">
        <is>
          <t xml:space="preserve">Read primary block; clearly surface linked accounts as pending, never auto-complete.</t>
        </is>
      </c>
      <c r="P99" s="15" t="inlineStr">
        <is>
          <t xml:space="preserve">Yes</t>
        </is>
      </c>
      <c r="Q99" s="15" t="inlineStr">
        <is>
          <t xml:space="preserve">Saul; The Life of David</t>
        </is>
      </c>
      <c r="R99" s="15"/>
      <c r="S99" s="15" t="inlineStr">
        <is>
          <t xml:space="preserve">SRC-TEXT-2SAM; SRC-TEXT-1CHR; SRC-SAMUEL-OVERVIEW; SRC-CHRONICLES-OVERVIEW; SRC-DAVID-OVERVIEW</t>
        </is>
      </c>
      <c r="T99" s="15" t="inlineStr">
        <is>
          <t xml:space="preserve">Editorial</t>
        </is>
      </c>
      <c r="U99" s="11" t="inlineStr">
        <is>
          <t xml:space="preserve">Needs Review</t>
        </is>
      </c>
      <c r="V99" s="13" t="inlineStr">
        <is>
          <t xml:space="preserve">Draft</t>
        </is>
      </c>
      <c r="W99" s="15"/>
    </row>
    <row r="100" ht="34" customHeight="1">
      <c r="A100" s="15" t="inlineStr">
        <is>
          <t xml:space="preserve">v0.1</t>
        </is>
      </c>
      <c r="B100" s="15" t="inlineStr">
        <is>
          <t xml:space="preserve">Bible_Journey_Canon_Map_v0_1_Genesis_to_2Samuel.xlsx</t>
        </is>
      </c>
      <c r="C100" s="15" t="inlineStr">
        <is>
          <t xml:space="preserve">CRS-2SA-001</t>
        </is>
      </c>
      <c r="D100" s="15">
        <v>960</v>
      </c>
      <c r="E100" s="15">
        <v>1</v>
      </c>
      <c r="F100" s="15" t="inlineStr">
        <is>
          <t xml:space="preserve">2 Samuel</t>
        </is>
      </c>
      <c r="G100" s="15" t="inlineStr">
        <is>
          <t xml:space="preserve">United Monarchy</t>
        </is>
      </c>
      <c r="H100" s="15" t="inlineStr">
        <is>
          <t xml:space="preserve">David / Act III: The King</t>
        </is>
      </c>
      <c r="I100" s="15" t="inlineStr">
        <is>
          <t xml:space="preserve">David mourns Saul and becomes king in Hebron</t>
        </is>
      </c>
      <c r="J100" s="15" t="inlineStr">
        <is>
          <t xml:space="preserve">2 Samuel 1-2</t>
        </is>
      </c>
      <c r="K100" s="15" t="inlineStr">
        <is>
          <t xml:space="preserve">High</t>
        </is>
      </c>
      <c r="L100" s="15" t="inlineStr">
        <is>
          <t xml:space="preserve">High</t>
        </is>
      </c>
      <c r="M100" s="15"/>
      <c r="N100" s="15" t="inlineStr">
        <is>
          <t xml:space="preserve">Read the assigned main-spine block in full.</t>
        </is>
      </c>
      <c r="O100" s="15" t="inlineStr">
        <is>
          <t xml:space="preserve">Read primary block; continue to next chronological set.</t>
        </is>
      </c>
      <c r="P100" s="15" t="inlineStr">
        <is>
          <t xml:space="preserve">No</t>
        </is>
      </c>
      <c r="Q100" s="15" t="inlineStr">
        <is>
          <t xml:space="preserve">The Life of David</t>
        </is>
      </c>
      <c r="R100" s="15"/>
      <c r="S100" s="15" t="inlineStr">
        <is>
          <t xml:space="preserve">SRC-TEXT-2SAM; SRC-SAMUEL-OVERVIEW; SRC-DAVID-OVERVIEW</t>
        </is>
      </c>
      <c r="T100" s="15" t="inlineStr">
        <is>
          <t xml:space="preserve">Editorial</t>
        </is>
      </c>
      <c r="U100" s="11" t="inlineStr">
        <is>
          <t xml:space="preserve">Needs Review</t>
        </is>
      </c>
      <c r="V100" s="13" t="inlineStr">
        <is>
          <t xml:space="preserve">Draft</t>
        </is>
      </c>
      <c r="W100" s="15"/>
    </row>
    <row r="101" ht="34" customHeight="1">
      <c r="A101" s="15" t="inlineStr">
        <is>
          <t xml:space="preserve">v0.1</t>
        </is>
      </c>
      <c r="B101" s="15" t="inlineStr">
        <is>
          <t xml:space="preserve">Bible_Journey_Canon_Map_v0_1_Genesis_to_2Samuel.xlsx</t>
        </is>
      </c>
      <c r="C101" s="15" t="inlineStr">
        <is>
          <t xml:space="preserve">CRS-2SA-002</t>
        </is>
      </c>
      <c r="D101" s="15">
        <v>970</v>
      </c>
      <c r="E101" s="15">
        <v>1</v>
      </c>
      <c r="F101" s="15" t="inlineStr">
        <is>
          <t xml:space="preserve">2 Samuel</t>
        </is>
      </c>
      <c r="G101" s="15" t="inlineStr">
        <is>
          <t xml:space="preserve">United Monarchy</t>
        </is>
      </c>
      <c r="H101" s="15" t="inlineStr">
        <is>
          <t xml:space="preserve">David / Act III: The King</t>
        </is>
      </c>
      <c r="I101" s="15" t="inlineStr">
        <is>
          <t xml:space="preserve">Abner, Ish-bosheth, and the reunification of Israel</t>
        </is>
      </c>
      <c r="J101" s="15" t="inlineStr">
        <is>
          <t xml:space="preserve">2 Samuel 3-4</t>
        </is>
      </c>
      <c r="K101" s="15" t="inlineStr">
        <is>
          <t xml:space="preserve">High</t>
        </is>
      </c>
      <c r="L101" s="15" t="inlineStr">
        <is>
          <t xml:space="preserve">High</t>
        </is>
      </c>
      <c r="M101" s="15"/>
      <c r="N101" s="15" t="inlineStr">
        <is>
          <t xml:space="preserve">Read the assigned main-spine block in full.</t>
        </is>
      </c>
      <c r="O101" s="15" t="inlineStr">
        <is>
          <t xml:space="preserve">Read primary block; continue to next chronological set.</t>
        </is>
      </c>
      <c r="P101" s="15" t="inlineStr">
        <is>
          <t xml:space="preserve">No</t>
        </is>
      </c>
      <c r="Q101" s="15" t="inlineStr">
        <is>
          <t xml:space="preserve">The Life of David</t>
        </is>
      </c>
      <c r="R101" s="15"/>
      <c r="S101" s="15" t="inlineStr">
        <is>
          <t xml:space="preserve">SRC-TEXT-2SAM; SRC-SAMUEL-OVERVIEW; SRC-DAVID-OVERVIEW</t>
        </is>
      </c>
      <c r="T101" s="15" t="inlineStr">
        <is>
          <t xml:space="preserve">Editorial</t>
        </is>
      </c>
      <c r="U101" s="11" t="inlineStr">
        <is>
          <t xml:space="preserve">Needs Review</t>
        </is>
      </c>
      <c r="V101" s="13" t="inlineStr">
        <is>
          <t xml:space="preserve">Draft</t>
        </is>
      </c>
      <c r="W101" s="15"/>
    </row>
    <row r="102" ht="34" customHeight="1">
      <c r="A102" s="15" t="inlineStr">
        <is>
          <t xml:space="preserve">v0.1</t>
        </is>
      </c>
      <c r="B102" s="15" t="inlineStr">
        <is>
          <t xml:space="preserve">Bible_Journey_Canon_Map_v0_1_Genesis_to_2Samuel.xlsx</t>
        </is>
      </c>
      <c r="C102" s="15" t="inlineStr">
        <is>
          <t xml:space="preserve">CRS-2SA-003</t>
        </is>
      </c>
      <c r="D102" s="15">
        <v>980</v>
      </c>
      <c r="E102" s="15">
        <v>1</v>
      </c>
      <c r="F102" s="15" t="inlineStr">
        <is>
          <t xml:space="preserve">2 Samuel</t>
        </is>
      </c>
      <c r="G102" s="15" t="inlineStr">
        <is>
          <t xml:space="preserve">United Monarchy</t>
        </is>
      </c>
      <c r="H102" s="15" t="inlineStr">
        <is>
          <t xml:space="preserve">David / Act III: The King</t>
        </is>
      </c>
      <c r="I102" s="15" t="inlineStr">
        <is>
          <t xml:space="preserve">David becomes king over all Israel and takes Jerusalem</t>
        </is>
      </c>
      <c r="J102" s="15" t="inlineStr">
        <is>
          <t xml:space="preserve">2 Samuel 5</t>
        </is>
      </c>
      <c r="K102" s="15" t="inlineStr">
        <is>
          <t xml:space="preserve">High</t>
        </is>
      </c>
      <c r="L102" s="15" t="inlineStr">
        <is>
          <t xml:space="preserve">High</t>
        </is>
      </c>
      <c r="M102" s="15"/>
      <c r="N102" s="15" t="inlineStr">
        <is>
          <t xml:space="preserve">Read all assigned blocks; external links marked required in Full Stream must be completed before full-event completion.</t>
        </is>
      </c>
      <c r="O102" s="15" t="inlineStr">
        <is>
          <t xml:space="preserve">Read primary block; clearly surface linked accounts as pending, never auto-complete.</t>
        </is>
      </c>
      <c r="P102" s="15" t="inlineStr">
        <is>
          <t xml:space="preserve">Yes</t>
        </is>
      </c>
      <c r="Q102" s="15" t="inlineStr">
        <is>
          <t xml:space="preserve">The Life of David; United Monarchy</t>
        </is>
      </c>
      <c r="R102" s="15"/>
      <c r="S102" s="15" t="inlineStr">
        <is>
          <t xml:space="preserve">SRC-TEXT-2SAM; SRC-TEXT-1CHR; SRC-SAMUEL-OVERVIEW; SRC-CHRONICLES-OVERVIEW; SRC-DAVID-OVERVIEW</t>
        </is>
      </c>
      <c r="T102" s="15" t="inlineStr">
        <is>
          <t xml:space="preserve">Editorial</t>
        </is>
      </c>
      <c r="U102" s="11" t="inlineStr">
        <is>
          <t xml:space="preserve">Needs Review</t>
        </is>
      </c>
      <c r="V102" s="13" t="inlineStr">
        <is>
          <t xml:space="preserve">Draft</t>
        </is>
      </c>
      <c r="W102" s="15" t="inlineStr">
        <is>
          <t xml:space="preserve">The main canonical chapter is 2 Samuel 5. 1 Chronicles 14 overlaps its latter section; the future verse-level model must prevent duplicate completion when the reader reaches the parallel.</t>
        </is>
      </c>
    </row>
    <row r="103" ht="34" customHeight="1">
      <c r="A103" s="15" t="inlineStr">
        <is>
          <t xml:space="preserve">v0.1</t>
        </is>
      </c>
      <c r="B103" s="15" t="inlineStr">
        <is>
          <t xml:space="preserve">Bible_Journey_Canon_Map_v0_1_Genesis_to_2Samuel.xlsx</t>
        </is>
      </c>
      <c r="C103" s="15" t="inlineStr">
        <is>
          <t xml:space="preserve">CRS-2SA-004</t>
        </is>
      </c>
      <c r="D103" s="15">
        <v>990</v>
      </c>
      <c r="E103" s="15">
        <v>1</v>
      </c>
      <c r="F103" s="15" t="inlineStr">
        <is>
          <t xml:space="preserve">2 Samuel</t>
        </is>
      </c>
      <c r="G103" s="15" t="inlineStr">
        <is>
          <t xml:space="preserve">United Monarchy</t>
        </is>
      </c>
      <c r="H103" s="15" t="inlineStr">
        <is>
          <t xml:space="preserve">David / Act III: The King</t>
        </is>
      </c>
      <c r="I103" s="15" t="inlineStr">
        <is>
          <t xml:space="preserve">The ark's first journey and Uzzah's death</t>
        </is>
      </c>
      <c r="J103" s="15" t="inlineStr">
        <is>
          <t xml:space="preserve">2 Samuel 6</t>
        </is>
      </c>
      <c r="K103" s="15" t="inlineStr">
        <is>
          <t xml:space="preserve">High</t>
        </is>
      </c>
      <c r="L103" s="15" t="inlineStr">
        <is>
          <t xml:space="preserve">High</t>
        </is>
      </c>
      <c r="M103" s="15"/>
      <c r="N103" s="15" t="inlineStr">
        <is>
          <t xml:space="preserve">Read all assigned blocks; external links marked required in Full Stream must be completed before full-event completion.</t>
        </is>
      </c>
      <c r="O103" s="15" t="inlineStr">
        <is>
          <t xml:space="preserve">Read primary block; clearly surface linked accounts as pending, never auto-complete.</t>
        </is>
      </c>
      <c r="P103" s="15" t="inlineStr">
        <is>
          <t xml:space="preserve">Yes</t>
        </is>
      </c>
      <c r="Q103" s="15" t="inlineStr">
        <is>
          <t xml:space="preserve">The Life of David; Ark &amp; Temple</t>
        </is>
      </c>
      <c r="R103" s="15"/>
      <c r="S103" s="15" t="inlineStr">
        <is>
          <t xml:space="preserve">SRC-TEXT-2SAM; SRC-TEXT-1CHR; SRC-SAMUEL-OVERVIEW; SRC-CHRONICLES-OVERVIEW; SRC-DAVID-OVERVIEW</t>
        </is>
      </c>
      <c r="T103" s="15" t="inlineStr">
        <is>
          <t xml:space="preserve">Editorial</t>
        </is>
      </c>
      <c r="U103" s="11" t="inlineStr">
        <is>
          <t xml:space="preserve">Needs Review</t>
        </is>
      </c>
      <c r="V103" s="13" t="inlineStr">
        <is>
          <t xml:space="preserve">Draft</t>
        </is>
      </c>
      <c r="W103" s="15" t="inlineStr">
        <is>
          <t xml:space="preserve">2 Samuel 6 combines the failed and successful ark movements; the future verse-level CRS must split this chapter into two precise Reading Sets to avoid duplicate placement. V0.1 marks this as a known refinement.</t>
        </is>
      </c>
    </row>
    <row r="104" ht="34" customHeight="1">
      <c r="A104" s="15" t="inlineStr">
        <is>
          <t xml:space="preserve">v0.1</t>
        </is>
      </c>
      <c r="B104" s="15" t="inlineStr">
        <is>
          <t xml:space="preserve">Bible_Journey_Canon_Map_v0_1_Genesis_to_2Samuel.xlsx</t>
        </is>
      </c>
      <c r="C104" s="15" t="inlineStr">
        <is>
          <t xml:space="preserve">CRS-2SA-005</t>
        </is>
      </c>
      <c r="D104" s="15">
        <v>1000</v>
      </c>
      <c r="E104" s="15">
        <v>1</v>
      </c>
      <c r="F104" s="15" t="inlineStr">
        <is>
          <t xml:space="preserve">2 Samuel</t>
        </is>
      </c>
      <c r="G104" s="15" t="inlineStr">
        <is>
          <t xml:space="preserve">United Monarchy</t>
        </is>
      </c>
      <c r="H104" s="15" t="inlineStr">
        <is>
          <t xml:space="preserve">David / Act III: The King</t>
        </is>
      </c>
      <c r="I104" s="15" t="inlineStr">
        <is>
          <t xml:space="preserve">The Davidic covenant</t>
        </is>
      </c>
      <c r="J104" s="15" t="inlineStr">
        <is>
          <t xml:space="preserve">2 Samuel 7</t>
        </is>
      </c>
      <c r="K104" s="15" t="inlineStr">
        <is>
          <t xml:space="preserve">High</t>
        </is>
      </c>
      <c r="L104" s="15" t="inlineStr">
        <is>
          <t xml:space="preserve">High</t>
        </is>
      </c>
      <c r="M104" s="15"/>
      <c r="N104" s="15" t="inlineStr">
        <is>
          <t xml:space="preserve">Read all assigned blocks; external links marked required in Full Stream must be completed before full-event completion.</t>
        </is>
      </c>
      <c r="O104" s="15" t="inlineStr">
        <is>
          <t xml:space="preserve">Read primary block; clearly surface linked accounts as pending, never auto-complete.</t>
        </is>
      </c>
      <c r="P104" s="15" t="inlineStr">
        <is>
          <t xml:space="preserve">Yes</t>
        </is>
      </c>
      <c r="Q104" s="15" t="inlineStr">
        <is>
          <t xml:space="preserve">The Life of David; Covenant</t>
        </is>
      </c>
      <c r="R104" s="15"/>
      <c r="S104" s="15" t="inlineStr">
        <is>
          <t xml:space="preserve">SRC-TEXT-2SAM; SRC-TEXT-1CHR; SRC-SAMUEL-OVERVIEW; SRC-CHRONICLES-OVERVIEW; SRC-DAVID-OVERVIEW</t>
        </is>
      </c>
      <c r="T104" s="15" t="inlineStr">
        <is>
          <t xml:space="preserve">Editorial</t>
        </is>
      </c>
      <c r="U104" s="11" t="inlineStr">
        <is>
          <t xml:space="preserve">Needs Review</t>
        </is>
      </c>
      <c r="V104" s="13" t="inlineStr">
        <is>
          <t xml:space="preserve">Draft</t>
        </is>
      </c>
      <c r="W104" s="15"/>
    </row>
    <row r="105" ht="34" customHeight="1">
      <c r="A105" s="15" t="inlineStr">
        <is>
          <t xml:space="preserve">v0.1</t>
        </is>
      </c>
      <c r="B105" s="15" t="inlineStr">
        <is>
          <t xml:space="preserve">Bible_Journey_Canon_Map_v0_1_Genesis_to_2Samuel.xlsx</t>
        </is>
      </c>
      <c r="C105" s="15" t="inlineStr">
        <is>
          <t xml:space="preserve">CRS-2SA-006</t>
        </is>
      </c>
      <c r="D105" s="15">
        <v>1010</v>
      </c>
      <c r="E105" s="15">
        <v>1</v>
      </c>
      <c r="F105" s="15" t="inlineStr">
        <is>
          <t xml:space="preserve">2 Samuel</t>
        </is>
      </c>
      <c r="G105" s="15" t="inlineStr">
        <is>
          <t xml:space="preserve">United Monarchy</t>
        </is>
      </c>
      <c r="H105" s="15" t="inlineStr">
        <is>
          <t xml:space="preserve">David / Act III: The King</t>
        </is>
      </c>
      <c r="I105" s="15" t="inlineStr">
        <is>
          <t xml:space="preserve">David's victories and administration</t>
        </is>
      </c>
      <c r="J105" s="15" t="inlineStr">
        <is>
          <t xml:space="preserve">2 Samuel 8</t>
        </is>
      </c>
      <c r="K105" s="15" t="inlineStr">
        <is>
          <t xml:space="preserve">High</t>
        </is>
      </c>
      <c r="L105" s="15" t="inlineStr">
        <is>
          <t xml:space="preserve">High</t>
        </is>
      </c>
      <c r="M105" s="15"/>
      <c r="N105" s="15" t="inlineStr">
        <is>
          <t xml:space="preserve">Read all assigned blocks; external links marked required in Full Stream must be completed before full-event completion.</t>
        </is>
      </c>
      <c r="O105" s="15" t="inlineStr">
        <is>
          <t xml:space="preserve">Read primary block; clearly surface linked accounts as pending, never auto-complete.</t>
        </is>
      </c>
      <c r="P105" s="15" t="inlineStr">
        <is>
          <t xml:space="preserve">Yes</t>
        </is>
      </c>
      <c r="Q105" s="15" t="inlineStr">
        <is>
          <t xml:space="preserve">The Life of David; United Monarchy</t>
        </is>
      </c>
      <c r="R105" s="15"/>
      <c r="S105" s="15" t="inlineStr">
        <is>
          <t xml:space="preserve">SRC-TEXT-2SAM; SRC-TEXT-1CHR; SRC-SAMUEL-OVERVIEW; SRC-CHRONICLES-OVERVIEW; SRC-DAVID-OVERVIEW</t>
        </is>
      </c>
      <c r="T105" s="15" t="inlineStr">
        <is>
          <t xml:space="preserve">Editorial</t>
        </is>
      </c>
      <c r="U105" s="11" t="inlineStr">
        <is>
          <t xml:space="preserve">Needs Review</t>
        </is>
      </c>
      <c r="V105" s="13" t="inlineStr">
        <is>
          <t xml:space="preserve">Draft</t>
        </is>
      </c>
      <c r="W105" s="15"/>
    </row>
    <row r="106" ht="34" customHeight="1">
      <c r="A106" s="15" t="inlineStr">
        <is>
          <t xml:space="preserve">v0.1</t>
        </is>
      </c>
      <c r="B106" s="15" t="inlineStr">
        <is>
          <t xml:space="preserve">Bible_Journey_Canon_Map_v0_1_Genesis_to_2Samuel.xlsx</t>
        </is>
      </c>
      <c r="C106" s="15" t="inlineStr">
        <is>
          <t xml:space="preserve">CRS-2SA-007</t>
        </is>
      </c>
      <c r="D106" s="15">
        <v>1020</v>
      </c>
      <c r="E106" s="15">
        <v>1</v>
      </c>
      <c r="F106" s="15" t="inlineStr">
        <is>
          <t xml:space="preserve">2 Samuel</t>
        </is>
      </c>
      <c r="G106" s="15" t="inlineStr">
        <is>
          <t xml:space="preserve">United Monarchy</t>
        </is>
      </c>
      <c r="H106" s="15" t="inlineStr">
        <is>
          <t xml:space="preserve">David / Act III: The King</t>
        </is>
      </c>
      <c r="I106" s="15" t="inlineStr">
        <is>
          <t xml:space="preserve">David and Mephibosheth</t>
        </is>
      </c>
      <c r="J106" s="15" t="inlineStr">
        <is>
          <t xml:space="preserve">2 Samuel 9</t>
        </is>
      </c>
      <c r="K106" s="15" t="inlineStr">
        <is>
          <t xml:space="preserve">High</t>
        </is>
      </c>
      <c r="L106" s="15" t="inlineStr">
        <is>
          <t xml:space="preserve">High</t>
        </is>
      </c>
      <c r="M106" s="15"/>
      <c r="N106" s="15" t="inlineStr">
        <is>
          <t xml:space="preserve">Read the assigned main-spine block in full.</t>
        </is>
      </c>
      <c r="O106" s="15" t="inlineStr">
        <is>
          <t xml:space="preserve">Read primary block; continue to next chronological set.</t>
        </is>
      </c>
      <c r="P106" s="15" t="inlineStr">
        <is>
          <t xml:space="preserve">No</t>
        </is>
      </c>
      <c r="Q106" s="15" t="inlineStr">
        <is>
          <t xml:space="preserve">The Life of David; Jonathan</t>
        </is>
      </c>
      <c r="R106" s="15"/>
      <c r="S106" s="15" t="inlineStr">
        <is>
          <t xml:space="preserve">SRC-TEXT-2SAM; SRC-SAMUEL-OVERVIEW; SRC-DAVID-OVERVIEW</t>
        </is>
      </c>
      <c r="T106" s="15" t="inlineStr">
        <is>
          <t xml:space="preserve">Editorial</t>
        </is>
      </c>
      <c r="U106" s="11" t="inlineStr">
        <is>
          <t xml:space="preserve">Needs Review</t>
        </is>
      </c>
      <c r="V106" s="13" t="inlineStr">
        <is>
          <t xml:space="preserve">Draft</t>
        </is>
      </c>
      <c r="W106" s="15"/>
    </row>
    <row r="107" ht="34" customHeight="1">
      <c r="A107" s="15" t="inlineStr">
        <is>
          <t xml:space="preserve">v0.1</t>
        </is>
      </c>
      <c r="B107" s="15" t="inlineStr">
        <is>
          <t xml:space="preserve">Bible_Journey_Canon_Map_v0_1_Genesis_to_2Samuel.xlsx</t>
        </is>
      </c>
      <c r="C107" s="15" t="inlineStr">
        <is>
          <t xml:space="preserve">CRS-2SA-008</t>
        </is>
      </c>
      <c r="D107" s="15">
        <v>1030</v>
      </c>
      <c r="E107" s="15">
        <v>1</v>
      </c>
      <c r="F107" s="15" t="inlineStr">
        <is>
          <t xml:space="preserve">2 Samuel</t>
        </is>
      </c>
      <c r="G107" s="15" t="inlineStr">
        <is>
          <t xml:space="preserve">United Monarchy</t>
        </is>
      </c>
      <c r="H107" s="15" t="inlineStr">
        <is>
          <t xml:space="preserve">David / Act III: The King</t>
        </is>
      </c>
      <c r="I107" s="15" t="inlineStr">
        <is>
          <t xml:space="preserve">War with Ammon and Aram</t>
        </is>
      </c>
      <c r="J107" s="15" t="inlineStr">
        <is>
          <t xml:space="preserve">2 Samuel 10</t>
        </is>
      </c>
      <c r="K107" s="15" t="inlineStr">
        <is>
          <t xml:space="preserve">High</t>
        </is>
      </c>
      <c r="L107" s="15" t="inlineStr">
        <is>
          <t xml:space="preserve">High</t>
        </is>
      </c>
      <c r="M107" s="15"/>
      <c r="N107" s="15" t="inlineStr">
        <is>
          <t xml:space="preserve">Read all assigned blocks; external links marked required in Full Stream must be completed before full-event completion.</t>
        </is>
      </c>
      <c r="O107" s="15" t="inlineStr">
        <is>
          <t xml:space="preserve">Read primary block; clearly surface linked accounts as pending, never auto-complete.</t>
        </is>
      </c>
      <c r="P107" s="15" t="inlineStr">
        <is>
          <t xml:space="preserve">Yes</t>
        </is>
      </c>
      <c r="Q107" s="15" t="inlineStr">
        <is>
          <t xml:space="preserve">The Life of David; United Monarchy</t>
        </is>
      </c>
      <c r="R107" s="15"/>
      <c r="S107" s="15" t="inlineStr">
        <is>
          <t xml:space="preserve">SRC-TEXT-2SAM; SRC-TEXT-1CHR; SRC-SAMUEL-OVERVIEW; SRC-CHRONICLES-OVERVIEW; SRC-DAVID-OVERVIEW</t>
        </is>
      </c>
      <c r="T107" s="15" t="inlineStr">
        <is>
          <t xml:space="preserve">Editorial</t>
        </is>
      </c>
      <c r="U107" s="11" t="inlineStr">
        <is>
          <t xml:space="preserve">Needs Review</t>
        </is>
      </c>
      <c r="V107" s="13" t="inlineStr">
        <is>
          <t xml:space="preserve">Draft</t>
        </is>
      </c>
      <c r="W107" s="15"/>
    </row>
    <row r="108" ht="34" customHeight="1">
      <c r="A108" s="15" t="inlineStr">
        <is>
          <t xml:space="preserve">v0.1</t>
        </is>
      </c>
      <c r="B108" s="15" t="inlineStr">
        <is>
          <t xml:space="preserve">Bible_Journey_Canon_Map_v0_1_Genesis_to_2Samuel.xlsx</t>
        </is>
      </c>
      <c r="C108" s="15" t="inlineStr">
        <is>
          <t xml:space="preserve">CRS-2SA-009</t>
        </is>
      </c>
      <c r="D108" s="15">
        <v>1040</v>
      </c>
      <c r="E108" s="15">
        <v>1</v>
      </c>
      <c r="F108" s="15" t="inlineStr">
        <is>
          <t xml:space="preserve">2 Samuel</t>
        </is>
      </c>
      <c r="G108" s="15" t="inlineStr">
        <is>
          <t xml:space="preserve">United Monarchy</t>
        </is>
      </c>
      <c r="H108" s="15" t="inlineStr">
        <is>
          <t xml:space="preserve">David / Act IV: The Fall</t>
        </is>
      </c>
      <c r="I108" s="15" t="inlineStr">
        <is>
          <t xml:space="preserve">David, Bathsheba, and Uriah</t>
        </is>
      </c>
      <c r="J108" s="15" t="inlineStr">
        <is>
          <t xml:space="preserve">2 Samuel 11</t>
        </is>
      </c>
      <c r="K108" s="15" t="inlineStr">
        <is>
          <t xml:space="preserve">High</t>
        </is>
      </c>
      <c r="L108" s="15" t="inlineStr">
        <is>
          <t xml:space="preserve">High</t>
        </is>
      </c>
      <c r="M108" s="15"/>
      <c r="N108" s="15" t="inlineStr">
        <is>
          <t xml:space="preserve">Read the assigned main-spine block in full.</t>
        </is>
      </c>
      <c r="O108" s="15" t="inlineStr">
        <is>
          <t xml:space="preserve">Read primary block; continue to next chronological set.</t>
        </is>
      </c>
      <c r="P108" s="15" t="inlineStr">
        <is>
          <t xml:space="preserve">No</t>
        </is>
      </c>
      <c r="Q108" s="15" t="inlineStr">
        <is>
          <t xml:space="preserve">The Life of David</t>
        </is>
      </c>
      <c r="R108" s="15"/>
      <c r="S108" s="15" t="inlineStr">
        <is>
          <t xml:space="preserve">SRC-TEXT-2SAM; SRC-SAMUEL-OVERVIEW; SRC-DAVID-OVERVIEW</t>
        </is>
      </c>
      <c r="T108" s="15" t="inlineStr">
        <is>
          <t xml:space="preserve">Editorial</t>
        </is>
      </c>
      <c r="U108" s="11" t="inlineStr">
        <is>
          <t xml:space="preserve">Needs Review</t>
        </is>
      </c>
      <c r="V108" s="13" t="inlineStr">
        <is>
          <t xml:space="preserve">Draft</t>
        </is>
      </c>
      <c r="W108" s="15"/>
    </row>
    <row r="109" ht="34" customHeight="1">
      <c r="A109" s="15" t="inlineStr">
        <is>
          <t xml:space="preserve">v0.1</t>
        </is>
      </c>
      <c r="B109" s="15" t="inlineStr">
        <is>
          <t xml:space="preserve">Bible_Journey_Canon_Map_v0_1_Genesis_to_2Samuel.xlsx</t>
        </is>
      </c>
      <c r="C109" s="15" t="inlineStr">
        <is>
          <t xml:space="preserve">CRS-2SA-010</t>
        </is>
      </c>
      <c r="D109" s="15">
        <v>1050</v>
      </c>
      <c r="E109" s="15">
        <v>1</v>
      </c>
      <c r="F109" s="15" t="inlineStr">
        <is>
          <t xml:space="preserve">2 Samuel</t>
        </is>
      </c>
      <c r="G109" s="15" t="inlineStr">
        <is>
          <t xml:space="preserve">United Monarchy</t>
        </is>
      </c>
      <c r="H109" s="15" t="inlineStr">
        <is>
          <t xml:space="preserve">David / Act IV: The Fall</t>
        </is>
      </c>
      <c r="I109" s="15" t="inlineStr">
        <is>
          <t xml:space="preserve">Nathan confronts David and the consequences begin</t>
        </is>
      </c>
      <c r="J109" s="15" t="inlineStr">
        <is>
          <t xml:space="preserve">2 Samuel 12</t>
        </is>
      </c>
      <c r="K109" s="15" t="inlineStr">
        <is>
          <t xml:space="preserve">High</t>
        </is>
      </c>
      <c r="L109" s="15" t="inlineStr">
        <is>
          <t xml:space="preserve">High</t>
        </is>
      </c>
      <c r="M109" s="15"/>
      <c r="N109" s="15" t="inlineStr">
        <is>
          <t xml:space="preserve">Read the assigned main-spine block in full.</t>
        </is>
      </c>
      <c r="O109" s="15" t="inlineStr">
        <is>
          <t xml:space="preserve">Read primary block; continue to next chronological set.</t>
        </is>
      </c>
      <c r="P109" s="15" t="inlineStr">
        <is>
          <t xml:space="preserve">No</t>
        </is>
      </c>
      <c r="Q109" s="15" t="inlineStr">
        <is>
          <t xml:space="preserve">The Life of David</t>
        </is>
      </c>
      <c r="R109" s="15"/>
      <c r="S109" s="15" t="inlineStr">
        <is>
          <t xml:space="preserve">SRC-TEXT-2SAM; SRC-SAMUEL-OVERVIEW; SRC-DAVID-OVERVIEW</t>
        </is>
      </c>
      <c r="T109" s="15" t="inlineStr">
        <is>
          <t xml:space="preserve">Editorial</t>
        </is>
      </c>
      <c r="U109" s="11" t="inlineStr">
        <is>
          <t xml:space="preserve">Needs Review</t>
        </is>
      </c>
      <c r="V109" s="13" t="inlineStr">
        <is>
          <t xml:space="preserve">Draft</t>
        </is>
      </c>
      <c r="W109" s="15"/>
    </row>
    <row r="110" ht="34" customHeight="1">
      <c r="A110" s="15" t="inlineStr">
        <is>
          <t xml:space="preserve">v0.1</t>
        </is>
      </c>
      <c r="B110" s="15" t="inlineStr">
        <is>
          <t xml:space="preserve">Bible_Journey_Canon_Map_v0_1_Genesis_to_2Samuel.xlsx</t>
        </is>
      </c>
      <c r="C110" s="15" t="inlineStr">
        <is>
          <t xml:space="preserve">CRS-2SA-011</t>
        </is>
      </c>
      <c r="D110" s="15">
        <v>1060</v>
      </c>
      <c r="E110" s="15">
        <v>1</v>
      </c>
      <c r="F110" s="15" t="inlineStr">
        <is>
          <t xml:space="preserve">2 Samuel</t>
        </is>
      </c>
      <c r="G110" s="15" t="inlineStr">
        <is>
          <t xml:space="preserve">United Monarchy</t>
        </is>
      </c>
      <c r="H110" s="15" t="inlineStr">
        <is>
          <t xml:space="preserve">David / Act IV: The Fall</t>
        </is>
      </c>
      <c r="I110" s="15" t="inlineStr">
        <is>
          <t xml:space="preserve">Amnon, Tamar, and Absalom</t>
        </is>
      </c>
      <c r="J110" s="15" t="inlineStr">
        <is>
          <t xml:space="preserve">2 Samuel 13</t>
        </is>
      </c>
      <c r="K110" s="15" t="inlineStr">
        <is>
          <t xml:space="preserve">High</t>
        </is>
      </c>
      <c r="L110" s="15" t="inlineStr">
        <is>
          <t xml:space="preserve">High</t>
        </is>
      </c>
      <c r="M110" s="15"/>
      <c r="N110" s="15" t="inlineStr">
        <is>
          <t xml:space="preserve">Read the assigned main-spine block in full.</t>
        </is>
      </c>
      <c r="O110" s="15" t="inlineStr">
        <is>
          <t xml:space="preserve">Read primary block; continue to next chronological set.</t>
        </is>
      </c>
      <c r="P110" s="15" t="inlineStr">
        <is>
          <t xml:space="preserve">No</t>
        </is>
      </c>
      <c r="Q110" s="15" t="inlineStr">
        <is>
          <t xml:space="preserve">The Life of David</t>
        </is>
      </c>
      <c r="R110" s="15"/>
      <c r="S110" s="15" t="inlineStr">
        <is>
          <t xml:space="preserve">SRC-TEXT-2SAM; SRC-SAMUEL-OVERVIEW; SRC-DAVID-OVERVIEW</t>
        </is>
      </c>
      <c r="T110" s="15" t="inlineStr">
        <is>
          <t xml:space="preserve">Editorial</t>
        </is>
      </c>
      <c r="U110" s="11" t="inlineStr">
        <is>
          <t xml:space="preserve">Needs Review</t>
        </is>
      </c>
      <c r="V110" s="13" t="inlineStr">
        <is>
          <t xml:space="preserve">Draft</t>
        </is>
      </c>
      <c r="W110" s="15"/>
    </row>
    <row r="111" ht="34" customHeight="1">
      <c r="A111" s="15" t="inlineStr">
        <is>
          <t xml:space="preserve">v0.1</t>
        </is>
      </c>
      <c r="B111" s="15" t="inlineStr">
        <is>
          <t xml:space="preserve">Bible_Journey_Canon_Map_v0_1_Genesis_to_2Samuel.xlsx</t>
        </is>
      </c>
      <c r="C111" s="15" t="inlineStr">
        <is>
          <t xml:space="preserve">CRS-2SA-012</t>
        </is>
      </c>
      <c r="D111" s="15">
        <v>1070</v>
      </c>
      <c r="E111" s="15">
        <v>1</v>
      </c>
      <c r="F111" s="15" t="inlineStr">
        <is>
          <t xml:space="preserve">2 Samuel</t>
        </is>
      </c>
      <c r="G111" s="15" t="inlineStr">
        <is>
          <t xml:space="preserve">United Monarchy</t>
        </is>
      </c>
      <c r="H111" s="15" t="inlineStr">
        <is>
          <t xml:space="preserve">David / Act IV: The Fall</t>
        </is>
      </c>
      <c r="I111" s="15" t="inlineStr">
        <is>
          <t xml:space="preserve">Absalom returns to Jerusalem</t>
        </is>
      </c>
      <c r="J111" s="15" t="inlineStr">
        <is>
          <t xml:space="preserve">2 Samuel 14</t>
        </is>
      </c>
      <c r="K111" s="15" t="inlineStr">
        <is>
          <t xml:space="preserve">High</t>
        </is>
      </c>
      <c r="L111" s="15" t="inlineStr">
        <is>
          <t xml:space="preserve">High</t>
        </is>
      </c>
      <c r="M111" s="15"/>
      <c r="N111" s="15" t="inlineStr">
        <is>
          <t xml:space="preserve">Read the assigned main-spine block in full.</t>
        </is>
      </c>
      <c r="O111" s="15" t="inlineStr">
        <is>
          <t xml:space="preserve">Read primary block; continue to next chronological set.</t>
        </is>
      </c>
      <c r="P111" s="15" t="inlineStr">
        <is>
          <t xml:space="preserve">No</t>
        </is>
      </c>
      <c r="Q111" s="15" t="inlineStr">
        <is>
          <t xml:space="preserve">The Life of David</t>
        </is>
      </c>
      <c r="R111" s="15"/>
      <c r="S111" s="15" t="inlineStr">
        <is>
          <t xml:space="preserve">SRC-TEXT-2SAM; SRC-SAMUEL-OVERVIEW; SRC-DAVID-OVERVIEW</t>
        </is>
      </c>
      <c r="T111" s="15" t="inlineStr">
        <is>
          <t xml:space="preserve">Editorial</t>
        </is>
      </c>
      <c r="U111" s="11" t="inlineStr">
        <is>
          <t xml:space="preserve">Needs Review</t>
        </is>
      </c>
      <c r="V111" s="13" t="inlineStr">
        <is>
          <t xml:space="preserve">Draft</t>
        </is>
      </c>
      <c r="W111" s="15"/>
    </row>
    <row r="112" ht="34" customHeight="1">
      <c r="A112" s="15" t="inlineStr">
        <is>
          <t xml:space="preserve">v0.1</t>
        </is>
      </c>
      <c r="B112" s="15" t="inlineStr">
        <is>
          <t xml:space="preserve">Bible_Journey_Canon_Map_v0_1_Genesis_to_2Samuel.xlsx</t>
        </is>
      </c>
      <c r="C112" s="15" t="inlineStr">
        <is>
          <t xml:space="preserve">CRS-2SA-013</t>
        </is>
      </c>
      <c r="D112" s="15">
        <v>1080</v>
      </c>
      <c r="E112" s="15">
        <v>1</v>
      </c>
      <c r="F112" s="15" t="inlineStr">
        <is>
          <t xml:space="preserve">2 Samuel</t>
        </is>
      </c>
      <c r="G112" s="15" t="inlineStr">
        <is>
          <t xml:space="preserve">United Monarchy</t>
        </is>
      </c>
      <c r="H112" s="15" t="inlineStr">
        <is>
          <t xml:space="preserve">David / Act IV: The Fall</t>
        </is>
      </c>
      <c r="I112" s="15" t="inlineStr">
        <is>
          <t xml:space="preserve">Absalom's rebellion begins</t>
        </is>
      </c>
      <c r="J112" s="15" t="inlineStr">
        <is>
          <t xml:space="preserve">2 Samuel 15</t>
        </is>
      </c>
      <c r="K112" s="15" t="inlineStr">
        <is>
          <t xml:space="preserve">High</t>
        </is>
      </c>
      <c r="L112" s="15" t="inlineStr">
        <is>
          <t xml:space="preserve">High</t>
        </is>
      </c>
      <c r="M112" s="15"/>
      <c r="N112" s="15" t="inlineStr">
        <is>
          <t xml:space="preserve">Read the assigned main-spine block in full.</t>
        </is>
      </c>
      <c r="O112" s="15" t="inlineStr">
        <is>
          <t xml:space="preserve">Read primary block; continue to next chronological set.</t>
        </is>
      </c>
      <c r="P112" s="15" t="inlineStr">
        <is>
          <t xml:space="preserve">No</t>
        </is>
      </c>
      <c r="Q112" s="15" t="inlineStr">
        <is>
          <t xml:space="preserve">The Life of David</t>
        </is>
      </c>
      <c r="R112" s="15"/>
      <c r="S112" s="15" t="inlineStr">
        <is>
          <t xml:space="preserve">SRC-TEXT-2SAM; SRC-SAMUEL-OVERVIEW; SRC-DAVID-OVERVIEW</t>
        </is>
      </c>
      <c r="T112" s="15" t="inlineStr">
        <is>
          <t xml:space="preserve">Editorial</t>
        </is>
      </c>
      <c r="U112" s="11" t="inlineStr">
        <is>
          <t xml:space="preserve">Needs Review</t>
        </is>
      </c>
      <c r="V112" s="13" t="inlineStr">
        <is>
          <t xml:space="preserve">Draft</t>
        </is>
      </c>
      <c r="W112" s="15"/>
    </row>
    <row r="113" ht="34" customHeight="1">
      <c r="A113" s="15" t="inlineStr">
        <is>
          <t xml:space="preserve">v0.1</t>
        </is>
      </c>
      <c r="B113" s="15" t="inlineStr">
        <is>
          <t xml:space="preserve">Bible_Journey_Canon_Map_v0_1_Genesis_to_2Samuel.xlsx</t>
        </is>
      </c>
      <c r="C113" s="15" t="inlineStr">
        <is>
          <t xml:space="preserve">CRS-2SA-014</t>
        </is>
      </c>
      <c r="D113" s="15">
        <v>1090</v>
      </c>
      <c r="E113" s="15">
        <v>1</v>
      </c>
      <c r="F113" s="15" t="inlineStr">
        <is>
          <t xml:space="preserve">2 Samuel</t>
        </is>
      </c>
      <c r="G113" s="15" t="inlineStr">
        <is>
          <t xml:space="preserve">United Monarchy</t>
        </is>
      </c>
      <c r="H113" s="15" t="inlineStr">
        <is>
          <t xml:space="preserve">David / Act IV: The Fall</t>
        </is>
      </c>
      <c r="I113" s="15" t="inlineStr">
        <is>
          <t xml:space="preserve">David flees Jerusalem</t>
        </is>
      </c>
      <c r="J113" s="15" t="inlineStr">
        <is>
          <t xml:space="preserve">2 Samuel 16</t>
        </is>
      </c>
      <c r="K113" s="15" t="inlineStr">
        <is>
          <t xml:space="preserve">High</t>
        </is>
      </c>
      <c r="L113" s="15" t="inlineStr">
        <is>
          <t xml:space="preserve">High</t>
        </is>
      </c>
      <c r="M113" s="15"/>
      <c r="N113" s="15" t="inlineStr">
        <is>
          <t xml:space="preserve">Read the assigned main-spine block in full.</t>
        </is>
      </c>
      <c r="O113" s="15" t="inlineStr">
        <is>
          <t xml:space="preserve">Read primary block; continue to next chronological set.</t>
        </is>
      </c>
      <c r="P113" s="15" t="inlineStr">
        <is>
          <t xml:space="preserve">No</t>
        </is>
      </c>
      <c r="Q113" s="15" t="inlineStr">
        <is>
          <t xml:space="preserve">The Life of David</t>
        </is>
      </c>
      <c r="R113" s="15"/>
      <c r="S113" s="15" t="inlineStr">
        <is>
          <t xml:space="preserve">SRC-TEXT-2SAM; SRC-SAMUEL-OVERVIEW; SRC-DAVID-OVERVIEW</t>
        </is>
      </c>
      <c r="T113" s="15" t="inlineStr">
        <is>
          <t xml:space="preserve">Editorial</t>
        </is>
      </c>
      <c r="U113" s="11" t="inlineStr">
        <is>
          <t xml:space="preserve">Needs Review</t>
        </is>
      </c>
      <c r="V113" s="13" t="inlineStr">
        <is>
          <t xml:space="preserve">Draft</t>
        </is>
      </c>
      <c r="W113" s="15"/>
    </row>
    <row r="114" ht="34" customHeight="1">
      <c r="A114" s="15" t="inlineStr">
        <is>
          <t xml:space="preserve">v0.1</t>
        </is>
      </c>
      <c r="B114" s="15" t="inlineStr">
        <is>
          <t xml:space="preserve">Bible_Journey_Canon_Map_v0_1_Genesis_to_2Samuel.xlsx</t>
        </is>
      </c>
      <c r="C114" s="15" t="inlineStr">
        <is>
          <t xml:space="preserve">CRS-2SA-015</t>
        </is>
      </c>
      <c r="D114" s="15">
        <v>1100</v>
      </c>
      <c r="E114" s="15">
        <v>1</v>
      </c>
      <c r="F114" s="15" t="inlineStr">
        <is>
          <t xml:space="preserve">2 Samuel</t>
        </is>
      </c>
      <c r="G114" s="15" t="inlineStr">
        <is>
          <t xml:space="preserve">United Monarchy</t>
        </is>
      </c>
      <c r="H114" s="15" t="inlineStr">
        <is>
          <t xml:space="preserve">David / Act IV: The Fall</t>
        </is>
      </c>
      <c r="I114" s="15" t="inlineStr">
        <is>
          <t xml:space="preserve">Counsel, pursuit, and Hushai's intervention</t>
        </is>
      </c>
      <c r="J114" s="15" t="inlineStr">
        <is>
          <t xml:space="preserve">2 Samuel 17</t>
        </is>
      </c>
      <c r="K114" s="15" t="inlineStr">
        <is>
          <t xml:space="preserve">High</t>
        </is>
      </c>
      <c r="L114" s="15" t="inlineStr">
        <is>
          <t xml:space="preserve">High</t>
        </is>
      </c>
      <c r="M114" s="15"/>
      <c r="N114" s="15" t="inlineStr">
        <is>
          <t xml:space="preserve">Read the assigned main-spine block in full.</t>
        </is>
      </c>
      <c r="O114" s="15" t="inlineStr">
        <is>
          <t xml:space="preserve">Read primary block; continue to next chronological set.</t>
        </is>
      </c>
      <c r="P114" s="15" t="inlineStr">
        <is>
          <t xml:space="preserve">No</t>
        </is>
      </c>
      <c r="Q114" s="15" t="inlineStr">
        <is>
          <t xml:space="preserve">The Life of David</t>
        </is>
      </c>
      <c r="R114" s="15"/>
      <c r="S114" s="15" t="inlineStr">
        <is>
          <t xml:space="preserve">SRC-TEXT-2SAM; SRC-SAMUEL-OVERVIEW; SRC-DAVID-OVERVIEW</t>
        </is>
      </c>
      <c r="T114" s="15" t="inlineStr">
        <is>
          <t xml:space="preserve">Editorial</t>
        </is>
      </c>
      <c r="U114" s="11" t="inlineStr">
        <is>
          <t xml:space="preserve">Needs Review</t>
        </is>
      </c>
      <c r="V114" s="13" t="inlineStr">
        <is>
          <t xml:space="preserve">Draft</t>
        </is>
      </c>
      <c r="W114" s="15"/>
    </row>
    <row r="115" ht="34" customHeight="1">
      <c r="A115" s="15" t="inlineStr">
        <is>
          <t xml:space="preserve">v0.1</t>
        </is>
      </c>
      <c r="B115" s="15" t="inlineStr">
        <is>
          <t xml:space="preserve">Bible_Journey_Canon_Map_v0_1_Genesis_to_2Samuel.xlsx</t>
        </is>
      </c>
      <c r="C115" s="15" t="inlineStr">
        <is>
          <t xml:space="preserve">CRS-2SA-016</t>
        </is>
      </c>
      <c r="D115" s="15">
        <v>1110</v>
      </c>
      <c r="E115" s="15">
        <v>1</v>
      </c>
      <c r="F115" s="15" t="inlineStr">
        <is>
          <t xml:space="preserve">2 Samuel</t>
        </is>
      </c>
      <c r="G115" s="15" t="inlineStr">
        <is>
          <t xml:space="preserve">United Monarchy</t>
        </is>
      </c>
      <c r="H115" s="15" t="inlineStr">
        <is>
          <t xml:space="preserve">David / Act IV: The Fall</t>
        </is>
      </c>
      <c r="I115" s="15" t="inlineStr">
        <is>
          <t xml:space="preserve">Absalom's defeat and death</t>
        </is>
      </c>
      <c r="J115" s="15" t="inlineStr">
        <is>
          <t xml:space="preserve">2 Samuel 18</t>
        </is>
      </c>
      <c r="K115" s="15" t="inlineStr">
        <is>
          <t xml:space="preserve">High</t>
        </is>
      </c>
      <c r="L115" s="15" t="inlineStr">
        <is>
          <t xml:space="preserve">High</t>
        </is>
      </c>
      <c r="M115" s="15"/>
      <c r="N115" s="15" t="inlineStr">
        <is>
          <t xml:space="preserve">Read the assigned main-spine block in full.</t>
        </is>
      </c>
      <c r="O115" s="15" t="inlineStr">
        <is>
          <t xml:space="preserve">Read primary block; continue to next chronological set.</t>
        </is>
      </c>
      <c r="P115" s="15" t="inlineStr">
        <is>
          <t xml:space="preserve">No</t>
        </is>
      </c>
      <c r="Q115" s="15" t="inlineStr">
        <is>
          <t xml:space="preserve">The Life of David</t>
        </is>
      </c>
      <c r="R115" s="15"/>
      <c r="S115" s="15" t="inlineStr">
        <is>
          <t xml:space="preserve">SRC-TEXT-2SAM; SRC-SAMUEL-OVERVIEW; SRC-DAVID-OVERVIEW</t>
        </is>
      </c>
      <c r="T115" s="15" t="inlineStr">
        <is>
          <t xml:space="preserve">Editorial</t>
        </is>
      </c>
      <c r="U115" s="11" t="inlineStr">
        <is>
          <t xml:space="preserve">Needs Review</t>
        </is>
      </c>
      <c r="V115" s="13" t="inlineStr">
        <is>
          <t xml:space="preserve">Draft</t>
        </is>
      </c>
      <c r="W115" s="15"/>
    </row>
    <row r="116" ht="34" customHeight="1">
      <c r="A116" s="15" t="inlineStr">
        <is>
          <t xml:space="preserve">v0.1</t>
        </is>
      </c>
      <c r="B116" s="15" t="inlineStr">
        <is>
          <t xml:space="preserve">Bible_Journey_Canon_Map_v0_1_Genesis_to_2Samuel.xlsx</t>
        </is>
      </c>
      <c r="C116" s="15" t="inlineStr">
        <is>
          <t xml:space="preserve">CRS-2SA-017</t>
        </is>
      </c>
      <c r="D116" s="15">
        <v>1120</v>
      </c>
      <c r="E116" s="15">
        <v>1</v>
      </c>
      <c r="F116" s="15" t="inlineStr">
        <is>
          <t xml:space="preserve">2 Samuel</t>
        </is>
      </c>
      <c r="G116" s="15" t="inlineStr">
        <is>
          <t xml:space="preserve">United Monarchy</t>
        </is>
      </c>
      <c r="H116" s="15" t="inlineStr">
        <is>
          <t xml:space="preserve">David / Act IV: The Fall</t>
        </is>
      </c>
      <c r="I116" s="15" t="inlineStr">
        <is>
          <t xml:space="preserve">David returns and Sheba rebels</t>
        </is>
      </c>
      <c r="J116" s="15" t="inlineStr">
        <is>
          <t xml:space="preserve">2 Samuel 19-20</t>
        </is>
      </c>
      <c r="K116" s="15" t="inlineStr">
        <is>
          <t xml:space="preserve">High</t>
        </is>
      </c>
      <c r="L116" s="15" t="inlineStr">
        <is>
          <t xml:space="preserve">High</t>
        </is>
      </c>
      <c r="M116" s="15"/>
      <c r="N116" s="15" t="inlineStr">
        <is>
          <t xml:space="preserve">Read the assigned main-spine block in full.</t>
        </is>
      </c>
      <c r="O116" s="15" t="inlineStr">
        <is>
          <t xml:space="preserve">Read primary block; continue to next chronological set.</t>
        </is>
      </c>
      <c r="P116" s="15" t="inlineStr">
        <is>
          <t xml:space="preserve">No</t>
        </is>
      </c>
      <c r="Q116" s="15" t="inlineStr">
        <is>
          <t xml:space="preserve">The Life of David</t>
        </is>
      </c>
      <c r="R116" s="15"/>
      <c r="S116" s="15" t="inlineStr">
        <is>
          <t xml:space="preserve">SRC-TEXT-2SAM; SRC-SAMUEL-OVERVIEW; SRC-DAVID-OVERVIEW</t>
        </is>
      </c>
      <c r="T116" s="15" t="inlineStr">
        <is>
          <t xml:space="preserve">Editorial</t>
        </is>
      </c>
      <c r="U116" s="11" t="inlineStr">
        <is>
          <t xml:space="preserve">Needs Review</t>
        </is>
      </c>
      <c r="V116" s="13" t="inlineStr">
        <is>
          <t xml:space="preserve">Draft</t>
        </is>
      </c>
      <c r="W116" s="15"/>
    </row>
    <row r="117" ht="34" customHeight="1">
      <c r="A117" s="15" t="inlineStr">
        <is>
          <t xml:space="preserve">v0.1</t>
        </is>
      </c>
      <c r="B117" s="15" t="inlineStr">
        <is>
          <t xml:space="preserve">Bible_Journey_Canon_Map_v0_1_Genesis_to_2Samuel.xlsx</t>
        </is>
      </c>
      <c r="C117" s="15" t="inlineStr">
        <is>
          <t xml:space="preserve">CRS-2SA-018</t>
        </is>
      </c>
      <c r="D117" s="15">
        <v>1130</v>
      </c>
      <c r="E117" s="15">
        <v>1</v>
      </c>
      <c r="F117" s="15" t="inlineStr">
        <is>
          <t xml:space="preserve">2 Samuel</t>
        </is>
      </c>
      <c r="G117" s="15" t="inlineStr">
        <is>
          <t xml:space="preserve">United Monarchy</t>
        </is>
      </c>
      <c r="H117" s="15" t="inlineStr">
        <is>
          <t xml:space="preserve">David / Act V: The Legacy</t>
        </is>
      </c>
      <c r="I117" s="15" t="inlineStr">
        <is>
          <t xml:space="preserve">Famine, Gibeonites, and Philistine warriors</t>
        </is>
      </c>
      <c r="J117" s="15" t="inlineStr">
        <is>
          <t xml:space="preserve">2 Samuel 21</t>
        </is>
      </c>
      <c r="K117" s="15" t="inlineStr">
        <is>
          <t xml:space="preserve">High</t>
        </is>
      </c>
      <c r="L117" s="15" t="inlineStr">
        <is>
          <t xml:space="preserve">Debated</t>
        </is>
      </c>
      <c r="M117" s="15"/>
      <c r="N117" s="15" t="inlineStr">
        <is>
          <t xml:space="preserve">Read all assigned blocks; external links marked required in Full Stream must be completed before full-event completion.</t>
        </is>
      </c>
      <c r="O117" s="15" t="inlineStr">
        <is>
          <t xml:space="preserve">Read primary block; clearly surface linked accounts as pending, never auto-complete.</t>
        </is>
      </c>
      <c r="P117" s="15" t="inlineStr">
        <is>
          <t xml:space="preserve">Yes</t>
        </is>
      </c>
      <c r="Q117" s="15" t="inlineStr">
        <is>
          <t xml:space="preserve">The Life of David; United Monarchy</t>
        </is>
      </c>
      <c r="R117" s="15"/>
      <c r="S117" s="15" t="inlineStr">
        <is>
          <t xml:space="preserve">SRC-TEXT-2SAM; SRC-TEXT-1CHR; SRC-SAMUEL-OVERVIEW; SRC-CHRONICLES-OVERVIEW; SRC-DAVID-OVERVIEW</t>
        </is>
      </c>
      <c r="T117" s="15" t="inlineStr">
        <is>
          <t xml:space="preserve">Editorial</t>
        </is>
      </c>
      <c r="U117" s="11" t="inlineStr">
        <is>
          <t xml:space="preserve">Needs Review</t>
        </is>
      </c>
      <c r="V117" s="13" t="inlineStr">
        <is>
          <t xml:space="preserve">Draft</t>
        </is>
      </c>
      <c r="W117" s="15" t="inlineStr">
        <is>
          <t xml:space="preserve">2 Samuel 21-24 functions as a literary appendix in the canonical book. Do not present the relative chronology as settled.</t>
        </is>
      </c>
    </row>
    <row r="118" ht="34" customHeight="1">
      <c r="A118" s="15" t="inlineStr">
        <is>
          <t xml:space="preserve">v0.1</t>
        </is>
      </c>
      <c r="B118" s="15" t="inlineStr">
        <is>
          <t xml:space="preserve">Bible_Journey_Canon_Map_v0_1_Genesis_to_2Samuel.xlsx</t>
        </is>
      </c>
      <c r="C118" s="15" t="inlineStr">
        <is>
          <t xml:space="preserve">CRS-2SA-019</t>
        </is>
      </c>
      <c r="D118" s="15">
        <v>1140</v>
      </c>
      <c r="E118" s="15">
        <v>1</v>
      </c>
      <c r="F118" s="15" t="inlineStr">
        <is>
          <t xml:space="preserve">2 Samuel</t>
        </is>
      </c>
      <c r="G118" s="15" t="inlineStr">
        <is>
          <t xml:space="preserve">United Monarchy</t>
        </is>
      </c>
      <c r="H118" s="15" t="inlineStr">
        <is>
          <t xml:space="preserve">David / Act V: The Legacy</t>
        </is>
      </c>
      <c r="I118" s="15" t="inlineStr">
        <is>
          <t xml:space="preserve">David's song of deliverance</t>
        </is>
      </c>
      <c r="J118" s="15" t="inlineStr">
        <is>
          <t xml:space="preserve">2 Samuel 22</t>
        </is>
      </c>
      <c r="K118" s="15" t="inlineStr">
        <is>
          <t xml:space="preserve">High</t>
        </is>
      </c>
      <c r="L118" s="15" t="inlineStr">
        <is>
          <t xml:space="preserve">Debated</t>
        </is>
      </c>
      <c r="M118" s="15"/>
      <c r="N118" s="15" t="inlineStr">
        <is>
          <t xml:space="preserve">Read all assigned blocks; external links marked required in Full Stream must be completed before full-event completion.</t>
        </is>
      </c>
      <c r="O118" s="15" t="inlineStr">
        <is>
          <t xml:space="preserve">Read primary block; clearly surface linked accounts as pending, never auto-complete.</t>
        </is>
      </c>
      <c r="P118" s="15" t="inlineStr">
        <is>
          <t xml:space="preserve">Yes</t>
        </is>
      </c>
      <c r="Q118" s="15" t="inlineStr">
        <is>
          <t xml:space="preserve">The Life of David; Psalms</t>
        </is>
      </c>
      <c r="R118" s="15"/>
      <c r="S118" s="15" t="inlineStr">
        <is>
          <t xml:space="preserve">SRC-TEXT-2SAM; SRC-SAMUEL-OVERVIEW; SRC-DAVID-OVERVIEW</t>
        </is>
      </c>
      <c r="T118" s="15" t="inlineStr">
        <is>
          <t xml:space="preserve">Editorial</t>
        </is>
      </c>
      <c r="U118" s="11" t="inlineStr">
        <is>
          <t xml:space="preserve">Needs Review</t>
        </is>
      </c>
      <c r="V118" s="13" t="inlineStr">
        <is>
          <t xml:space="preserve">Draft</t>
        </is>
      </c>
      <c r="W118" s="15" t="inlineStr">
        <is>
          <t xml:space="preserve">Placement is marked debated because the canonical appendix sequence does not necessarily establish a precise end-of-reign date.</t>
        </is>
      </c>
    </row>
    <row r="119" ht="34" customHeight="1">
      <c r="A119" s="15" t="inlineStr">
        <is>
          <t xml:space="preserve">v0.1</t>
        </is>
      </c>
      <c r="B119" s="15" t="inlineStr">
        <is>
          <t xml:space="preserve">Bible_Journey_Canon_Map_v0_1_Genesis_to_2Samuel.xlsx</t>
        </is>
      </c>
      <c r="C119" s="15" t="inlineStr">
        <is>
          <t xml:space="preserve">CRS-2SA-020</t>
        </is>
      </c>
      <c r="D119" s="15">
        <v>1150</v>
      </c>
      <c r="E119" s="15">
        <v>1</v>
      </c>
      <c r="F119" s="15" t="inlineStr">
        <is>
          <t xml:space="preserve">2 Samuel</t>
        </is>
      </c>
      <c r="G119" s="15" t="inlineStr">
        <is>
          <t xml:space="preserve">United Monarchy</t>
        </is>
      </c>
      <c r="H119" s="15" t="inlineStr">
        <is>
          <t xml:space="preserve">David / Act V: The Legacy</t>
        </is>
      </c>
      <c r="I119" s="15" t="inlineStr">
        <is>
          <t xml:space="preserve">David's final words and mighty men</t>
        </is>
      </c>
      <c r="J119" s="15" t="inlineStr">
        <is>
          <t xml:space="preserve">2 Samuel 23</t>
        </is>
      </c>
      <c r="K119" s="15" t="inlineStr">
        <is>
          <t xml:space="preserve">High</t>
        </is>
      </c>
      <c r="L119" s="15" t="inlineStr">
        <is>
          <t xml:space="preserve">Debated</t>
        </is>
      </c>
      <c r="M119" s="15"/>
      <c r="N119" s="15" t="inlineStr">
        <is>
          <t xml:space="preserve">Read all assigned blocks; external links marked required in Full Stream must be completed before full-event completion.</t>
        </is>
      </c>
      <c r="O119" s="15" t="inlineStr">
        <is>
          <t xml:space="preserve">Read primary block; clearly surface linked accounts as pending, never auto-complete.</t>
        </is>
      </c>
      <c r="P119" s="15" t="inlineStr">
        <is>
          <t xml:space="preserve">Yes</t>
        </is>
      </c>
      <c r="Q119" s="15" t="inlineStr">
        <is>
          <t xml:space="preserve">The Life of David; United Monarchy</t>
        </is>
      </c>
      <c r="R119" s="15"/>
      <c r="S119" s="15" t="inlineStr">
        <is>
          <t xml:space="preserve">SRC-TEXT-2SAM; SRC-TEXT-1CHR; SRC-SAMUEL-OVERVIEW; SRC-CHRONICLES-OVERVIEW; SRC-DAVID-OVERVIEW</t>
        </is>
      </c>
      <c r="T119" s="15" t="inlineStr">
        <is>
          <t xml:space="preserve">Editorial</t>
        </is>
      </c>
      <c r="U119" s="11" t="inlineStr">
        <is>
          <t xml:space="preserve">Needs Review</t>
        </is>
      </c>
      <c r="V119" s="13" t="inlineStr">
        <is>
          <t xml:space="preserve">Draft</t>
        </is>
      </c>
      <c r="W119" s="15" t="inlineStr">
        <is>
          <t xml:space="preserve">Placement is marked debated because 2 Samuel 21-24 is a literary appendix.</t>
        </is>
      </c>
    </row>
    <row r="120" ht="34" customHeight="1">
      <c r="A120" s="15" t="inlineStr">
        <is>
          <t xml:space="preserve">v0.1</t>
        </is>
      </c>
      <c r="B120" s="15" t="inlineStr">
        <is>
          <t xml:space="preserve">Bible_Journey_Canon_Map_v0_1_Genesis_to_2Samuel.xlsx</t>
        </is>
      </c>
      <c r="C120" s="15" t="inlineStr">
        <is>
          <t xml:space="preserve">CRS-2SA-021</t>
        </is>
      </c>
      <c r="D120" s="15">
        <v>1160</v>
      </c>
      <c r="E120" s="15">
        <v>1</v>
      </c>
      <c r="F120" s="15" t="inlineStr">
        <is>
          <t xml:space="preserve">2 Samuel</t>
        </is>
      </c>
      <c r="G120" s="15" t="inlineStr">
        <is>
          <t xml:space="preserve">United Monarchy</t>
        </is>
      </c>
      <c r="H120" s="15" t="inlineStr">
        <is>
          <t xml:space="preserve">David / Act V: The Legacy</t>
        </is>
      </c>
      <c r="I120" s="15" t="inlineStr">
        <is>
          <t xml:space="preserve">David's census and the altar site</t>
        </is>
      </c>
      <c r="J120" s="15" t="inlineStr">
        <is>
          <t xml:space="preserve">2 Samuel 24</t>
        </is>
      </c>
      <c r="K120" s="15" t="inlineStr">
        <is>
          <t xml:space="preserve">High</t>
        </is>
      </c>
      <c r="L120" s="15" t="inlineStr">
        <is>
          <t xml:space="preserve">Debated</t>
        </is>
      </c>
      <c r="M120" s="15"/>
      <c r="N120" s="15" t="inlineStr">
        <is>
          <t xml:space="preserve">Read all assigned blocks; external links marked required in Full Stream must be completed before full-event completion.</t>
        </is>
      </c>
      <c r="O120" s="15" t="inlineStr">
        <is>
          <t xml:space="preserve">Read primary block; clearly surface linked accounts as pending, never auto-complete.</t>
        </is>
      </c>
      <c r="P120" s="15" t="inlineStr">
        <is>
          <t xml:space="preserve">Yes</t>
        </is>
      </c>
      <c r="Q120" s="15" t="inlineStr">
        <is>
          <t xml:space="preserve">The Life of David; Ark &amp; Temple</t>
        </is>
      </c>
      <c r="R120" s="15"/>
      <c r="S120" s="15" t="inlineStr">
        <is>
          <t xml:space="preserve">SRC-TEXT-2SAM; SRC-TEXT-1CHR; SRC-SAMUEL-OVERVIEW; SRC-CHRONICLES-OVERVIEW; SRC-DAVID-OVERVIEW</t>
        </is>
      </c>
      <c r="T120" s="15" t="inlineStr">
        <is>
          <t xml:space="preserve">Editorial</t>
        </is>
      </c>
      <c r="U120" s="11" t="inlineStr">
        <is>
          <t xml:space="preserve">Needs Review</t>
        </is>
      </c>
      <c r="V120" s="13" t="inlineStr">
        <is>
          <t xml:space="preserve">Draft</t>
        </is>
      </c>
      <c r="W120" s="15" t="inlineStr">
        <is>
          <t xml:space="preserve">Placement is marked debated because 2 Samuel 21-24 is a literary appendix; the event identity and parallel relationship are high confidence.</t>
        </is>
      </c>
    </row>
    <row r="121" ht="34" customHeight="1">
      <c r="A121" s="15" t="inlineStr">
        <is>
          <t xml:space="preserve">v0.2</t>
        </is>
      </c>
      <c r="B121" s="15" t="inlineStr">
        <is>
          <t xml:space="preserve">Bible_Journey_Canon_Map_v0_2_Chronicles_Psalms_Job_1Kings.xlsx</t>
        </is>
      </c>
      <c r="C121" s="15" t="inlineStr">
        <is>
          <t xml:space="preserve">CRS-1CH-007</t>
        </is>
      </c>
      <c r="D121" s="15">
        <v>950.1</v>
      </c>
      <c r="E121" s="15">
        <v>2</v>
      </c>
      <c r="F121" s="15" t="inlineStr">
        <is>
          <t xml:space="preserve">1 Chronicles</t>
        </is>
      </c>
      <c r="G121" s="15" t="inlineStr">
        <is>
          <t xml:space="preserve">Rise of the Monarchy</t>
        </is>
      </c>
      <c r="H121" s="15" t="inlineStr">
        <is>
          <t xml:space="preserve">Saul's death</t>
        </is>
      </c>
      <c r="I121" s="15" t="inlineStr">
        <is>
          <t xml:space="preserve">Saul dies at Gilboa: Chronicles account</t>
        </is>
      </c>
      <c r="J121" s="15" t="inlineStr">
        <is>
          <t xml:space="preserve">1 Chronicles 10</t>
        </is>
      </c>
      <c r="K121" s="15" t="inlineStr">
        <is>
          <t xml:space="preserve">High</t>
        </is>
      </c>
      <c r="L121" s="15" t="inlineStr">
        <is>
          <t xml:space="preserve">High</t>
        </is>
      </c>
      <c r="M121" s="15" t="inlineStr">
        <is>
          <t xml:space="preserve">Attach to v0.1 event</t>
        </is>
      </c>
      <c r="N121" s="15" t="inlineStr">
        <is>
          <t xml:space="preserve">Read this block as part of the linked event before Full Stream completion.</t>
        </is>
      </c>
      <c r="O121" s="15" t="inlineStr">
        <is>
          <t xml:space="preserve">Show as a linked account; keep it pending unless the reader chooses to continue this event.</t>
        </is>
      </c>
      <c r="P121" s="15" t="inlineStr">
        <is>
          <t xml:space="preserve">Yes</t>
        </is>
      </c>
      <c r="Q121" s="15" t="inlineStr">
        <is>
          <t xml:space="preserve">Saul; The Life of David</t>
        </is>
      </c>
      <c r="R121" s="15" t="inlineStr">
        <is>
          <t xml:space="preserve">CRS-1SA-021</t>
        </is>
      </c>
      <c r="S121" s="15" t="inlineStr">
        <is>
          <t xml:space="preserve">SRC-TEXT-1CHR; SRC-CHRONICLES-OVERVIEW; SRC-CHRONICLES-BP</t>
        </is>
      </c>
      <c r="T121" s="15" t="inlineStr">
        <is>
          <t xml:space="preserve">Editorial</t>
        </is>
      </c>
      <c r="U121" s="11" t="inlineStr">
        <is>
          <t xml:space="preserve">Needs Review</t>
        </is>
      </c>
      <c r="V121" s="15"/>
      <c r="W121" s="15" t="inlineStr">
        <is>
          <t xml:space="preserve">Parallel Chronicles account of Saul's death. Read after 1 Samuel 31 in Complete Chronological Reading.</t>
        </is>
      </c>
    </row>
    <row r="122" ht="34" customHeight="1">
      <c r="A122" s="15" t="inlineStr">
        <is>
          <t xml:space="preserve">v0.2</t>
        </is>
      </c>
      <c r="B122" s="15" t="inlineStr">
        <is>
          <t xml:space="preserve">Bible_Journey_Canon_Map_v0_2_Chronicles_Psalms_Job_1Kings.xlsx</t>
        </is>
      </c>
      <c r="C122" s="15" t="inlineStr">
        <is>
          <t xml:space="preserve">CRS-1CH-009</t>
        </is>
      </c>
      <c r="D122" s="15">
        <v>975.5</v>
      </c>
      <c r="E122" s="15">
        <v>2</v>
      </c>
      <c r="F122" s="15" t="inlineStr">
        <is>
          <t xml:space="preserve">1 Chronicles</t>
        </is>
      </c>
      <c r="G122" s="15" t="inlineStr">
        <is>
          <t xml:space="preserve">United Monarchy</t>
        </is>
      </c>
      <c r="H122" s="15" t="inlineStr">
        <is>
          <t xml:space="preserve">David's supporters</t>
        </is>
      </c>
      <c r="I122" s="15" t="inlineStr">
        <is>
          <t xml:space="preserve">David's supporters gather to him</t>
        </is>
      </c>
      <c r="J122" s="15" t="inlineStr">
        <is>
          <t xml:space="preserve">1 Chronicles 12</t>
        </is>
      </c>
      <c r="K122" s="15" t="inlineStr">
        <is>
          <t xml:space="preserve">High</t>
        </is>
      </c>
      <c r="L122" s="15" t="inlineStr">
        <is>
          <t xml:space="preserve">Probable</t>
        </is>
      </c>
      <c r="M122" s="15" t="inlineStr">
        <is>
          <t xml:space="preserve">Contextual composite / multi-event window</t>
        </is>
      </c>
      <c r="N122" s="15" t="inlineStr">
        <is>
          <t xml:space="preserve">Read this collection window in full; chronology is disclosed as unresolved or broad.</t>
        </is>
      </c>
      <c r="O122" s="15" t="inlineStr">
        <is>
          <t xml:space="preserve">Offer as an identified collection window; never imply a precise historical date.</t>
        </is>
      </c>
      <c r="P122" s="15" t="inlineStr">
        <is>
          <t xml:space="preserve">No</t>
        </is>
      </c>
      <c r="Q122" s="15" t="inlineStr">
        <is>
          <t xml:space="preserve">The Life of David; United Monarchy</t>
        </is>
      </c>
      <c r="R122" s="15" t="inlineStr">
        <is>
          <t xml:space="preserve">CRS-1SA-011–020; CRS-2SA-001</t>
        </is>
      </c>
      <c r="S122" s="15" t="inlineStr">
        <is>
          <t xml:space="preserve">SRC-TEXT-1CHR; SRC-CHRONICLES-OVERVIEW; SRC-CHRONICLES-BP</t>
        </is>
      </c>
      <c r="T122" s="15" t="inlineStr">
        <is>
          <t xml:space="preserve">Editorial</t>
        </is>
      </c>
      <c r="U122" s="11" t="inlineStr">
        <is>
          <t xml:space="preserve">Needs Review</t>
        </is>
      </c>
      <c r="V122" s="15"/>
      <c r="W122" s="15" t="inlineStr">
        <is>
          <t xml:space="preserve">Chronicles gathers supporters from multiple phases of David's rise. Do not force it into a single episode without verse-level review.</t>
        </is>
      </c>
    </row>
    <row r="123" ht="34" customHeight="1">
      <c r="A123" s="15" t="inlineStr">
        <is>
          <t xml:space="preserve">v0.2</t>
        </is>
      </c>
      <c r="B123" s="15" t="inlineStr">
        <is>
          <t xml:space="preserve">Bible_Journey_Canon_Map_v0_2_Chronicles_Psalms_Job_1Kings.xlsx</t>
        </is>
      </c>
      <c r="C123" s="15" t="inlineStr">
        <is>
          <t xml:space="preserve">CRS-1CH-008</t>
        </is>
      </c>
      <c r="D123" s="15">
        <v>980.1</v>
      </c>
      <c r="E123" s="15">
        <v>2</v>
      </c>
      <c r="F123" s="15" t="inlineStr">
        <is>
          <t xml:space="preserve">1 Chronicles</t>
        </is>
      </c>
      <c r="G123" s="15" t="inlineStr">
        <is>
          <t xml:space="preserve">United Monarchy</t>
        </is>
      </c>
      <c r="H123" s="15" t="inlineStr">
        <is>
          <t xml:space="preserve">David becomes king</t>
        </is>
      </c>
      <c r="I123" s="15" t="inlineStr">
        <is>
          <t xml:space="preserve">David becomes king and takes Jerusalem: Chronicles account</t>
        </is>
      </c>
      <c r="J123" s="15" t="inlineStr">
        <is>
          <t xml:space="preserve">1 Chronicles 11</t>
        </is>
      </c>
      <c r="K123" s="15" t="inlineStr">
        <is>
          <t xml:space="preserve">High</t>
        </is>
      </c>
      <c r="L123" s="15" t="inlineStr">
        <is>
          <t xml:space="preserve">High</t>
        </is>
      </c>
      <c r="M123" s="15" t="inlineStr">
        <is>
          <t xml:space="preserve">Attach to v0.1 event</t>
        </is>
      </c>
      <c r="N123" s="15" t="inlineStr">
        <is>
          <t xml:space="preserve">Read this block as part of the linked event before Full Stream completion.</t>
        </is>
      </c>
      <c r="O123" s="15" t="inlineStr">
        <is>
          <t xml:space="preserve">Show as a linked account; keep it pending unless the reader chooses to continue this event.</t>
        </is>
      </c>
      <c r="P123" s="15" t="inlineStr">
        <is>
          <t xml:space="preserve">Yes</t>
        </is>
      </c>
      <c r="Q123" s="15" t="inlineStr">
        <is>
          <t xml:space="preserve">The Life of David; United Monarchy</t>
        </is>
      </c>
      <c r="R123" s="15" t="inlineStr">
        <is>
          <t xml:space="preserve">CRS-2SA-003</t>
        </is>
      </c>
      <c r="S123" s="15" t="inlineStr">
        <is>
          <t xml:space="preserve">SRC-TEXT-1CHR; SRC-CHRONICLES-OVERVIEW; SRC-CHRONICLES-BP</t>
        </is>
      </c>
      <c r="T123" s="15" t="inlineStr">
        <is>
          <t xml:space="preserve">Editorial</t>
        </is>
      </c>
      <c r="U123" s="11" t="inlineStr">
        <is>
          <t xml:space="preserve">Needs Review</t>
        </is>
      </c>
      <c r="V123" s="15"/>
      <c r="W123" s="15" t="inlineStr">
        <is>
          <t xml:space="preserve">Parallel/complimentary account attached to David's unification and capture of Jerusalem.</t>
        </is>
      </c>
    </row>
    <row r="124" ht="34" customHeight="1">
      <c r="A124" s="15" t="inlineStr">
        <is>
          <t xml:space="preserve">v0.2</t>
        </is>
      </c>
      <c r="B124" s="15" t="inlineStr">
        <is>
          <t xml:space="preserve">Bible_Journey_Canon_Map_v0_2_Chronicles_Psalms_Job_1Kings.xlsx</t>
        </is>
      </c>
      <c r="C124" s="15" t="inlineStr">
        <is>
          <t xml:space="preserve">CRS-1CH-011</t>
        </is>
      </c>
      <c r="D124" s="15">
        <v>980.2</v>
      </c>
      <c r="E124" s="15">
        <v>2</v>
      </c>
      <c r="F124" s="15" t="inlineStr">
        <is>
          <t xml:space="preserve">1 Chronicles</t>
        </is>
      </c>
      <c r="G124" s="15" t="inlineStr">
        <is>
          <t xml:space="preserve">United Monarchy</t>
        </is>
      </c>
      <c r="H124" s="15" t="inlineStr">
        <is>
          <t xml:space="preserve">Jerusalem and Philistine wars</t>
        </is>
      </c>
      <c r="I124" s="15" t="inlineStr">
        <is>
          <t xml:space="preserve">David's palace and wars with the Philistines: Chronicles account</t>
        </is>
      </c>
      <c r="J124" s="15" t="inlineStr">
        <is>
          <t xml:space="preserve">1 Chronicles 14</t>
        </is>
      </c>
      <c r="K124" s="15" t="inlineStr">
        <is>
          <t xml:space="preserve">High</t>
        </is>
      </c>
      <c r="L124" s="15" t="inlineStr">
        <is>
          <t xml:space="preserve">High</t>
        </is>
      </c>
      <c r="M124" s="15" t="inlineStr">
        <is>
          <t xml:space="preserve">Attach to v0.1 event</t>
        </is>
      </c>
      <c r="N124" s="15" t="inlineStr">
        <is>
          <t xml:space="preserve">Read this block as part of the linked event before Full Stream completion.</t>
        </is>
      </c>
      <c r="O124" s="15" t="inlineStr">
        <is>
          <t xml:space="preserve">Show as a linked account; keep it pending unless the reader chooses to continue this event.</t>
        </is>
      </c>
      <c r="P124" s="15" t="inlineStr">
        <is>
          <t xml:space="preserve">Yes</t>
        </is>
      </c>
      <c r="Q124" s="15" t="inlineStr">
        <is>
          <t xml:space="preserve">The Life of David; United Monarchy</t>
        </is>
      </c>
      <c r="R124" s="15" t="inlineStr">
        <is>
          <t xml:space="preserve">CRS-2SA-003</t>
        </is>
      </c>
      <c r="S124" s="15" t="inlineStr">
        <is>
          <t xml:space="preserve">SRC-TEXT-1CHR; SRC-CHRONICLES-OVERVIEW; SRC-CHRONICLES-BP</t>
        </is>
      </c>
      <c r="T124" s="15" t="inlineStr">
        <is>
          <t xml:space="preserve">Editorial</t>
        </is>
      </c>
      <c r="U124" s="11" t="inlineStr">
        <is>
          <t xml:space="preserve">Needs Review</t>
        </is>
      </c>
      <c r="V124" s="15"/>
      <c r="W124" s="15" t="inlineStr">
        <is>
          <t xml:space="preserve">Chronicles parallel to parts of 2 Samuel 5. Must be placed within the event rather than read as a later duplicate.</t>
        </is>
      </c>
    </row>
    <row r="125" ht="34" customHeight="1">
      <c r="A125" s="15" t="inlineStr">
        <is>
          <t xml:space="preserve">v0.2</t>
        </is>
      </c>
      <c r="B125" s="15" t="inlineStr">
        <is>
          <t xml:space="preserve">Bible_Journey_Canon_Map_v0_2_Chronicles_Psalms_Job_1Kings.xlsx</t>
        </is>
      </c>
      <c r="C125" s="15" t="inlineStr">
        <is>
          <t xml:space="preserve">CRS-1CH-010</t>
        </is>
      </c>
      <c r="D125" s="15">
        <v>990.1</v>
      </c>
      <c r="E125" s="15">
        <v>2</v>
      </c>
      <c r="F125" s="15" t="inlineStr">
        <is>
          <t xml:space="preserve">1 Chronicles</t>
        </is>
      </c>
      <c r="G125" s="15" t="inlineStr">
        <is>
          <t xml:space="preserve">United Monarchy</t>
        </is>
      </c>
      <c r="H125" s="15" t="inlineStr">
        <is>
          <t xml:space="preserve">The ark's first journey</t>
        </is>
      </c>
      <c r="I125" s="15" t="inlineStr">
        <is>
          <t xml:space="preserve">The ark's first journey and Uzzah's death: Chronicles account</t>
        </is>
      </c>
      <c r="J125" s="15" t="inlineStr">
        <is>
          <t xml:space="preserve">1 Chronicles 13</t>
        </is>
      </c>
      <c r="K125" s="15" t="inlineStr">
        <is>
          <t xml:space="preserve">High</t>
        </is>
      </c>
      <c r="L125" s="15" t="inlineStr">
        <is>
          <t xml:space="preserve">High</t>
        </is>
      </c>
      <c r="M125" s="15" t="inlineStr">
        <is>
          <t xml:space="preserve">Attach to v0.1 event</t>
        </is>
      </c>
      <c r="N125" s="15" t="inlineStr">
        <is>
          <t xml:space="preserve">Read this block as part of the linked event before Full Stream completion.</t>
        </is>
      </c>
      <c r="O125" s="15" t="inlineStr">
        <is>
          <t xml:space="preserve">Show as a linked account; keep it pending unless the reader chooses to continue this event.</t>
        </is>
      </c>
      <c r="P125" s="15" t="inlineStr">
        <is>
          <t xml:space="preserve">Yes</t>
        </is>
      </c>
      <c r="Q125" s="15" t="inlineStr">
        <is>
          <t xml:space="preserve">The Life of David; Ark &amp; Temple</t>
        </is>
      </c>
      <c r="R125" s="15" t="inlineStr">
        <is>
          <t xml:space="preserve">CRS-2SA-004</t>
        </is>
      </c>
      <c r="S125" s="15" t="inlineStr">
        <is>
          <t xml:space="preserve">SRC-TEXT-1CHR; SRC-CHRONICLES-OVERVIEW; SRC-CHRONICLES-BP</t>
        </is>
      </c>
      <c r="T125" s="15" t="inlineStr">
        <is>
          <t xml:space="preserve">Editorial</t>
        </is>
      </c>
      <c r="U125" s="11" t="inlineStr">
        <is>
          <t xml:space="preserve">Needs Review</t>
        </is>
      </c>
      <c r="V125" s="15"/>
      <c r="W125" s="15" t="inlineStr">
        <is>
          <t xml:space="preserve">Parallel account of the failed ark transport. Requires verse-level split in 2 Samuel 6 for exact sequencing.</t>
        </is>
      </c>
    </row>
    <row r="126" ht="34" customHeight="1">
      <c r="A126" s="15" t="inlineStr">
        <is>
          <t xml:space="preserve">v0.2</t>
        </is>
      </c>
      <c r="B126" s="15" t="inlineStr">
        <is>
          <t xml:space="preserve">Bible_Journey_Canon_Map_v0_2_Chronicles_Psalms_Job_1Kings.xlsx</t>
        </is>
      </c>
      <c r="C126" s="15" t="inlineStr">
        <is>
          <t xml:space="preserve">CRS-1CH-012</t>
        </is>
      </c>
      <c r="D126" s="15">
        <v>990.2</v>
      </c>
      <c r="E126" s="15">
        <v>2</v>
      </c>
      <c r="F126" s="15" t="inlineStr">
        <is>
          <t xml:space="preserve">1 Chronicles</t>
        </is>
      </c>
      <c r="G126" s="15" t="inlineStr">
        <is>
          <t xml:space="preserve">United Monarchy</t>
        </is>
      </c>
      <c r="H126" s="15" t="inlineStr">
        <is>
          <t xml:space="preserve">The ark enters Jerusalem</t>
        </is>
      </c>
      <c r="I126" s="15" t="inlineStr">
        <is>
          <t xml:space="preserve">The ark enters Jerusalem and David's liturgy</t>
        </is>
      </c>
      <c r="J126" s="15" t="inlineStr">
        <is>
          <t xml:space="preserve">1 Chronicles 15-16</t>
        </is>
      </c>
      <c r="K126" s="15" t="inlineStr">
        <is>
          <t xml:space="preserve">High</t>
        </is>
      </c>
      <c r="L126" s="15" t="inlineStr">
        <is>
          <t xml:space="preserve">High</t>
        </is>
      </c>
      <c r="M126" s="15" t="inlineStr">
        <is>
          <t xml:space="preserve">Attach to v0.1 event</t>
        </is>
      </c>
      <c r="N126" s="15" t="inlineStr">
        <is>
          <t xml:space="preserve">Read this block as part of the linked event before Full Stream completion.</t>
        </is>
      </c>
      <c r="O126" s="15" t="inlineStr">
        <is>
          <t xml:space="preserve">Show as a linked account; keep it pending unless the reader chooses to continue this event.</t>
        </is>
      </c>
      <c r="P126" s="15" t="inlineStr">
        <is>
          <t xml:space="preserve">Yes</t>
        </is>
      </c>
      <c r="Q126" s="15" t="inlineStr">
        <is>
          <t xml:space="preserve">The Life of David; Ark &amp; Temple; Psalms</t>
        </is>
      </c>
      <c r="R126" s="15" t="inlineStr">
        <is>
          <t xml:space="preserve">CRS-2SA-004</t>
        </is>
      </c>
      <c r="S126" s="15" t="inlineStr">
        <is>
          <t xml:space="preserve">SRC-TEXT-1CHR; SRC-CHRONICLES-OVERVIEW; SRC-CHRONICLES-BP</t>
        </is>
      </c>
      <c r="T126" s="15" t="inlineStr">
        <is>
          <t xml:space="preserve">Editorial</t>
        </is>
      </c>
      <c r="U126" s="11" t="inlineStr">
        <is>
          <t xml:space="preserve">Needs Review</t>
        </is>
      </c>
      <c r="V126" s="15"/>
      <c r="W126" s="15" t="inlineStr">
        <is>
          <t xml:space="preserve">Chronicles' successful ark movement overlaps 2 Samuel 6 and adds unique liturgical material in chapter 16.</t>
        </is>
      </c>
    </row>
    <row r="127" ht="34" customHeight="1">
      <c r="A127" s="15" t="inlineStr">
        <is>
          <t xml:space="preserve">v0.2</t>
        </is>
      </c>
      <c r="B127" s="15" t="inlineStr">
        <is>
          <t xml:space="preserve">Bible_Journey_Canon_Map_v0_2_Chronicles_Psalms_Job_1Kings.xlsx</t>
        </is>
      </c>
      <c r="C127" s="15" t="inlineStr">
        <is>
          <t xml:space="preserve">CRS-1CH-013</t>
        </is>
      </c>
      <c r="D127" s="15">
        <v>1000.1</v>
      </c>
      <c r="E127" s="15">
        <v>2</v>
      </c>
      <c r="F127" s="15" t="inlineStr">
        <is>
          <t xml:space="preserve">1 Chronicles</t>
        </is>
      </c>
      <c r="G127" s="15" t="inlineStr">
        <is>
          <t xml:space="preserve">United Monarchy</t>
        </is>
      </c>
      <c r="H127" s="15" t="inlineStr">
        <is>
          <t xml:space="preserve">Davidic covenant</t>
        </is>
      </c>
      <c r="I127" s="15" t="inlineStr">
        <is>
          <t xml:space="preserve">The Davidic covenant: Chronicles account</t>
        </is>
      </c>
      <c r="J127" s="15" t="inlineStr">
        <is>
          <t xml:space="preserve">1 Chronicles 17</t>
        </is>
      </c>
      <c r="K127" s="15" t="inlineStr">
        <is>
          <t xml:space="preserve">High</t>
        </is>
      </c>
      <c r="L127" s="15" t="inlineStr">
        <is>
          <t xml:space="preserve">High</t>
        </is>
      </c>
      <c r="M127" s="15" t="inlineStr">
        <is>
          <t xml:space="preserve">Attach to v0.1 event</t>
        </is>
      </c>
      <c r="N127" s="15" t="inlineStr">
        <is>
          <t xml:space="preserve">Read this block as part of the linked event before Full Stream completion.</t>
        </is>
      </c>
      <c r="O127" s="15" t="inlineStr">
        <is>
          <t xml:space="preserve">Show as a linked account; keep it pending unless the reader chooses to continue this event.</t>
        </is>
      </c>
      <c r="P127" s="15" t="inlineStr">
        <is>
          <t xml:space="preserve">Yes</t>
        </is>
      </c>
      <c r="Q127" s="15" t="inlineStr">
        <is>
          <t xml:space="preserve">The Life of David; Covenant</t>
        </is>
      </c>
      <c r="R127" s="15" t="inlineStr">
        <is>
          <t xml:space="preserve">CRS-2SA-005</t>
        </is>
      </c>
      <c r="S127" s="15" t="inlineStr">
        <is>
          <t xml:space="preserve">SRC-TEXT-1CHR; SRC-CHRONICLES-OVERVIEW; SRC-CHRONICLES-BP</t>
        </is>
      </c>
      <c r="T127" s="15" t="inlineStr">
        <is>
          <t xml:space="preserve">Editorial</t>
        </is>
      </c>
      <c r="U127" s="11" t="inlineStr">
        <is>
          <t xml:space="preserve">Needs Review</t>
        </is>
      </c>
      <c r="V127" s="15"/>
      <c r="W127" s="15" t="inlineStr">
        <is>
          <t xml:space="preserve">Parallel account of the covenant promise. Keep text intact and distinguish wording from 2 Samuel 7.</t>
        </is>
      </c>
    </row>
    <row r="128" ht="34" customHeight="1">
      <c r="A128" s="15" t="inlineStr">
        <is>
          <t xml:space="preserve">v0.2</t>
        </is>
      </c>
      <c r="B128" s="15" t="inlineStr">
        <is>
          <t xml:space="preserve">Bible_Journey_Canon_Map_v0_2_Chronicles_Psalms_Job_1Kings.xlsx</t>
        </is>
      </c>
      <c r="C128" s="15" t="inlineStr">
        <is>
          <t xml:space="preserve">CRS-1CH-014</t>
        </is>
      </c>
      <c r="D128" s="15">
        <v>1010.1</v>
      </c>
      <c r="E128" s="15">
        <v>2</v>
      </c>
      <c r="F128" s="15" t="inlineStr">
        <is>
          <t xml:space="preserve">1 Chronicles</t>
        </is>
      </c>
      <c r="G128" s="15" t="inlineStr">
        <is>
          <t xml:space="preserve">United Monarchy</t>
        </is>
      </c>
      <c r="H128" s="15" t="inlineStr">
        <is>
          <t xml:space="preserve">David's victories</t>
        </is>
      </c>
      <c r="I128" s="15" t="inlineStr">
        <is>
          <t xml:space="preserve">David's victories and administration: Chronicles account</t>
        </is>
      </c>
      <c r="J128" s="15" t="inlineStr">
        <is>
          <t xml:space="preserve">1 Chronicles 18</t>
        </is>
      </c>
      <c r="K128" s="15" t="inlineStr">
        <is>
          <t xml:space="preserve">High</t>
        </is>
      </c>
      <c r="L128" s="15" t="inlineStr">
        <is>
          <t xml:space="preserve">High</t>
        </is>
      </c>
      <c r="M128" s="15" t="inlineStr">
        <is>
          <t xml:space="preserve">Attach to v0.1 event</t>
        </is>
      </c>
      <c r="N128" s="15" t="inlineStr">
        <is>
          <t xml:space="preserve">Read this block as part of the linked event before Full Stream completion.</t>
        </is>
      </c>
      <c r="O128" s="15" t="inlineStr">
        <is>
          <t xml:space="preserve">Show as a linked account; keep it pending unless the reader chooses to continue this event.</t>
        </is>
      </c>
      <c r="P128" s="15" t="inlineStr">
        <is>
          <t xml:space="preserve">Yes</t>
        </is>
      </c>
      <c r="Q128" s="15" t="inlineStr">
        <is>
          <t xml:space="preserve">The Life of David; United Monarchy</t>
        </is>
      </c>
      <c r="R128" s="15" t="inlineStr">
        <is>
          <t xml:space="preserve">CRS-2SA-006</t>
        </is>
      </c>
      <c r="S128" s="15" t="inlineStr">
        <is>
          <t xml:space="preserve">SRC-TEXT-1CHR; SRC-CHRONICLES-OVERVIEW; SRC-CHRONICLES-BP</t>
        </is>
      </c>
      <c r="T128" s="15" t="inlineStr">
        <is>
          <t xml:space="preserve">Editorial</t>
        </is>
      </c>
      <c r="U128" s="11" t="inlineStr">
        <is>
          <t xml:space="preserve">Needs Review</t>
        </is>
      </c>
      <c r="V128" s="15"/>
      <c r="W128" s="15" t="inlineStr">
        <is>
          <t xml:space="preserve">Parallel account to David's victories and administration in 2 Samuel 8.</t>
        </is>
      </c>
    </row>
    <row r="129" ht="34" customHeight="1">
      <c r="A129" s="15" t="inlineStr">
        <is>
          <t xml:space="preserve">v0.2</t>
        </is>
      </c>
      <c r="B129" s="15" t="inlineStr">
        <is>
          <t xml:space="preserve">Bible_Journey_Canon_Map_v0_2_Chronicles_Psalms_Job_1Kings.xlsx</t>
        </is>
      </c>
      <c r="C129" s="15" t="inlineStr">
        <is>
          <t xml:space="preserve">CRS-1CH-015</t>
        </is>
      </c>
      <c r="D129" s="15">
        <v>1030.1</v>
      </c>
      <c r="E129" s="15">
        <v>2</v>
      </c>
      <c r="F129" s="15" t="inlineStr">
        <is>
          <t xml:space="preserve">1 Chronicles</t>
        </is>
      </c>
      <c r="G129" s="15" t="inlineStr">
        <is>
          <t xml:space="preserve">United Monarchy</t>
        </is>
      </c>
      <c r="H129" s="15" t="inlineStr">
        <is>
          <t xml:space="preserve">War with Ammon and Aram</t>
        </is>
      </c>
      <c r="I129" s="15" t="inlineStr">
        <is>
          <t xml:space="preserve">War with Ammon and Aram: Chronicles account</t>
        </is>
      </c>
      <c r="J129" s="15" t="inlineStr">
        <is>
          <t xml:space="preserve">1 Chronicles 19</t>
        </is>
      </c>
      <c r="K129" s="15" t="inlineStr">
        <is>
          <t xml:space="preserve">High</t>
        </is>
      </c>
      <c r="L129" s="15" t="inlineStr">
        <is>
          <t xml:space="preserve">High</t>
        </is>
      </c>
      <c r="M129" s="15" t="inlineStr">
        <is>
          <t xml:space="preserve">Attach to v0.1 event</t>
        </is>
      </c>
      <c r="N129" s="15" t="inlineStr">
        <is>
          <t xml:space="preserve">Read this block as part of the linked event before Full Stream completion.</t>
        </is>
      </c>
      <c r="O129" s="15" t="inlineStr">
        <is>
          <t xml:space="preserve">Show as a linked account; keep it pending unless the reader chooses to continue this event.</t>
        </is>
      </c>
      <c r="P129" s="15" t="inlineStr">
        <is>
          <t xml:space="preserve">Yes</t>
        </is>
      </c>
      <c r="Q129" s="15" t="inlineStr">
        <is>
          <t xml:space="preserve">The Life of David; United Monarchy</t>
        </is>
      </c>
      <c r="R129" s="15" t="inlineStr">
        <is>
          <t xml:space="preserve">CRS-2SA-008</t>
        </is>
      </c>
      <c r="S129" s="15" t="inlineStr">
        <is>
          <t xml:space="preserve">SRC-TEXT-1CHR; SRC-CHRONICLES-OVERVIEW; SRC-CHRONICLES-BP</t>
        </is>
      </c>
      <c r="T129" s="15" t="inlineStr">
        <is>
          <t xml:space="preserve">Editorial</t>
        </is>
      </c>
      <c r="U129" s="11" t="inlineStr">
        <is>
          <t xml:space="preserve">Needs Review</t>
        </is>
      </c>
      <c r="V129" s="15"/>
      <c r="W129" s="15" t="inlineStr">
        <is>
          <t xml:space="preserve">Parallel account to 2 Samuel 10.</t>
        </is>
      </c>
    </row>
    <row r="130" ht="34" customHeight="1">
      <c r="A130" s="15" t="inlineStr">
        <is>
          <t xml:space="preserve">v0.2</t>
        </is>
      </c>
      <c r="B130" s="15" t="inlineStr">
        <is>
          <t xml:space="preserve">Bible_Journey_Canon_Map_v0_2_Chronicles_Psalms_Job_1Kings.xlsx</t>
        </is>
      </c>
      <c r="C130" s="15" t="inlineStr">
        <is>
          <t xml:space="preserve">CRS-1CH-016</t>
        </is>
      </c>
      <c r="D130" s="15">
        <v>1100.5</v>
      </c>
      <c r="E130" s="15">
        <v>2</v>
      </c>
      <c r="F130" s="15" t="inlineStr">
        <is>
          <t xml:space="preserve">1 Chronicles</t>
        </is>
      </c>
      <c r="G130" s="15" t="inlineStr">
        <is>
          <t xml:space="preserve">United Monarchy</t>
        </is>
      </c>
      <c r="H130" s="15" t="inlineStr">
        <is>
          <t xml:space="preserve">Rabbah and Philistine giants</t>
        </is>
      </c>
      <c r="I130" s="15" t="inlineStr">
        <is>
          <t xml:space="preserve">Rabbah and Philistine giants: Chronicles accounts</t>
        </is>
      </c>
      <c r="J130" s="15" t="inlineStr">
        <is>
          <t xml:space="preserve">1 Chronicles 20</t>
        </is>
      </c>
      <c r="K130" s="15" t="inlineStr">
        <is>
          <t xml:space="preserve">High</t>
        </is>
      </c>
      <c r="L130" s="15" t="inlineStr">
        <is>
          <t xml:space="preserve">Debated</t>
        </is>
      </c>
      <c r="M130" s="15" t="inlineStr">
        <is>
          <t xml:space="preserve">Contextual composite / multi-event window</t>
        </is>
      </c>
      <c r="N130" s="15" t="inlineStr">
        <is>
          <t xml:space="preserve">Read this collection window in full; chronology is disclosed as unresolved or broad.</t>
        </is>
      </c>
      <c r="O130" s="15" t="inlineStr">
        <is>
          <t xml:space="preserve">Offer as an identified collection window; never imply a precise historical date.</t>
        </is>
      </c>
      <c r="P130" s="15" t="inlineStr">
        <is>
          <t xml:space="preserve">Yes</t>
        </is>
      </c>
      <c r="Q130" s="15" t="inlineStr">
        <is>
          <t xml:space="preserve">The Life of David; United Monarchy</t>
        </is>
      </c>
      <c r="R130" s="15" t="inlineStr">
        <is>
          <t xml:space="preserve">CRS-2SA-010; CRS-2SA-018</t>
        </is>
      </c>
      <c r="S130" s="15" t="inlineStr">
        <is>
          <t xml:space="preserve">SRC-TEXT-1CHR; SRC-CHRONICLES-OVERVIEW; SRC-CHRONICLES-BP</t>
        </is>
      </c>
      <c r="T130" s="15" t="inlineStr">
        <is>
          <t xml:space="preserve">Editorial</t>
        </is>
      </c>
      <c r="U130" s="11" t="inlineStr">
        <is>
          <t xml:space="preserve">Needs Review</t>
        </is>
      </c>
      <c r="V130" s="15"/>
      <c r="W130" s="15" t="inlineStr">
        <is>
          <t xml:space="preserve">Chronicles chapter combines material corresponding to the capture of Rabbah and later giant-warrior notices. It spans more than one v0.1 event.</t>
        </is>
      </c>
    </row>
    <row r="131" ht="34" customHeight="1">
      <c r="A131" s="15" t="inlineStr">
        <is>
          <t xml:space="preserve">v0.2</t>
        </is>
      </c>
      <c r="B131" s="15" t="inlineStr">
        <is>
          <t xml:space="preserve">Bible_Journey_Canon_Map_v0_2_Chronicles_Psalms_Job_1Kings.xlsx</t>
        </is>
      </c>
      <c r="C131" s="15" t="inlineStr">
        <is>
          <t xml:space="preserve">CRS-1CH-017</t>
        </is>
      </c>
      <c r="D131" s="15">
        <v>1160.1</v>
      </c>
      <c r="E131" s="15">
        <v>2</v>
      </c>
      <c r="F131" s="15" t="inlineStr">
        <is>
          <t xml:space="preserve">1 Chronicles</t>
        </is>
      </c>
      <c r="G131" s="15" t="inlineStr">
        <is>
          <t xml:space="preserve">United Monarchy</t>
        </is>
      </c>
      <c r="H131" s="15" t="inlineStr">
        <is>
          <t xml:space="preserve">David's census and altar</t>
        </is>
      </c>
      <c r="I131" s="15" t="inlineStr">
        <is>
          <t xml:space="preserve">David's census and altar site: Chronicles account</t>
        </is>
      </c>
      <c r="J131" s="15" t="inlineStr">
        <is>
          <t xml:space="preserve">1 Chronicles 21</t>
        </is>
      </c>
      <c r="K131" s="15" t="inlineStr">
        <is>
          <t xml:space="preserve">High</t>
        </is>
      </c>
      <c r="L131" s="15" t="inlineStr">
        <is>
          <t xml:space="preserve">Debated</t>
        </is>
      </c>
      <c r="M131" s="15" t="inlineStr">
        <is>
          <t xml:space="preserve">Attach to v0.1 event</t>
        </is>
      </c>
      <c r="N131" s="15" t="inlineStr">
        <is>
          <t xml:space="preserve">Read this block as part of the linked event before Full Stream completion.</t>
        </is>
      </c>
      <c r="O131" s="15" t="inlineStr">
        <is>
          <t xml:space="preserve">Show as a linked account; keep it pending unless the reader chooses to continue this event.</t>
        </is>
      </c>
      <c r="P131" s="15" t="inlineStr">
        <is>
          <t xml:space="preserve">Yes</t>
        </is>
      </c>
      <c r="Q131" s="15" t="inlineStr">
        <is>
          <t xml:space="preserve">The Life of David; Ark &amp; Temple</t>
        </is>
      </c>
      <c r="R131" s="15" t="inlineStr">
        <is>
          <t xml:space="preserve">CRS-2SA-021</t>
        </is>
      </c>
      <c r="S131" s="15" t="inlineStr">
        <is>
          <t xml:space="preserve">SRC-TEXT-1CHR; SRC-CHRONICLES-OVERVIEW; SRC-CHRONICLES-BP</t>
        </is>
      </c>
      <c r="T131" s="15" t="inlineStr">
        <is>
          <t xml:space="preserve">Editorial</t>
        </is>
      </c>
      <c r="U131" s="11" t="inlineStr">
        <is>
          <t xml:space="preserve">Needs Review</t>
        </is>
      </c>
      <c r="V131" s="15"/>
      <c r="W131" s="15" t="inlineStr">
        <is>
          <t xml:space="preserve">Parallel account to David's census and altar purchase. Event identity is high; end-of-reign placement remains debated.</t>
        </is>
      </c>
    </row>
    <row r="132" ht="34" customHeight="1">
      <c r="A132" s="15" t="inlineStr">
        <is>
          <t xml:space="preserve">v0.2</t>
        </is>
      </c>
      <c r="B132" s="15" t="inlineStr">
        <is>
          <t xml:space="preserve">Bible_Journey_Canon_Map_v0_2_Chronicles_Psalms_Job_1Kings.xlsx</t>
        </is>
      </c>
      <c r="C132" s="15" t="inlineStr">
        <is>
          <t xml:space="preserve">CRS-1CH-018</t>
        </is>
      </c>
      <c r="D132" s="15">
        <v>1165</v>
      </c>
      <c r="E132" s="15">
        <v>2</v>
      </c>
      <c r="F132" s="15" t="inlineStr">
        <is>
          <t xml:space="preserve">1 Chronicles</t>
        </is>
      </c>
      <c r="G132" s="15" t="inlineStr">
        <is>
          <t xml:space="preserve">United Monarchy</t>
        </is>
      </c>
      <c r="H132" s="15" t="inlineStr">
        <is>
          <t xml:space="preserve">Temple preparation</t>
        </is>
      </c>
      <c r="I132" s="15" t="inlineStr">
        <is>
          <t xml:space="preserve">David prepares for the temple</t>
        </is>
      </c>
      <c r="J132" s="15" t="inlineStr">
        <is>
          <t xml:space="preserve">1 Chronicles 22</t>
        </is>
      </c>
      <c r="K132" s="15" t="inlineStr">
        <is>
          <t xml:space="preserve">High</t>
        </is>
      </c>
      <c r="L132" s="15" t="inlineStr">
        <is>
          <t xml:space="preserve">Probable</t>
        </is>
      </c>
      <c r="M132" s="15" t="inlineStr">
        <is>
          <t xml:space="preserve">New main-spine bridge</t>
        </is>
      </c>
      <c r="N132" s="15" t="inlineStr">
        <is>
          <t xml:space="preserve">Read the assigned primary block in full before continuing.</t>
        </is>
      </c>
      <c r="O132" s="15" t="inlineStr">
        <is>
          <t xml:space="preserve">Read primary block; continue to the next chronological set.</t>
        </is>
      </c>
      <c r="P132" s="15" t="inlineStr">
        <is>
          <t xml:space="preserve">No</t>
        </is>
      </c>
      <c r="Q132" s="15" t="inlineStr">
        <is>
          <t xml:space="preserve">The Life of David; Ark &amp; Temple; Solomon</t>
        </is>
      </c>
      <c r="R132" s="15"/>
      <c r="S132" s="15" t="inlineStr">
        <is>
          <t xml:space="preserve">SRC-TEXT-1CHR; SRC-CHRONICLES-OVERVIEW; SRC-CHRONICLES-BP</t>
        </is>
      </c>
      <c r="T132" s="15" t="inlineStr">
        <is>
          <t xml:space="preserve">Editorial</t>
        </is>
      </c>
      <c r="U132" s="11" t="inlineStr">
        <is>
          <t xml:space="preserve">Needs Review</t>
        </is>
      </c>
      <c r="V132" s="15"/>
      <c r="W132" s="15" t="inlineStr">
        <is>
          <t xml:space="preserve">Unique Chronicles material that functions as a bridge from David's altar/temple site to Solomon's reign.</t>
        </is>
      </c>
    </row>
    <row r="133" ht="34" customHeight="1">
      <c r="A133" s="15" t="inlineStr">
        <is>
          <t xml:space="preserve">v0.2</t>
        </is>
      </c>
      <c r="B133" s="15" t="inlineStr">
        <is>
          <t xml:space="preserve">Bible_Journey_Canon_Map_v0_2_Chronicles_Psalms_Job_1Kings.xlsx</t>
        </is>
      </c>
      <c r="C133" s="15" t="inlineStr">
        <is>
          <t xml:space="preserve">CRS-1CH-019</t>
        </is>
      </c>
      <c r="D133" s="15">
        <v>1166</v>
      </c>
      <c r="E133" s="15">
        <v>2</v>
      </c>
      <c r="F133" s="15" t="inlineStr">
        <is>
          <t xml:space="preserve">1 Chronicles</t>
        </is>
      </c>
      <c r="G133" s="15" t="inlineStr">
        <is>
          <t xml:space="preserve">United Monarchy</t>
        </is>
      </c>
      <c r="H133" s="15" t="inlineStr">
        <is>
          <t xml:space="preserve">Temple administration</t>
        </is>
      </c>
      <c r="I133" s="15" t="inlineStr">
        <is>
          <t xml:space="preserve">Levites, priests, musicians, gatekeepers, officials, and military divisions</t>
        </is>
      </c>
      <c r="J133" s="15" t="inlineStr">
        <is>
          <t xml:space="preserve">1 Chronicles 23-27</t>
        </is>
      </c>
      <c r="K133" s="15" t="inlineStr">
        <is>
          <t xml:space="preserve">High</t>
        </is>
      </c>
      <c r="L133" s="15" t="inlineStr">
        <is>
          <t xml:space="preserve">Probable</t>
        </is>
      </c>
      <c r="M133" s="15" t="inlineStr">
        <is>
          <t xml:space="preserve">New main-spine bridge</t>
        </is>
      </c>
      <c r="N133" s="15" t="inlineStr">
        <is>
          <t xml:space="preserve">Read the assigned primary block in full before continuing.</t>
        </is>
      </c>
      <c r="O133" s="15" t="inlineStr">
        <is>
          <t xml:space="preserve">Read primary block; continue to the next chronological set.</t>
        </is>
      </c>
      <c r="P133" s="15" t="inlineStr">
        <is>
          <t xml:space="preserve">No</t>
        </is>
      </c>
      <c r="Q133" s="15" t="inlineStr">
        <is>
          <t xml:space="preserve">The Life of David; Ark &amp; Temple; Solomon</t>
        </is>
      </c>
      <c r="R133" s="15"/>
      <c r="S133" s="15" t="inlineStr">
        <is>
          <t xml:space="preserve">SRC-TEXT-1CHR; SRC-CHRONICLES-OVERVIEW; SRC-CHRONICLES-BP</t>
        </is>
      </c>
      <c r="T133" s="15" t="inlineStr">
        <is>
          <t xml:space="preserve">Editorial</t>
        </is>
      </c>
      <c r="U133" s="11" t="inlineStr">
        <is>
          <t xml:space="preserve">Needs Review</t>
        </is>
      </c>
      <c r="V133" s="15"/>
      <c r="W133" s="15" t="inlineStr">
        <is>
          <t xml:space="preserve">Chronicles-specific administrative and cultic preparations. Treat as a late-David collection, not a day-by-day sequence.</t>
        </is>
      </c>
    </row>
    <row r="134" ht="34" customHeight="1">
      <c r="A134" s="15" t="inlineStr">
        <is>
          <t xml:space="preserve">v0.2</t>
        </is>
      </c>
      <c r="B134" s="15" t="inlineStr">
        <is>
          <t xml:space="preserve">Bible_Journey_Canon_Map_v0_2_Chronicles_Psalms_Job_1Kings.xlsx</t>
        </is>
      </c>
      <c r="C134" s="15" t="inlineStr">
        <is>
          <t xml:space="preserve">CRS-1CH-020</t>
        </is>
      </c>
      <c r="D134" s="15">
        <v>1167</v>
      </c>
      <c r="E134" s="15">
        <v>2</v>
      </c>
      <c r="F134" s="15" t="inlineStr">
        <is>
          <t xml:space="preserve">1 Chronicles</t>
        </is>
      </c>
      <c r="G134" s="15" t="inlineStr">
        <is>
          <t xml:space="preserve">United Monarchy</t>
        </is>
      </c>
      <c r="H134" s="15" t="inlineStr">
        <is>
          <t xml:space="preserve">David's final assembly and Solomon's succession</t>
        </is>
      </c>
      <c r="I134" s="15" t="inlineStr">
        <is>
          <t xml:space="preserve">David's final assembly, temple charge, and Solomon's succession</t>
        </is>
      </c>
      <c r="J134" s="15" t="inlineStr">
        <is>
          <t xml:space="preserve">1 Chronicles 28-29</t>
        </is>
      </c>
      <c r="K134" s="15" t="inlineStr">
        <is>
          <t xml:space="preserve">High</t>
        </is>
      </c>
      <c r="L134" s="15" t="inlineStr">
        <is>
          <t xml:space="preserve">Probable</t>
        </is>
      </c>
      <c r="M134" s="15" t="inlineStr">
        <is>
          <t xml:space="preserve">New main-spine bridge</t>
        </is>
      </c>
      <c r="N134" s="15" t="inlineStr">
        <is>
          <t xml:space="preserve">Read the assigned primary block in full before continuing.</t>
        </is>
      </c>
      <c r="O134" s="15" t="inlineStr">
        <is>
          <t xml:space="preserve">Read primary block; continue to the next chronological set.</t>
        </is>
      </c>
      <c r="P134" s="15" t="inlineStr">
        <is>
          <t xml:space="preserve">Yes</t>
        </is>
      </c>
      <c r="Q134" s="15" t="inlineStr">
        <is>
          <t xml:space="preserve">The Life of David; Solomon; Ark &amp; Temple</t>
        </is>
      </c>
      <c r="R134" s="15" t="inlineStr">
        <is>
          <t xml:space="preserve">CRS-1KG-001; CRS-1KG-002</t>
        </is>
      </c>
      <c r="S134" s="15" t="inlineStr">
        <is>
          <t xml:space="preserve">SRC-TEXT-1CHR; SRC-CHRONICLES-OVERVIEW; SRC-CHRONICLES-BP</t>
        </is>
      </c>
      <c r="T134" s="15" t="inlineStr">
        <is>
          <t xml:space="preserve">Editorial</t>
        </is>
      </c>
      <c r="U134" s="11" t="inlineStr">
        <is>
          <t xml:space="preserve">Needs Review</t>
        </is>
      </c>
      <c r="V134" s="15"/>
      <c r="W134" s="15" t="inlineStr">
        <is>
          <t xml:space="preserve">Late-David conclusion that overlaps conceptually with 1 Kings 1-2 but offers distinct temple-focused framing.</t>
        </is>
      </c>
    </row>
    <row r="135" ht="34" customHeight="1">
      <c r="A135" s="15" t="inlineStr">
        <is>
          <t xml:space="preserve">v0.2</t>
        </is>
      </c>
      <c r="B135" s="15" t="inlineStr">
        <is>
          <t xml:space="preserve">Bible_Journey_Canon_Map_v0_2_Chronicles_Psalms_Job_1Kings.xlsx</t>
        </is>
      </c>
      <c r="C135" s="15" t="inlineStr">
        <is>
          <t xml:space="preserve">CRS-1KG-001</t>
        </is>
      </c>
      <c r="D135" s="15">
        <v>1170</v>
      </c>
      <c r="E135" s="15">
        <v>2</v>
      </c>
      <c r="F135" s="15" t="inlineStr">
        <is>
          <t xml:space="preserve">1 Kings</t>
        </is>
      </c>
      <c r="G135" s="15" t="inlineStr">
        <is>
          <t xml:space="preserve">United Monarchy</t>
        </is>
      </c>
      <c r="H135" s="15" t="inlineStr">
        <is>
          <t xml:space="preserve">Solomon's accession</t>
        </is>
      </c>
      <c r="I135" s="15" t="inlineStr">
        <is>
          <t xml:space="preserve">Adonijah's bid and Solomon's accession</t>
        </is>
      </c>
      <c r="J135" s="15" t="inlineStr">
        <is>
          <t xml:space="preserve">1 Kings 1</t>
        </is>
      </c>
      <c r="K135" s="15" t="inlineStr">
        <is>
          <t xml:space="preserve">High</t>
        </is>
      </c>
      <c r="L135" s="15" t="inlineStr">
        <is>
          <t xml:space="preserve">High</t>
        </is>
      </c>
      <c r="M135" s="15" t="inlineStr">
        <is>
          <t xml:space="preserve">New main-spine continuation</t>
        </is>
      </c>
      <c r="N135" s="15" t="inlineStr">
        <is>
          <t xml:space="preserve">Read the assigned primary block in full before continuing.</t>
        </is>
      </c>
      <c r="O135" s="15" t="inlineStr">
        <is>
          <t xml:space="preserve">Read primary block; continue to the next chronological set.</t>
        </is>
      </c>
      <c r="P135" s="15" t="inlineStr">
        <is>
          <t xml:space="preserve">No</t>
        </is>
      </c>
      <c r="Q135" s="15" t="inlineStr">
        <is>
          <t xml:space="preserve">The Life of David; Solomon</t>
        </is>
      </c>
      <c r="R135" s="15"/>
      <c r="S135" s="15" t="inlineStr">
        <is>
          <t xml:space="preserve">SRC-TEXT-1KGS; SRC-KINGS-OVERVIEW; SRC-KINGS-BP; SRC-SOLOMON-OVERVIEW; SRC-DIVIDED-MONARCHY</t>
        </is>
      </c>
      <c r="T135" s="15" t="inlineStr">
        <is>
          <t xml:space="preserve">Editorial</t>
        </is>
      </c>
      <c r="U135" s="11" t="inlineStr">
        <is>
          <t xml:space="preserve">Needs Review</t>
        </is>
      </c>
      <c r="V135" s="15"/>
      <c r="W135" s="15" t="inlineStr">
        <is>
          <t xml:space="preserve">Transition after late-David Chronicles material; later harmonization with 1 Chronicles 29 remains open.</t>
        </is>
      </c>
    </row>
    <row r="136" ht="34" customHeight="1">
      <c r="A136" s="15" t="inlineStr">
        <is>
          <t xml:space="preserve">v0.2</t>
        </is>
      </c>
      <c r="B136" s="15" t="inlineStr">
        <is>
          <t xml:space="preserve">Bible_Journey_Canon_Map_v0_2_Chronicles_Psalms_Job_1Kings.xlsx</t>
        </is>
      </c>
      <c r="C136" s="15" t="inlineStr">
        <is>
          <t xml:space="preserve">CRS-1KG-002</t>
        </is>
      </c>
      <c r="D136" s="15">
        <v>1180</v>
      </c>
      <c r="E136" s="15">
        <v>2</v>
      </c>
      <c r="F136" s="15" t="inlineStr">
        <is>
          <t xml:space="preserve">1 Kings</t>
        </is>
      </c>
      <c r="G136" s="15" t="inlineStr">
        <is>
          <t xml:space="preserve">United Monarchy</t>
        </is>
      </c>
      <c r="H136" s="15" t="inlineStr">
        <is>
          <t xml:space="preserve">Solomon's accession</t>
        </is>
      </c>
      <c r="I136" s="15" t="inlineStr">
        <is>
          <t xml:space="preserve">David's death and Solomon secures the throne</t>
        </is>
      </c>
      <c r="J136" s="15" t="inlineStr">
        <is>
          <t xml:space="preserve">1 Kings 2</t>
        </is>
      </c>
      <c r="K136" s="15" t="inlineStr">
        <is>
          <t xml:space="preserve">High</t>
        </is>
      </c>
      <c r="L136" s="15" t="inlineStr">
        <is>
          <t xml:space="preserve">High</t>
        </is>
      </c>
      <c r="M136" s="15" t="inlineStr">
        <is>
          <t xml:space="preserve">New main-spine continuation</t>
        </is>
      </c>
      <c r="N136" s="15" t="inlineStr">
        <is>
          <t xml:space="preserve">Read the assigned primary block in full before continuing.</t>
        </is>
      </c>
      <c r="O136" s="15" t="inlineStr">
        <is>
          <t xml:space="preserve">Read primary block; continue to the next chronological set.</t>
        </is>
      </c>
      <c r="P136" s="15" t="inlineStr">
        <is>
          <t xml:space="preserve">No</t>
        </is>
      </c>
      <c r="Q136" s="15" t="inlineStr">
        <is>
          <t xml:space="preserve">The Life of David; Solomon</t>
        </is>
      </c>
      <c r="R136" s="15"/>
      <c r="S136" s="15" t="inlineStr">
        <is>
          <t xml:space="preserve">SRC-TEXT-1KGS; SRC-KINGS-OVERVIEW; SRC-KINGS-BP; SRC-SOLOMON-OVERVIEW; SRC-DIVIDED-MONARCHY</t>
        </is>
      </c>
      <c r="T136" s="15" t="inlineStr">
        <is>
          <t xml:space="preserve">Editorial</t>
        </is>
      </c>
      <c r="U136" s="11" t="inlineStr">
        <is>
          <t xml:space="preserve">Needs Review</t>
        </is>
      </c>
      <c r="V136" s="15"/>
      <c r="W136" s="15" t="inlineStr">
        <is>
          <t xml:space="preserve">Chronological continuation of succession; compare at study level with Chronicles' final assembly framing.</t>
        </is>
      </c>
    </row>
    <row r="137" ht="34" customHeight="1">
      <c r="A137" s="15" t="inlineStr">
        <is>
          <t xml:space="preserve">v0.2</t>
        </is>
      </c>
      <c r="B137" s="15" t="inlineStr">
        <is>
          <t xml:space="preserve">Bible_Journey_Canon_Map_v0_2_Chronicles_Psalms_Job_1Kings.xlsx</t>
        </is>
      </c>
      <c r="C137" s="15" t="inlineStr">
        <is>
          <t xml:space="preserve">CRS-1KG-003</t>
        </is>
      </c>
      <c r="D137" s="15">
        <v>1190</v>
      </c>
      <c r="E137" s="15">
        <v>2</v>
      </c>
      <c r="F137" s="15" t="inlineStr">
        <is>
          <t xml:space="preserve">1 Kings</t>
        </is>
      </c>
      <c r="G137" s="15" t="inlineStr">
        <is>
          <t xml:space="preserve">United Monarchy</t>
        </is>
      </c>
      <c r="H137" s="15" t="inlineStr">
        <is>
          <t xml:space="preserve">Solomon's wisdom</t>
        </is>
      </c>
      <c r="I137" s="15" t="inlineStr">
        <is>
          <t xml:space="preserve">Solomon asks for wisdom at Gibeon</t>
        </is>
      </c>
      <c r="J137" s="15" t="inlineStr">
        <is>
          <t xml:space="preserve">1 Kings 3</t>
        </is>
      </c>
      <c r="K137" s="15" t="inlineStr">
        <is>
          <t xml:space="preserve">High</t>
        </is>
      </c>
      <c r="L137" s="15" t="inlineStr">
        <is>
          <t xml:space="preserve">High</t>
        </is>
      </c>
      <c r="M137" s="15" t="inlineStr">
        <is>
          <t xml:space="preserve">New main-spine continuation</t>
        </is>
      </c>
      <c r="N137" s="15" t="inlineStr">
        <is>
          <t xml:space="preserve">Read the assigned primary block in full before continuing.</t>
        </is>
      </c>
      <c r="O137" s="15" t="inlineStr">
        <is>
          <t xml:space="preserve">Read primary block; continue to the next chronological set.</t>
        </is>
      </c>
      <c r="P137" s="15" t="inlineStr">
        <is>
          <t xml:space="preserve">Yes</t>
        </is>
      </c>
      <c r="Q137" s="15" t="inlineStr">
        <is>
          <t xml:space="preserve">Solomon; Wisdom</t>
        </is>
      </c>
      <c r="R137" s="15"/>
      <c r="S137" s="15" t="inlineStr">
        <is>
          <t xml:space="preserve">SRC-TEXT-1KGS; SRC-KINGS-OVERVIEW; SRC-KINGS-BP; SRC-SOLOMON-OVERVIEW; SRC-DIVIDED-MONARCHY</t>
        </is>
      </c>
      <c r="T137" s="15" t="inlineStr">
        <is>
          <t xml:space="preserve">Editorial</t>
        </is>
      </c>
      <c r="U137" s="11" t="inlineStr">
        <is>
          <t xml:space="preserve">Needs Review</t>
        </is>
      </c>
      <c r="V137" s="15"/>
      <c r="W137" s="15" t="inlineStr">
        <is>
          <t xml:space="preserve">Future dependency: 2 Chronicles 1 provides a related account, outside current scope.</t>
        </is>
      </c>
    </row>
    <row r="138" ht="34" customHeight="1">
      <c r="A138" s="15" t="inlineStr">
        <is>
          <t xml:space="preserve">v0.2</t>
        </is>
      </c>
      <c r="B138" s="15" t="inlineStr">
        <is>
          <t xml:space="preserve">Bible_Journey_Canon_Map_v0_2_Chronicles_Psalms_Job_1Kings.xlsx</t>
        </is>
      </c>
      <c r="C138" s="15" t="inlineStr">
        <is>
          <t xml:space="preserve">CRS-1KG-004</t>
        </is>
      </c>
      <c r="D138" s="15">
        <v>1200</v>
      </c>
      <c r="E138" s="15">
        <v>2</v>
      </c>
      <c r="F138" s="15" t="inlineStr">
        <is>
          <t xml:space="preserve">1 Kings</t>
        </is>
      </c>
      <c r="G138" s="15" t="inlineStr">
        <is>
          <t xml:space="preserve">United Monarchy</t>
        </is>
      </c>
      <c r="H138" s="15" t="inlineStr">
        <is>
          <t xml:space="preserve">Solomon's administration</t>
        </is>
      </c>
      <c r="I138" s="15" t="inlineStr">
        <is>
          <t xml:space="preserve">Solomon's administration, prosperity, and wisdom</t>
        </is>
      </c>
      <c r="J138" s="15" t="inlineStr">
        <is>
          <t xml:space="preserve">1 Kings 4</t>
        </is>
      </c>
      <c r="K138" s="15" t="inlineStr">
        <is>
          <t xml:space="preserve">High</t>
        </is>
      </c>
      <c r="L138" s="15" t="inlineStr">
        <is>
          <t xml:space="preserve">High</t>
        </is>
      </c>
      <c r="M138" s="15" t="inlineStr">
        <is>
          <t xml:space="preserve">New main-spine continuation</t>
        </is>
      </c>
      <c r="N138" s="15" t="inlineStr">
        <is>
          <t xml:space="preserve">Read the assigned primary block in full before continuing.</t>
        </is>
      </c>
      <c r="O138" s="15" t="inlineStr">
        <is>
          <t xml:space="preserve">Read primary block; continue to the next chronological set.</t>
        </is>
      </c>
      <c r="P138" s="15" t="inlineStr">
        <is>
          <t xml:space="preserve">No</t>
        </is>
      </c>
      <c r="Q138" s="15" t="inlineStr">
        <is>
          <t xml:space="preserve">Solomon; Wisdom</t>
        </is>
      </c>
      <c r="R138" s="15"/>
      <c r="S138" s="15" t="inlineStr">
        <is>
          <t xml:space="preserve">SRC-TEXT-1KGS; SRC-KINGS-OVERVIEW; SRC-KINGS-BP; SRC-SOLOMON-OVERVIEW; SRC-DIVIDED-MONARCHY</t>
        </is>
      </c>
      <c r="T138" s="15" t="inlineStr">
        <is>
          <t xml:space="preserve">Editorial</t>
        </is>
      </c>
      <c r="U138" s="11" t="inlineStr">
        <is>
          <t xml:space="preserve">Needs Review</t>
        </is>
      </c>
      <c r="V138" s="15"/>
      <c r="W138" s="15" t="inlineStr">
        <is>
          <t xml:space="preserve">Provides narrative window for wisdom traditions, but not proof that each Solomonic work was composed here.</t>
        </is>
      </c>
    </row>
    <row r="139" ht="34" customHeight="1">
      <c r="A139" s="15" t="inlineStr">
        <is>
          <t xml:space="preserve">v0.2</t>
        </is>
      </c>
      <c r="B139" s="15" t="inlineStr">
        <is>
          <t xml:space="preserve">Bible_Journey_Canon_Map_v0_2_Chronicles_Psalms_Job_1Kings.xlsx</t>
        </is>
      </c>
      <c r="C139" s="15" t="inlineStr">
        <is>
          <t xml:space="preserve">CRS-1KG-005</t>
        </is>
      </c>
      <c r="D139" s="15">
        <v>1210</v>
      </c>
      <c r="E139" s="15">
        <v>2</v>
      </c>
      <c r="F139" s="15" t="inlineStr">
        <is>
          <t xml:space="preserve">1 Kings</t>
        </is>
      </c>
      <c r="G139" s="15" t="inlineStr">
        <is>
          <t xml:space="preserve">United Monarchy</t>
        </is>
      </c>
      <c r="H139" s="15" t="inlineStr">
        <is>
          <t xml:space="preserve">The temple is built</t>
        </is>
      </c>
      <c r="I139" s="15" t="inlineStr">
        <is>
          <t xml:space="preserve">Solomon builds the temple</t>
        </is>
      </c>
      <c r="J139" s="15" t="inlineStr">
        <is>
          <t xml:space="preserve">1 Kings 5-6</t>
        </is>
      </c>
      <c r="K139" s="15" t="inlineStr">
        <is>
          <t xml:space="preserve">High</t>
        </is>
      </c>
      <c r="L139" s="15" t="inlineStr">
        <is>
          <t xml:space="preserve">High</t>
        </is>
      </c>
      <c r="M139" s="15" t="inlineStr">
        <is>
          <t xml:space="preserve">New main-spine continuation</t>
        </is>
      </c>
      <c r="N139" s="15" t="inlineStr">
        <is>
          <t xml:space="preserve">Read the assigned primary block in full before continuing.</t>
        </is>
      </c>
      <c r="O139" s="15" t="inlineStr">
        <is>
          <t xml:space="preserve">Read primary block; continue to the next chronological set.</t>
        </is>
      </c>
      <c r="P139" s="15" t="inlineStr">
        <is>
          <t xml:space="preserve">Yes</t>
        </is>
      </c>
      <c r="Q139" s="15" t="inlineStr">
        <is>
          <t xml:space="preserve">Solomon; Ark &amp; Temple</t>
        </is>
      </c>
      <c r="R139" s="15"/>
      <c r="S139" s="15" t="inlineStr">
        <is>
          <t xml:space="preserve">SRC-TEXT-1KGS; SRC-KINGS-OVERVIEW; SRC-KINGS-BP; SRC-SOLOMON-OVERVIEW; SRC-DIVIDED-MONARCHY</t>
        </is>
      </c>
      <c r="T139" s="15" t="inlineStr">
        <is>
          <t xml:space="preserve">Editorial</t>
        </is>
      </c>
      <c r="U139" s="11" t="inlineStr">
        <is>
          <t xml:space="preserve">Needs Review</t>
        </is>
      </c>
      <c r="V139" s="15"/>
      <c r="W139" s="15" t="inlineStr">
        <is>
          <t xml:space="preserve">Future dependency: 2 Chronicles 2-3 provides a parallel/complementary account.</t>
        </is>
      </c>
    </row>
    <row r="140" ht="34" customHeight="1">
      <c r="A140" s="15" t="inlineStr">
        <is>
          <t xml:space="preserve">v0.2</t>
        </is>
      </c>
      <c r="B140" s="15" t="inlineStr">
        <is>
          <t xml:space="preserve">Bible_Journey_Canon_Map_v0_2_Chronicles_Psalms_Job_1Kings.xlsx</t>
        </is>
      </c>
      <c r="C140" s="15" t="inlineStr">
        <is>
          <t xml:space="preserve">CRS-1KG-006</t>
        </is>
      </c>
      <c r="D140" s="15">
        <v>1220</v>
      </c>
      <c r="E140" s="15">
        <v>2</v>
      </c>
      <c r="F140" s="15" t="inlineStr">
        <is>
          <t xml:space="preserve">1 Kings</t>
        </is>
      </c>
      <c r="G140" s="15" t="inlineStr">
        <is>
          <t xml:space="preserve">United Monarchy</t>
        </is>
      </c>
      <c r="H140" s="15" t="inlineStr">
        <is>
          <t xml:space="preserve">Temple and palace</t>
        </is>
      </c>
      <c r="I140" s="15" t="inlineStr">
        <is>
          <t xml:space="preserve">Temple furnishings and Solomon's palace</t>
        </is>
      </c>
      <c r="J140" s="15" t="inlineStr">
        <is>
          <t xml:space="preserve">1 Kings 7</t>
        </is>
      </c>
      <c r="K140" s="15" t="inlineStr">
        <is>
          <t xml:space="preserve">High</t>
        </is>
      </c>
      <c r="L140" s="15" t="inlineStr">
        <is>
          <t xml:space="preserve">High</t>
        </is>
      </c>
      <c r="M140" s="15" t="inlineStr">
        <is>
          <t xml:space="preserve">New main-spine continuation</t>
        </is>
      </c>
      <c r="N140" s="15" t="inlineStr">
        <is>
          <t xml:space="preserve">Read the assigned primary block in full before continuing.</t>
        </is>
      </c>
      <c r="O140" s="15" t="inlineStr">
        <is>
          <t xml:space="preserve">Read primary block; continue to the next chronological set.</t>
        </is>
      </c>
      <c r="P140" s="15" t="inlineStr">
        <is>
          <t xml:space="preserve">No</t>
        </is>
      </c>
      <c r="Q140" s="15" t="inlineStr">
        <is>
          <t xml:space="preserve">Solomon; Ark &amp; Temple</t>
        </is>
      </c>
      <c r="R140" s="15"/>
      <c r="S140" s="15" t="inlineStr">
        <is>
          <t xml:space="preserve">SRC-TEXT-1KGS; SRC-KINGS-OVERVIEW; SRC-KINGS-BP; SRC-SOLOMON-OVERVIEW; SRC-DIVIDED-MONARCHY</t>
        </is>
      </c>
      <c r="T140" s="15" t="inlineStr">
        <is>
          <t xml:space="preserve">Editorial</t>
        </is>
      </c>
      <c r="U140" s="11" t="inlineStr">
        <is>
          <t xml:space="preserve">Needs Review</t>
        </is>
      </c>
      <c r="V140" s="15"/>
      <c r="W140" s="15" t="inlineStr">
        <is>
          <t xml:space="preserve">Continue temple construction and royal-household account. Future 2 Chronicles linkage is partial.</t>
        </is>
      </c>
    </row>
    <row r="141" ht="34" customHeight="1">
      <c r="A141" s="15" t="inlineStr">
        <is>
          <t xml:space="preserve">v0.2</t>
        </is>
      </c>
      <c r="B141" s="15" t="inlineStr">
        <is>
          <t xml:space="preserve">Bible_Journey_Canon_Map_v0_2_Chronicles_Psalms_Job_1Kings.xlsx</t>
        </is>
      </c>
      <c r="C141" s="15" t="inlineStr">
        <is>
          <t xml:space="preserve">CRS-1KG-007</t>
        </is>
      </c>
      <c r="D141" s="15">
        <v>1230</v>
      </c>
      <c r="E141" s="15">
        <v>2</v>
      </c>
      <c r="F141" s="15" t="inlineStr">
        <is>
          <t xml:space="preserve">1 Kings</t>
        </is>
      </c>
      <c r="G141" s="15" t="inlineStr">
        <is>
          <t xml:space="preserve">United Monarchy</t>
        </is>
      </c>
      <c r="H141" s="15" t="inlineStr">
        <is>
          <t xml:space="preserve">Temple dedication</t>
        </is>
      </c>
      <c r="I141" s="15" t="inlineStr">
        <is>
          <t xml:space="preserve">Solomon dedicates the temple</t>
        </is>
      </c>
      <c r="J141" s="15" t="inlineStr">
        <is>
          <t xml:space="preserve">1 Kings 8</t>
        </is>
      </c>
      <c r="K141" s="15" t="inlineStr">
        <is>
          <t xml:space="preserve">High</t>
        </is>
      </c>
      <c r="L141" s="15" t="inlineStr">
        <is>
          <t xml:space="preserve">High</t>
        </is>
      </c>
      <c r="M141" s="15" t="inlineStr">
        <is>
          <t xml:space="preserve">New main-spine continuation</t>
        </is>
      </c>
      <c r="N141" s="15" t="inlineStr">
        <is>
          <t xml:space="preserve">Read the assigned primary block in full before continuing.</t>
        </is>
      </c>
      <c r="O141" s="15" t="inlineStr">
        <is>
          <t xml:space="preserve">Read primary block; continue to the next chronological set.</t>
        </is>
      </c>
      <c r="P141" s="15" t="inlineStr">
        <is>
          <t xml:space="preserve">Yes</t>
        </is>
      </c>
      <c r="Q141" s="15" t="inlineStr">
        <is>
          <t xml:space="preserve">Solomon; Ark &amp; Temple</t>
        </is>
      </c>
      <c r="R141" s="15"/>
      <c r="S141" s="15" t="inlineStr">
        <is>
          <t xml:space="preserve">SRC-TEXT-1KGS; SRC-KINGS-OVERVIEW; SRC-KINGS-BP; SRC-SOLOMON-OVERVIEW; SRC-DIVIDED-MONARCHY</t>
        </is>
      </c>
      <c r="T141" s="15" t="inlineStr">
        <is>
          <t xml:space="preserve">Editorial</t>
        </is>
      </c>
      <c r="U141" s="11" t="inlineStr">
        <is>
          <t xml:space="preserve">Needs Review</t>
        </is>
      </c>
      <c r="V141" s="15"/>
      <c r="W141" s="15" t="inlineStr">
        <is>
          <t xml:space="preserve">Future dependency: 2 Chronicles 5-7 offers parallel/complementary accounts; treat as a Compare Accounts flagship.</t>
        </is>
      </c>
    </row>
    <row r="142" ht="34" customHeight="1">
      <c r="A142" s="15" t="inlineStr">
        <is>
          <t xml:space="preserve">v0.2</t>
        </is>
      </c>
      <c r="B142" s="15" t="inlineStr">
        <is>
          <t xml:space="preserve">Bible_Journey_Canon_Map_v0_2_Chronicles_Psalms_Job_1Kings.xlsx</t>
        </is>
      </c>
      <c r="C142" s="15" t="inlineStr">
        <is>
          <t xml:space="preserve">CRS-1KG-008</t>
        </is>
      </c>
      <c r="D142" s="15">
        <v>1240</v>
      </c>
      <c r="E142" s="15">
        <v>2</v>
      </c>
      <c r="F142" s="15" t="inlineStr">
        <is>
          <t xml:space="preserve">1 Kings</t>
        </is>
      </c>
      <c r="G142" s="15" t="inlineStr">
        <is>
          <t xml:space="preserve">United Monarchy</t>
        </is>
      </c>
      <c r="H142" s="15" t="inlineStr">
        <is>
          <t xml:space="preserve">Solomon's later projects</t>
        </is>
      </c>
      <c r="I142" s="15" t="inlineStr">
        <is>
          <t xml:space="preserve">Divine response, royal projects, and international trade</t>
        </is>
      </c>
      <c r="J142" s="15" t="inlineStr">
        <is>
          <t xml:space="preserve">1 Kings 9</t>
        </is>
      </c>
      <c r="K142" s="15" t="inlineStr">
        <is>
          <t xml:space="preserve">High</t>
        </is>
      </c>
      <c r="L142" s="15" t="inlineStr">
        <is>
          <t xml:space="preserve">High</t>
        </is>
      </c>
      <c r="M142" s="15" t="inlineStr">
        <is>
          <t xml:space="preserve">New main-spine continuation</t>
        </is>
      </c>
      <c r="N142" s="15" t="inlineStr">
        <is>
          <t xml:space="preserve">Read the assigned primary block in full before continuing.</t>
        </is>
      </c>
      <c r="O142" s="15" t="inlineStr">
        <is>
          <t xml:space="preserve">Read primary block; continue to the next chronological set.</t>
        </is>
      </c>
      <c r="P142" s="15" t="inlineStr">
        <is>
          <t xml:space="preserve">No</t>
        </is>
      </c>
      <c r="Q142" s="15" t="inlineStr">
        <is>
          <t xml:space="preserve">Solomon; Ark &amp; Temple</t>
        </is>
      </c>
      <c r="R142" s="15"/>
      <c r="S142" s="15" t="inlineStr">
        <is>
          <t xml:space="preserve">SRC-TEXT-1KGS; SRC-KINGS-OVERVIEW; SRC-KINGS-BP; SRC-SOLOMON-OVERVIEW; SRC-DIVIDED-MONARCHY</t>
        </is>
      </c>
      <c r="T142" s="15" t="inlineStr">
        <is>
          <t xml:space="preserve">Editorial</t>
        </is>
      </c>
      <c r="U142" s="11" t="inlineStr">
        <is>
          <t xml:space="preserve">Needs Review</t>
        </is>
      </c>
      <c r="V142" s="15"/>
      <c r="W142" s="15" t="inlineStr">
        <is>
          <t xml:space="preserve">Includes multiple project/trade notices. Retain chapter-level grouping until finer editorial splits are reviewed.</t>
        </is>
      </c>
    </row>
    <row r="143" ht="34" customHeight="1">
      <c r="A143" s="15" t="inlineStr">
        <is>
          <t xml:space="preserve">v0.2</t>
        </is>
      </c>
      <c r="B143" s="15" t="inlineStr">
        <is>
          <t xml:space="preserve">Bible_Journey_Canon_Map_v0_2_Chronicles_Psalms_Job_1Kings.xlsx</t>
        </is>
      </c>
      <c r="C143" s="15" t="inlineStr">
        <is>
          <t xml:space="preserve">CRS-1KG-009</t>
        </is>
      </c>
      <c r="D143" s="15">
        <v>1250</v>
      </c>
      <c r="E143" s="15">
        <v>2</v>
      </c>
      <c r="F143" s="15" t="inlineStr">
        <is>
          <t xml:space="preserve">1 Kings</t>
        </is>
      </c>
      <c r="G143" s="15" t="inlineStr">
        <is>
          <t xml:space="preserve">United Monarchy</t>
        </is>
      </c>
      <c r="H143" s="15" t="inlineStr">
        <is>
          <t xml:space="preserve">Solomon's fame</t>
        </is>
      </c>
      <c r="I143" s="15" t="inlineStr">
        <is>
          <t xml:space="preserve">The queen of Sheba and Solomon's wealth</t>
        </is>
      </c>
      <c r="J143" s="15" t="inlineStr">
        <is>
          <t xml:space="preserve">1 Kings 10</t>
        </is>
      </c>
      <c r="K143" s="15" t="inlineStr">
        <is>
          <t xml:space="preserve">High</t>
        </is>
      </c>
      <c r="L143" s="15" t="inlineStr">
        <is>
          <t xml:space="preserve">High</t>
        </is>
      </c>
      <c r="M143" s="15" t="inlineStr">
        <is>
          <t xml:space="preserve">New main-spine continuation</t>
        </is>
      </c>
      <c r="N143" s="15" t="inlineStr">
        <is>
          <t xml:space="preserve">Read the assigned primary block in full before continuing.</t>
        </is>
      </c>
      <c r="O143" s="15" t="inlineStr">
        <is>
          <t xml:space="preserve">Read primary block; continue to the next chronological set.</t>
        </is>
      </c>
      <c r="P143" s="15" t="inlineStr">
        <is>
          <t xml:space="preserve">Yes</t>
        </is>
      </c>
      <c r="Q143" s="15" t="inlineStr">
        <is>
          <t xml:space="preserve">Solomon; Wisdom</t>
        </is>
      </c>
      <c r="R143" s="15"/>
      <c r="S143" s="15" t="inlineStr">
        <is>
          <t xml:space="preserve">SRC-TEXT-1KGS; SRC-KINGS-OVERVIEW; SRC-KINGS-BP; SRC-SOLOMON-OVERVIEW; SRC-DIVIDED-MONARCHY</t>
        </is>
      </c>
      <c r="T143" s="15" t="inlineStr">
        <is>
          <t xml:space="preserve">Editorial</t>
        </is>
      </c>
      <c r="U143" s="11" t="inlineStr">
        <is>
          <t xml:space="preserve">Needs Review</t>
        </is>
      </c>
      <c r="V143" s="15"/>
      <c r="W143" s="15" t="inlineStr">
        <is>
          <t xml:space="preserve">Future dependency: 2 Chronicles 9 has a related account.</t>
        </is>
      </c>
    </row>
    <row r="144" ht="34" customHeight="1">
      <c r="A144" s="15" t="inlineStr">
        <is>
          <t xml:space="preserve">v0.2</t>
        </is>
      </c>
      <c r="B144" s="15" t="inlineStr">
        <is>
          <t xml:space="preserve">Bible_Journey_Canon_Map_v0_2_Chronicles_Psalms_Job_1Kings.xlsx</t>
        </is>
      </c>
      <c r="C144" s="15" t="inlineStr">
        <is>
          <t xml:space="preserve">CRS-1KG-010</t>
        </is>
      </c>
      <c r="D144" s="15">
        <v>1260</v>
      </c>
      <c r="E144" s="15">
        <v>2</v>
      </c>
      <c r="F144" s="15" t="inlineStr">
        <is>
          <t xml:space="preserve">1 Kings</t>
        </is>
      </c>
      <c r="G144" s="15" t="inlineStr">
        <is>
          <t xml:space="preserve">United Monarchy</t>
        </is>
      </c>
      <c r="H144" s="15" t="inlineStr">
        <is>
          <t xml:space="preserve">Solomon's decline</t>
        </is>
      </c>
      <c r="I144" s="15" t="inlineStr">
        <is>
          <t xml:space="preserve">Solomon's decline and the division foretold</t>
        </is>
      </c>
      <c r="J144" s="15" t="inlineStr">
        <is>
          <t xml:space="preserve">1 Kings 11</t>
        </is>
      </c>
      <c r="K144" s="15" t="inlineStr">
        <is>
          <t xml:space="preserve">High</t>
        </is>
      </c>
      <c r="L144" s="15" t="inlineStr">
        <is>
          <t xml:space="preserve">High</t>
        </is>
      </c>
      <c r="M144" s="15" t="inlineStr">
        <is>
          <t xml:space="preserve">New main-spine continuation</t>
        </is>
      </c>
      <c r="N144" s="15" t="inlineStr">
        <is>
          <t xml:space="preserve">Read the assigned primary block in full before continuing.</t>
        </is>
      </c>
      <c r="O144" s="15" t="inlineStr">
        <is>
          <t xml:space="preserve">Read primary block; continue to the next chronological set.</t>
        </is>
      </c>
      <c r="P144" s="15" t="inlineStr">
        <is>
          <t xml:space="preserve">No</t>
        </is>
      </c>
      <c r="Q144" s="15" t="inlineStr">
        <is>
          <t xml:space="preserve">Solomon; Kingdom Divided</t>
        </is>
      </c>
      <c r="R144" s="15"/>
      <c r="S144" s="15" t="inlineStr">
        <is>
          <t xml:space="preserve">SRC-TEXT-1KGS; SRC-KINGS-OVERVIEW; SRC-KINGS-BP; SRC-SOLOMON-OVERVIEW; SRC-DIVIDED-MONARCHY</t>
        </is>
      </c>
      <c r="T144" s="15" t="inlineStr">
        <is>
          <t xml:space="preserve">Editorial</t>
        </is>
      </c>
      <c r="U144" s="11" t="inlineStr">
        <is>
          <t xml:space="preserve">Needs Review</t>
        </is>
      </c>
      <c r="V144" s="15"/>
      <c r="W144" s="15" t="inlineStr">
        <is>
          <t xml:space="preserve">Narrative transition from united monarchy to divided kingdom.</t>
        </is>
      </c>
    </row>
    <row r="145" ht="34" customHeight="1">
      <c r="A145" s="15" t="inlineStr">
        <is>
          <t xml:space="preserve">v0.2</t>
        </is>
      </c>
      <c r="B145" s="15" t="inlineStr">
        <is>
          <t xml:space="preserve">Bible_Journey_Canon_Map_v0_2_Chronicles_Psalms_Job_1Kings.xlsx</t>
        </is>
      </c>
      <c r="C145" s="15" t="inlineStr">
        <is>
          <t xml:space="preserve">CRS-1KG-011</t>
        </is>
      </c>
      <c r="D145" s="15">
        <v>1270</v>
      </c>
      <c r="E145" s="15">
        <v>2</v>
      </c>
      <c r="F145" s="15" t="inlineStr">
        <is>
          <t xml:space="preserve">1 Kings</t>
        </is>
      </c>
      <c r="G145" s="15" t="inlineStr">
        <is>
          <t xml:space="preserve">Divided Monarchy</t>
        </is>
      </c>
      <c r="H145" s="15" t="inlineStr">
        <is>
          <t xml:space="preserve">The kingdom divides</t>
        </is>
      </c>
      <c r="I145" s="15" t="inlineStr">
        <is>
          <t xml:space="preserve">Rehoboam and Jeroboam: the kingdom divides</t>
        </is>
      </c>
      <c r="J145" s="15" t="inlineStr">
        <is>
          <t xml:space="preserve">1 Kings 12</t>
        </is>
      </c>
      <c r="K145" s="15" t="inlineStr">
        <is>
          <t xml:space="preserve">High</t>
        </is>
      </c>
      <c r="L145" s="15" t="inlineStr">
        <is>
          <t xml:space="preserve">High</t>
        </is>
      </c>
      <c r="M145" s="15" t="inlineStr">
        <is>
          <t xml:space="preserve">New main-spine continuation</t>
        </is>
      </c>
      <c r="N145" s="15" t="inlineStr">
        <is>
          <t xml:space="preserve">Read the assigned primary block in full before continuing.</t>
        </is>
      </c>
      <c r="O145" s="15" t="inlineStr">
        <is>
          <t xml:space="preserve">Read primary block; continue to the next chronological set.</t>
        </is>
      </c>
      <c r="P145" s="15" t="inlineStr">
        <is>
          <t xml:space="preserve">Yes</t>
        </is>
      </c>
      <c r="Q145" s="15" t="inlineStr">
        <is>
          <t xml:space="preserve">Kingdom Divided</t>
        </is>
      </c>
      <c r="R145" s="15"/>
      <c r="S145" s="15" t="inlineStr">
        <is>
          <t xml:space="preserve">SRC-TEXT-1KGS; SRC-KINGS-OVERVIEW; SRC-KINGS-BP; SRC-SOLOMON-OVERVIEW; SRC-DIVIDED-MONARCHY</t>
        </is>
      </c>
      <c r="T145" s="15" t="inlineStr">
        <is>
          <t xml:space="preserve">Editorial</t>
        </is>
      </c>
      <c r="U145" s="11" t="inlineStr">
        <is>
          <t xml:space="preserve">Needs Review</t>
        </is>
      </c>
      <c r="V145" s="15"/>
      <c r="W145" s="15" t="inlineStr">
        <is>
          <t xml:space="preserve">Future dependency: 2 Chronicles 10 gives a parallel Judean-focused account.</t>
        </is>
      </c>
    </row>
    <row r="146" ht="34" customHeight="1">
      <c r="A146" s="15" t="inlineStr">
        <is>
          <t xml:space="preserve">v0.2</t>
        </is>
      </c>
      <c r="B146" s="15" t="inlineStr">
        <is>
          <t xml:space="preserve">Bible_Journey_Canon_Map_v0_2_Chronicles_Psalms_Job_1Kings.xlsx</t>
        </is>
      </c>
      <c r="C146" s="15" t="inlineStr">
        <is>
          <t xml:space="preserve">CRS-1KG-012</t>
        </is>
      </c>
      <c r="D146" s="15">
        <v>1280</v>
      </c>
      <c r="E146" s="15">
        <v>2</v>
      </c>
      <c r="F146" s="15" t="inlineStr">
        <is>
          <t xml:space="preserve">1 Kings</t>
        </is>
      </c>
      <c r="G146" s="15" t="inlineStr">
        <is>
          <t xml:space="preserve">Divided Monarchy</t>
        </is>
      </c>
      <c r="H146" s="15" t="inlineStr">
        <is>
          <t xml:space="preserve">Jeroboam's cult</t>
        </is>
      </c>
      <c r="I146" s="15" t="inlineStr">
        <is>
          <t xml:space="preserve">The man of God from Judah and Jeroboam's altar</t>
        </is>
      </c>
      <c r="J146" s="15" t="inlineStr">
        <is>
          <t xml:space="preserve">1 Kings 13</t>
        </is>
      </c>
      <c r="K146" s="15" t="inlineStr">
        <is>
          <t xml:space="preserve">High</t>
        </is>
      </c>
      <c r="L146" s="15" t="inlineStr">
        <is>
          <t xml:space="preserve">High</t>
        </is>
      </c>
      <c r="M146" s="15" t="inlineStr">
        <is>
          <t xml:space="preserve">New main-spine continuation</t>
        </is>
      </c>
      <c r="N146" s="15" t="inlineStr">
        <is>
          <t xml:space="preserve">Read the assigned primary block in full before continuing.</t>
        </is>
      </c>
      <c r="O146" s="15" t="inlineStr">
        <is>
          <t xml:space="preserve">Read primary block; continue to the next chronological set.</t>
        </is>
      </c>
      <c r="P146" s="15" t="inlineStr">
        <is>
          <t xml:space="preserve">No</t>
        </is>
      </c>
      <c r="Q146" s="15" t="inlineStr">
        <is>
          <t xml:space="preserve">Kingdom Divided; Prophets &amp; Kings</t>
        </is>
      </c>
      <c r="R146" s="15"/>
      <c r="S146" s="15" t="inlineStr">
        <is>
          <t xml:space="preserve">SRC-TEXT-1KGS; SRC-KINGS-OVERVIEW; SRC-KINGS-BP; SRC-SOLOMON-OVERVIEW; SRC-DIVIDED-MONARCHY</t>
        </is>
      </c>
      <c r="T146" s="15" t="inlineStr">
        <is>
          <t xml:space="preserve">Editorial</t>
        </is>
      </c>
      <c r="U146" s="11" t="inlineStr">
        <is>
          <t xml:space="preserve">Needs Review</t>
        </is>
      </c>
      <c r="V146" s="15"/>
      <c r="W146" s="15" t="inlineStr">
        <is>
          <t xml:space="preserve">Prophetic episode during Jeroboam's reign. Keep separate from royal synchronization tables.</t>
        </is>
      </c>
    </row>
    <row r="147" ht="34" customHeight="1">
      <c r="A147" s="15" t="inlineStr">
        <is>
          <t xml:space="preserve">v0.2</t>
        </is>
      </c>
      <c r="B147" s="15" t="inlineStr">
        <is>
          <t xml:space="preserve">Bible_Journey_Canon_Map_v0_2_Chronicles_Psalms_Job_1Kings.xlsx</t>
        </is>
      </c>
      <c r="C147" s="15" t="inlineStr">
        <is>
          <t xml:space="preserve">CRS-1KG-013</t>
        </is>
      </c>
      <c r="D147" s="15">
        <v>1290</v>
      </c>
      <c r="E147" s="15">
        <v>2</v>
      </c>
      <c r="F147" s="15" t="inlineStr">
        <is>
          <t xml:space="preserve">1 Kings</t>
        </is>
      </c>
      <c r="G147" s="15" t="inlineStr">
        <is>
          <t xml:space="preserve">Divided Monarchy</t>
        </is>
      </c>
      <c r="H147" s="15" t="inlineStr">
        <is>
          <t xml:space="preserve">Jeroboam and Rehoboam</t>
        </is>
      </c>
      <c r="I147" s="15" t="inlineStr">
        <is>
          <t xml:space="preserve">Jeroboam's judgment and Rehoboam's reign</t>
        </is>
      </c>
      <c r="J147" s="15" t="inlineStr">
        <is>
          <t xml:space="preserve">1 Kings 14</t>
        </is>
      </c>
      <c r="K147" s="15" t="inlineStr">
        <is>
          <t xml:space="preserve">High</t>
        </is>
      </c>
      <c r="L147" s="15" t="inlineStr">
        <is>
          <t xml:space="preserve">High</t>
        </is>
      </c>
      <c r="M147" s="15" t="inlineStr">
        <is>
          <t xml:space="preserve">New main-spine continuation</t>
        </is>
      </c>
      <c r="N147" s="15" t="inlineStr">
        <is>
          <t xml:space="preserve">Read the assigned primary block in full before continuing.</t>
        </is>
      </c>
      <c r="O147" s="15" t="inlineStr">
        <is>
          <t xml:space="preserve">Read primary block; continue to the next chronological set.</t>
        </is>
      </c>
      <c r="P147" s="15" t="inlineStr">
        <is>
          <t xml:space="preserve">Yes</t>
        </is>
      </c>
      <c r="Q147" s="15" t="inlineStr">
        <is>
          <t xml:space="preserve">Kingdom Divided; Prophets &amp; Kings</t>
        </is>
      </c>
      <c r="R147" s="15"/>
      <c r="S147" s="15" t="inlineStr">
        <is>
          <t xml:space="preserve">SRC-TEXT-1KGS; SRC-KINGS-OVERVIEW; SRC-KINGS-BP; SRC-SOLOMON-OVERVIEW; SRC-DIVIDED-MONARCHY</t>
        </is>
      </c>
      <c r="T147" s="15" t="inlineStr">
        <is>
          <t xml:space="preserve">Editorial</t>
        </is>
      </c>
      <c r="U147" s="11" t="inlineStr">
        <is>
          <t xml:space="preserve">Needs Review</t>
        </is>
      </c>
      <c r="V147" s="15"/>
      <c r="W147" s="15" t="inlineStr">
        <is>
          <t xml:space="preserve">Future dependency: 2 Chronicles 12 provides Rehoboam material.</t>
        </is>
      </c>
    </row>
    <row r="148" ht="34" customHeight="1">
      <c r="A148" s="15" t="inlineStr">
        <is>
          <t xml:space="preserve">v0.2</t>
        </is>
      </c>
      <c r="B148" s="15" t="inlineStr">
        <is>
          <t xml:space="preserve">Bible_Journey_Canon_Map_v0_2_Chronicles_Psalms_Job_1Kings.xlsx</t>
        </is>
      </c>
      <c r="C148" s="15" t="inlineStr">
        <is>
          <t xml:space="preserve">CRS-1KG-014</t>
        </is>
      </c>
      <c r="D148" s="15">
        <v>1300</v>
      </c>
      <c r="E148" s="15">
        <v>2</v>
      </c>
      <c r="F148" s="15" t="inlineStr">
        <is>
          <t xml:space="preserve">1 Kings</t>
        </is>
      </c>
      <c r="G148" s="15" t="inlineStr">
        <is>
          <t xml:space="preserve">Divided Monarchy</t>
        </is>
      </c>
      <c r="H148" s="15" t="inlineStr">
        <is>
          <t xml:space="preserve">Abijam and Asa</t>
        </is>
      </c>
      <c r="I148" s="15" t="inlineStr">
        <is>
          <t xml:space="preserve">Abijam and Asa in Judah</t>
        </is>
      </c>
      <c r="J148" s="15" t="inlineStr">
        <is>
          <t xml:space="preserve">1 Kings 15</t>
        </is>
      </c>
      <c r="K148" s="15" t="inlineStr">
        <is>
          <t xml:space="preserve">High</t>
        </is>
      </c>
      <c r="L148" s="15" t="inlineStr">
        <is>
          <t xml:space="preserve">High</t>
        </is>
      </c>
      <c r="M148" s="15" t="inlineStr">
        <is>
          <t xml:space="preserve">New main-spine continuation</t>
        </is>
      </c>
      <c r="N148" s="15" t="inlineStr">
        <is>
          <t xml:space="preserve">Read the assigned primary block in full before continuing.</t>
        </is>
      </c>
      <c r="O148" s="15" t="inlineStr">
        <is>
          <t xml:space="preserve">Read primary block; continue to the next chronological set.</t>
        </is>
      </c>
      <c r="P148" s="15" t="inlineStr">
        <is>
          <t xml:space="preserve">Yes</t>
        </is>
      </c>
      <c r="Q148" s="15" t="inlineStr">
        <is>
          <t xml:space="preserve">Kingdom Divided; Prophets &amp; Kings</t>
        </is>
      </c>
      <c r="R148" s="15"/>
      <c r="S148" s="15" t="inlineStr">
        <is>
          <t xml:space="preserve">SRC-TEXT-1KGS; SRC-KINGS-OVERVIEW; SRC-KINGS-BP; SRC-SOLOMON-OVERVIEW; SRC-DIVIDED-MONARCHY</t>
        </is>
      </c>
      <c r="T148" s="15" t="inlineStr">
        <is>
          <t xml:space="preserve">Editorial</t>
        </is>
      </c>
      <c r="U148" s="11" t="inlineStr">
        <is>
          <t xml:space="preserve">Needs Review</t>
        </is>
      </c>
      <c r="V148" s="15"/>
      <c r="W148" s="15" t="inlineStr">
        <is>
          <t xml:space="preserve">Future dependency: 2 Chronicles 13-16 includes expanded Judah material.</t>
        </is>
      </c>
    </row>
    <row r="149" ht="34" customHeight="1">
      <c r="A149" s="15" t="inlineStr">
        <is>
          <t xml:space="preserve">v0.2</t>
        </is>
      </c>
      <c r="B149" s="15" t="inlineStr">
        <is>
          <t xml:space="preserve">Bible_Journey_Canon_Map_v0_2_Chronicles_Psalms_Job_1Kings.xlsx</t>
        </is>
      </c>
      <c r="C149" s="15" t="inlineStr">
        <is>
          <t xml:space="preserve">CRS-1KG-015</t>
        </is>
      </c>
      <c r="D149" s="15">
        <v>1310</v>
      </c>
      <c r="E149" s="15">
        <v>2</v>
      </c>
      <c r="F149" s="15" t="inlineStr">
        <is>
          <t xml:space="preserve">1 Kings</t>
        </is>
      </c>
      <c r="G149" s="15" t="inlineStr">
        <is>
          <t xml:space="preserve">Divided Monarchy</t>
        </is>
      </c>
      <c r="H149" s="15" t="inlineStr">
        <is>
          <t xml:space="preserve">Northern dynasties</t>
        </is>
      </c>
      <c r="I149" s="15" t="inlineStr">
        <is>
          <t xml:space="preserve">Baasha, Elah, Zimri, Omri, and Ahab's rise</t>
        </is>
      </c>
      <c r="J149" s="15" t="inlineStr">
        <is>
          <t xml:space="preserve">1 Kings 16</t>
        </is>
      </c>
      <c r="K149" s="15" t="inlineStr">
        <is>
          <t xml:space="preserve">High</t>
        </is>
      </c>
      <c r="L149" s="15" t="inlineStr">
        <is>
          <t xml:space="preserve">High</t>
        </is>
      </c>
      <c r="M149" s="15" t="inlineStr">
        <is>
          <t xml:space="preserve">New main-spine continuation</t>
        </is>
      </c>
      <c r="N149" s="15" t="inlineStr">
        <is>
          <t xml:space="preserve">Read the assigned primary block in full before continuing.</t>
        </is>
      </c>
      <c r="O149" s="15" t="inlineStr">
        <is>
          <t xml:space="preserve">Read primary block; continue to the next chronological set.</t>
        </is>
      </c>
      <c r="P149" s="15" t="inlineStr">
        <is>
          <t xml:space="preserve">No</t>
        </is>
      </c>
      <c r="Q149" s="15" t="inlineStr">
        <is>
          <t xml:space="preserve">Kingdom Divided; Elijah</t>
        </is>
      </c>
      <c r="R149" s="15"/>
      <c r="S149" s="15" t="inlineStr">
        <is>
          <t xml:space="preserve">SRC-TEXT-1KGS; SRC-KINGS-OVERVIEW; SRC-KINGS-BP; SRC-SOLOMON-OVERVIEW; SRC-DIVIDED-MONARCHY</t>
        </is>
      </c>
      <c r="T149" s="15" t="inlineStr">
        <is>
          <t xml:space="preserve">Editorial</t>
        </is>
      </c>
      <c r="U149" s="11" t="inlineStr">
        <is>
          <t xml:space="preserve">Needs Review</t>
        </is>
      </c>
      <c r="V149" s="15"/>
      <c r="W149" s="15" t="inlineStr">
        <is>
          <t xml:space="preserve">Bridges rapid northern dynastic change into Ahab narrative.</t>
        </is>
      </c>
    </row>
    <row r="150" ht="34" customHeight="1">
      <c r="A150" s="15" t="inlineStr">
        <is>
          <t xml:space="preserve">v0.2</t>
        </is>
      </c>
      <c r="B150" s="15" t="inlineStr">
        <is>
          <t xml:space="preserve">Bible_Journey_Canon_Map_v0_2_Chronicles_Psalms_Job_1Kings.xlsx</t>
        </is>
      </c>
      <c r="C150" s="15" t="inlineStr">
        <is>
          <t xml:space="preserve">CRS-1KG-016</t>
        </is>
      </c>
      <c r="D150" s="15">
        <v>1320</v>
      </c>
      <c r="E150" s="15">
        <v>2</v>
      </c>
      <c r="F150" s="15" t="inlineStr">
        <is>
          <t xml:space="preserve">1 Kings</t>
        </is>
      </c>
      <c r="G150" s="15" t="inlineStr">
        <is>
          <t xml:space="preserve">Divided Monarchy</t>
        </is>
      </c>
      <c r="H150" s="15" t="inlineStr">
        <is>
          <t xml:space="preserve">Elijah</t>
        </is>
      </c>
      <c r="I150" s="15" t="inlineStr">
        <is>
          <t xml:space="preserve">Elijah announces drought and is sustained</t>
        </is>
      </c>
      <c r="J150" s="15" t="inlineStr">
        <is>
          <t xml:space="preserve">1 Kings 17</t>
        </is>
      </c>
      <c r="K150" s="15" t="inlineStr">
        <is>
          <t xml:space="preserve">High</t>
        </is>
      </c>
      <c r="L150" s="15" t="inlineStr">
        <is>
          <t xml:space="preserve">High</t>
        </is>
      </c>
      <c r="M150" s="15" t="inlineStr">
        <is>
          <t xml:space="preserve">New main-spine continuation</t>
        </is>
      </c>
      <c r="N150" s="15" t="inlineStr">
        <is>
          <t xml:space="preserve">Read the assigned primary block in full before continuing.</t>
        </is>
      </c>
      <c r="O150" s="15" t="inlineStr">
        <is>
          <t xml:space="preserve">Read primary block; continue to the next chronological set.</t>
        </is>
      </c>
      <c r="P150" s="15" t="inlineStr">
        <is>
          <t xml:space="preserve">No</t>
        </is>
      </c>
      <c r="Q150" s="15" t="inlineStr">
        <is>
          <t xml:space="preserve">Elijah; Prophets &amp; Kings</t>
        </is>
      </c>
      <c r="R150" s="15"/>
      <c r="S150" s="15" t="inlineStr">
        <is>
          <t xml:space="preserve">SRC-TEXT-1KGS; SRC-KINGS-OVERVIEW; SRC-KINGS-BP; SRC-SOLOMON-OVERVIEW; SRC-DIVIDED-MONARCHY</t>
        </is>
      </c>
      <c r="T150" s="15" t="inlineStr">
        <is>
          <t xml:space="preserve">Editorial</t>
        </is>
      </c>
      <c r="U150" s="11" t="inlineStr">
        <is>
          <t xml:space="preserve">Needs Review</t>
        </is>
      </c>
      <c r="V150" s="15"/>
      <c r="W150" s="15" t="inlineStr">
        <is>
          <t xml:space="preserve">Narrative beginning of Elijah cycle.</t>
        </is>
      </c>
    </row>
    <row r="151" ht="34" customHeight="1">
      <c r="A151" s="15" t="inlineStr">
        <is>
          <t xml:space="preserve">v0.2</t>
        </is>
      </c>
      <c r="B151" s="15" t="inlineStr">
        <is>
          <t xml:space="preserve">Bible_Journey_Canon_Map_v0_2_Chronicles_Psalms_Job_1Kings.xlsx</t>
        </is>
      </c>
      <c r="C151" s="15" t="inlineStr">
        <is>
          <t xml:space="preserve">CRS-1KG-017</t>
        </is>
      </c>
      <c r="D151" s="15">
        <v>1330</v>
      </c>
      <c r="E151" s="15">
        <v>2</v>
      </c>
      <c r="F151" s="15" t="inlineStr">
        <is>
          <t xml:space="preserve">1 Kings</t>
        </is>
      </c>
      <c r="G151" s="15" t="inlineStr">
        <is>
          <t xml:space="preserve">Divided Monarchy</t>
        </is>
      </c>
      <c r="H151" s="15" t="inlineStr">
        <is>
          <t xml:space="preserve">Elijah</t>
        </is>
      </c>
      <c r="I151" s="15" t="inlineStr">
        <is>
          <t xml:space="preserve">Elijah on Carmel</t>
        </is>
      </c>
      <c r="J151" s="15" t="inlineStr">
        <is>
          <t xml:space="preserve">1 Kings 18</t>
        </is>
      </c>
      <c r="K151" s="15" t="inlineStr">
        <is>
          <t xml:space="preserve">High</t>
        </is>
      </c>
      <c r="L151" s="15" t="inlineStr">
        <is>
          <t xml:space="preserve">High</t>
        </is>
      </c>
      <c r="M151" s="15" t="inlineStr">
        <is>
          <t xml:space="preserve">New main-spine continuation</t>
        </is>
      </c>
      <c r="N151" s="15" t="inlineStr">
        <is>
          <t xml:space="preserve">Read the assigned primary block in full before continuing.</t>
        </is>
      </c>
      <c r="O151" s="15" t="inlineStr">
        <is>
          <t xml:space="preserve">Read primary block; continue to the next chronological set.</t>
        </is>
      </c>
      <c r="P151" s="15" t="inlineStr">
        <is>
          <t xml:space="preserve">No</t>
        </is>
      </c>
      <c r="Q151" s="15" t="inlineStr">
        <is>
          <t xml:space="preserve">Elijah; Prophets &amp; Kings</t>
        </is>
      </c>
      <c r="R151" s="15"/>
      <c r="S151" s="15" t="inlineStr">
        <is>
          <t xml:space="preserve">SRC-TEXT-1KGS; SRC-KINGS-OVERVIEW; SRC-KINGS-BP; SRC-SOLOMON-OVERVIEW; SRC-DIVIDED-MONARCHY</t>
        </is>
      </c>
      <c r="T151" s="15" t="inlineStr">
        <is>
          <t xml:space="preserve">Editorial</t>
        </is>
      </c>
      <c r="U151" s="11" t="inlineStr">
        <is>
          <t xml:space="preserve">Needs Review</t>
        </is>
      </c>
      <c r="V151" s="15"/>
      <c r="W151" s="15" t="inlineStr">
        <is>
          <t xml:space="preserve">Carmel confrontation with Ahab's prophetic establishment.</t>
        </is>
      </c>
    </row>
    <row r="152" ht="34" customHeight="1">
      <c r="A152" s="15" t="inlineStr">
        <is>
          <t xml:space="preserve">v0.2</t>
        </is>
      </c>
      <c r="B152" s="15" t="inlineStr">
        <is>
          <t xml:space="preserve">Bible_Journey_Canon_Map_v0_2_Chronicles_Psalms_Job_1Kings.xlsx</t>
        </is>
      </c>
      <c r="C152" s="15" t="inlineStr">
        <is>
          <t xml:space="preserve">CRS-1KG-018</t>
        </is>
      </c>
      <c r="D152" s="15">
        <v>1340</v>
      </c>
      <c r="E152" s="15">
        <v>2</v>
      </c>
      <c r="F152" s="15" t="inlineStr">
        <is>
          <t xml:space="preserve">1 Kings</t>
        </is>
      </c>
      <c r="G152" s="15" t="inlineStr">
        <is>
          <t xml:space="preserve">Divided Monarchy</t>
        </is>
      </c>
      <c r="H152" s="15" t="inlineStr">
        <is>
          <t xml:space="preserve">Elijah</t>
        </is>
      </c>
      <c r="I152" s="15" t="inlineStr">
        <is>
          <t xml:space="preserve">Elijah at Horeb and Elisha's call</t>
        </is>
      </c>
      <c r="J152" s="15" t="inlineStr">
        <is>
          <t xml:space="preserve">1 Kings 19</t>
        </is>
      </c>
      <c r="K152" s="15" t="inlineStr">
        <is>
          <t xml:space="preserve">High</t>
        </is>
      </c>
      <c r="L152" s="15" t="inlineStr">
        <is>
          <t xml:space="preserve">High</t>
        </is>
      </c>
      <c r="M152" s="15" t="inlineStr">
        <is>
          <t xml:space="preserve">New main-spine continuation</t>
        </is>
      </c>
      <c r="N152" s="15" t="inlineStr">
        <is>
          <t xml:space="preserve">Read the assigned primary block in full before continuing.</t>
        </is>
      </c>
      <c r="O152" s="15" t="inlineStr">
        <is>
          <t xml:space="preserve">Read primary block; continue to the next chronological set.</t>
        </is>
      </c>
      <c r="P152" s="15" t="inlineStr">
        <is>
          <t xml:space="preserve">No</t>
        </is>
      </c>
      <c r="Q152" s="15" t="inlineStr">
        <is>
          <t xml:space="preserve">Elijah; Prophets &amp; Kings</t>
        </is>
      </c>
      <c r="R152" s="15"/>
      <c r="S152" s="15" t="inlineStr">
        <is>
          <t xml:space="preserve">SRC-TEXT-1KGS; SRC-KINGS-OVERVIEW; SRC-KINGS-BP; SRC-SOLOMON-OVERVIEW; SRC-DIVIDED-MONARCHY</t>
        </is>
      </c>
      <c r="T152" s="15" t="inlineStr">
        <is>
          <t xml:space="preserve">Editorial</t>
        </is>
      </c>
      <c r="U152" s="11" t="inlineStr">
        <is>
          <t xml:space="preserve">Needs Review</t>
        </is>
      </c>
      <c r="V152" s="15"/>
      <c r="W152" s="15" t="inlineStr">
        <is>
          <t xml:space="preserve">Includes Horeb encounter and transition to Elisha.</t>
        </is>
      </c>
    </row>
    <row r="153" ht="34" customHeight="1">
      <c r="A153" s="15" t="inlineStr">
        <is>
          <t xml:space="preserve">v0.2</t>
        </is>
      </c>
      <c r="B153" s="15" t="inlineStr">
        <is>
          <t xml:space="preserve">Bible_Journey_Canon_Map_v0_2_Chronicles_Psalms_Job_1Kings.xlsx</t>
        </is>
      </c>
      <c r="C153" s="15" t="inlineStr">
        <is>
          <t xml:space="preserve">CRS-1KG-019</t>
        </is>
      </c>
      <c r="D153" s="15">
        <v>1350</v>
      </c>
      <c r="E153" s="15">
        <v>2</v>
      </c>
      <c r="F153" s="15" t="inlineStr">
        <is>
          <t xml:space="preserve">1 Kings</t>
        </is>
      </c>
      <c r="G153" s="15" t="inlineStr">
        <is>
          <t xml:space="preserve">Divided Monarchy</t>
        </is>
      </c>
      <c r="H153" s="15" t="inlineStr">
        <is>
          <t xml:space="preserve">Ahab's wars</t>
        </is>
      </c>
      <c r="I153" s="15" t="inlineStr">
        <is>
          <t xml:space="preserve">Ahab's wars with Aram</t>
        </is>
      </c>
      <c r="J153" s="15" t="inlineStr">
        <is>
          <t xml:space="preserve">1 Kings 20</t>
        </is>
      </c>
      <c r="K153" s="15" t="inlineStr">
        <is>
          <t xml:space="preserve">High</t>
        </is>
      </c>
      <c r="L153" s="15" t="inlineStr">
        <is>
          <t xml:space="preserve">High</t>
        </is>
      </c>
      <c r="M153" s="15" t="inlineStr">
        <is>
          <t xml:space="preserve">New main-spine continuation</t>
        </is>
      </c>
      <c r="N153" s="15" t="inlineStr">
        <is>
          <t xml:space="preserve">Read the assigned primary block in full before continuing.</t>
        </is>
      </c>
      <c r="O153" s="15" t="inlineStr">
        <is>
          <t xml:space="preserve">Read primary block; continue to the next chronological set.</t>
        </is>
      </c>
      <c r="P153" s="15" t="inlineStr">
        <is>
          <t xml:space="preserve">No</t>
        </is>
      </c>
      <c r="Q153" s="15" t="inlineStr">
        <is>
          <t xml:space="preserve">Ahab; Prophets &amp; Kings</t>
        </is>
      </c>
      <c r="R153" s="15"/>
      <c r="S153" s="15" t="inlineStr">
        <is>
          <t xml:space="preserve">SRC-TEXT-1KGS; SRC-KINGS-OVERVIEW; SRC-KINGS-BP; SRC-SOLOMON-OVERVIEW; SRC-DIVIDED-MONARCHY</t>
        </is>
      </c>
      <c r="T153" s="15" t="inlineStr">
        <is>
          <t xml:space="preserve">Editorial</t>
        </is>
      </c>
      <c r="U153" s="11" t="inlineStr">
        <is>
          <t xml:space="preserve">Needs Review</t>
        </is>
      </c>
      <c r="V153" s="15"/>
      <c r="W153" s="15" t="inlineStr">
        <is>
          <t xml:space="preserve">Military/political narrative before Naboth and final battle.</t>
        </is>
      </c>
    </row>
    <row r="154" ht="34" customHeight="1">
      <c r="A154" s="15" t="inlineStr">
        <is>
          <t xml:space="preserve">v0.2</t>
        </is>
      </c>
      <c r="B154" s="15" t="inlineStr">
        <is>
          <t xml:space="preserve">Bible_Journey_Canon_Map_v0_2_Chronicles_Psalms_Job_1Kings.xlsx</t>
        </is>
      </c>
      <c r="C154" s="15" t="inlineStr">
        <is>
          <t xml:space="preserve">CRS-1KG-020</t>
        </is>
      </c>
      <c r="D154" s="15">
        <v>1360</v>
      </c>
      <c r="E154" s="15">
        <v>2</v>
      </c>
      <c r="F154" s="15" t="inlineStr">
        <is>
          <t xml:space="preserve">1 Kings</t>
        </is>
      </c>
      <c r="G154" s="15" t="inlineStr">
        <is>
          <t xml:space="preserve">Divided Monarchy</t>
        </is>
      </c>
      <c r="H154" s="15" t="inlineStr">
        <is>
          <t xml:space="preserve">Naboth's vineyard</t>
        </is>
      </c>
      <c r="I154" s="15" t="inlineStr">
        <is>
          <t xml:space="preserve">Naboth's vineyard and Elijah's judgment</t>
        </is>
      </c>
      <c r="J154" s="15" t="inlineStr">
        <is>
          <t xml:space="preserve">1 Kings 21</t>
        </is>
      </c>
      <c r="K154" s="15" t="inlineStr">
        <is>
          <t xml:space="preserve">High</t>
        </is>
      </c>
      <c r="L154" s="15" t="inlineStr">
        <is>
          <t xml:space="preserve">High</t>
        </is>
      </c>
      <c r="M154" s="15" t="inlineStr">
        <is>
          <t xml:space="preserve">New main-spine continuation</t>
        </is>
      </c>
      <c r="N154" s="15" t="inlineStr">
        <is>
          <t xml:space="preserve">Read the assigned primary block in full before continuing.</t>
        </is>
      </c>
      <c r="O154" s="15" t="inlineStr">
        <is>
          <t xml:space="preserve">Read primary block; continue to the next chronological set.</t>
        </is>
      </c>
      <c r="P154" s="15" t="inlineStr">
        <is>
          <t xml:space="preserve">No</t>
        </is>
      </c>
      <c r="Q154" s="15" t="inlineStr">
        <is>
          <t xml:space="preserve">Ahab; Elijah; Justice</t>
        </is>
      </c>
      <c r="R154" s="15"/>
      <c r="S154" s="15" t="inlineStr">
        <is>
          <t xml:space="preserve">SRC-TEXT-1KGS; SRC-KINGS-OVERVIEW; SRC-KINGS-BP; SRC-SOLOMON-OVERVIEW; SRC-DIVIDED-MONARCHY</t>
        </is>
      </c>
      <c r="T154" s="15" t="inlineStr">
        <is>
          <t xml:space="preserve">Editorial</t>
        </is>
      </c>
      <c r="U154" s="11" t="inlineStr">
        <is>
          <t xml:space="preserve">Needs Review</t>
        </is>
      </c>
      <c r="V154" s="15"/>
      <c r="W154" s="15" t="inlineStr">
        <is>
          <t xml:space="preserve">Major prophetic confrontation in Ahab cycle.</t>
        </is>
      </c>
    </row>
    <row r="155" ht="34" customHeight="1">
      <c r="A155" s="15" t="inlineStr">
        <is>
          <t xml:space="preserve">v0.2</t>
        </is>
      </c>
      <c r="B155" s="15" t="inlineStr">
        <is>
          <t xml:space="preserve">Bible_Journey_Canon_Map_v0_2_Chronicles_Psalms_Job_1Kings.xlsx</t>
        </is>
      </c>
      <c r="C155" s="15" t="inlineStr">
        <is>
          <t xml:space="preserve">CRS-1KG-021</t>
        </is>
      </c>
      <c r="D155" s="15">
        <v>1370</v>
      </c>
      <c r="E155" s="15">
        <v>2</v>
      </c>
      <c r="F155" s="15" t="inlineStr">
        <is>
          <t xml:space="preserve">1 Kings</t>
        </is>
      </c>
      <c r="G155" s="15" t="inlineStr">
        <is>
          <t xml:space="preserve">Divided Monarchy</t>
        </is>
      </c>
      <c r="H155" s="15" t="inlineStr">
        <is>
          <t xml:space="preserve">Ahab's death</t>
        </is>
      </c>
      <c r="I155" s="15" t="inlineStr">
        <is>
          <t xml:space="preserve">Micaiah, Ahab's death, and Jehoshaphat</t>
        </is>
      </c>
      <c r="J155" s="15" t="inlineStr">
        <is>
          <t xml:space="preserve">1 Kings 22</t>
        </is>
      </c>
      <c r="K155" s="15" t="inlineStr">
        <is>
          <t xml:space="preserve">High</t>
        </is>
      </c>
      <c r="L155" s="15" t="inlineStr">
        <is>
          <t xml:space="preserve">High</t>
        </is>
      </c>
      <c r="M155" s="15" t="inlineStr">
        <is>
          <t xml:space="preserve">New main-spine continuation</t>
        </is>
      </c>
      <c r="N155" s="15" t="inlineStr">
        <is>
          <t xml:space="preserve">Read the assigned primary block in full before continuing.</t>
        </is>
      </c>
      <c r="O155" s="15" t="inlineStr">
        <is>
          <t xml:space="preserve">Read primary block; continue to the next chronological set.</t>
        </is>
      </c>
      <c r="P155" s="15" t="inlineStr">
        <is>
          <t xml:space="preserve">Yes</t>
        </is>
      </c>
      <c r="Q155" s="15" t="inlineStr">
        <is>
          <t xml:space="preserve">Ahab; Prophets &amp; Kings; Kingdom Divided</t>
        </is>
      </c>
      <c r="R155" s="15"/>
      <c r="S155" s="15" t="inlineStr">
        <is>
          <t xml:space="preserve">SRC-TEXT-1KGS; SRC-KINGS-OVERVIEW; SRC-KINGS-BP; SRC-SOLOMON-OVERVIEW; SRC-DIVIDED-MONARCHY</t>
        </is>
      </c>
      <c r="T155" s="15" t="inlineStr">
        <is>
          <t xml:space="preserve">Editorial</t>
        </is>
      </c>
      <c r="U155" s="11" t="inlineStr">
        <is>
          <t xml:space="preserve">Needs Review</t>
        </is>
      </c>
      <c r="V155" s="15"/>
      <c r="W155" s="15" t="inlineStr">
        <is>
          <t xml:space="preserve">Future dependency: 2 Chronicles 18 offers parallel Ahab/Micaiah material.</t>
        </is>
      </c>
    </row>
    <row r="156" ht="34" customHeight="1">
      <c r="A156" s="15" t="inlineStr">
        <is>
          <t xml:space="preserve">v0.2</t>
        </is>
      </c>
      <c r="B156" s="15" t="inlineStr">
        <is>
          <t xml:space="preserve">Bible_Journey_Canon_Map_v0_2_Chronicles_Psalms_Job_1Kings.xlsx</t>
        </is>
      </c>
      <c r="C156" s="15" t="inlineStr">
        <is>
          <t xml:space="preserve">CRS-1CH-001</t>
        </is>
      </c>
      <c r="D156" s="15"/>
      <c r="E156" s="15">
        <v>2</v>
      </c>
      <c r="F156" s="15" t="inlineStr">
        <is>
          <t xml:space="preserve">1 Chronicles</t>
        </is>
      </c>
      <c r="G156" s="15" t="inlineStr">
        <is>
          <t xml:space="preserve">Genealogical retrospective</t>
        </is>
      </c>
      <c r="H156" s="15" t="inlineStr">
        <is>
          <t xml:space="preserve">Origins through Judah</t>
        </is>
      </c>
      <c r="I156" s="15" t="inlineStr">
        <is>
          <t xml:space="preserve">Genealogies from Adam to Judah</t>
        </is>
      </c>
      <c r="J156" s="15" t="inlineStr">
        <is>
          <t xml:space="preserve">1 Chronicles 1-2</t>
        </is>
      </c>
      <c r="K156" s="15" t="inlineStr">
        <is>
          <t xml:space="preserve">High</t>
        </is>
      </c>
      <c r="L156" s="13" t="inlineStr">
        <is>
          <t xml:space="preserve">Unresolved</t>
        </is>
      </c>
      <c r="M156" s="15" t="inlineStr">
        <is>
          <t xml:space="preserve">Auxiliary collection / no fixed event placement</t>
        </is>
      </c>
      <c r="N156" s="15" t="inlineStr">
        <is>
          <t xml:space="preserve">Read this collection window in full; chronology is disclosed as unresolved or broad.</t>
        </is>
      </c>
      <c r="O156" s="15" t="inlineStr">
        <is>
          <t xml:space="preserve">Offer as an identified collection window; never imply a precise historical date.</t>
        </is>
      </c>
      <c r="P156" s="15" t="inlineStr">
        <is>
          <t xml:space="preserve">No</t>
        </is>
      </c>
      <c r="Q156" s="15" t="inlineStr">
        <is>
          <t xml:space="preserve">Genealogies; Davidic Line</t>
        </is>
      </c>
      <c r="R156" s="15"/>
      <c r="S156" s="15" t="inlineStr">
        <is>
          <t xml:space="preserve">SRC-TEXT-1CHR; SRC-CHRONICLES-OVERVIEW; SRC-CHRONICLES-BP</t>
        </is>
      </c>
      <c r="T156" s="15" t="inlineStr">
        <is>
          <t xml:space="preserve">Editorial</t>
        </is>
      </c>
      <c r="U156" s="11" t="inlineStr">
        <is>
          <t xml:space="preserve">Needs Review</t>
        </is>
      </c>
      <c r="V156" s="15"/>
      <c r="W156" s="15" t="inlineStr">
        <is>
          <t xml:space="preserve">Retrospective genealogies span multiple eras. Treat as a literary/genealogical collection, not a new event after 2 Samuel.</t>
        </is>
      </c>
    </row>
    <row r="157" ht="34" customHeight="1">
      <c r="A157" s="15" t="inlineStr">
        <is>
          <t xml:space="preserve">v0.2</t>
        </is>
      </c>
      <c r="B157" s="15" t="inlineStr">
        <is>
          <t xml:space="preserve">Bible_Journey_Canon_Map_v0_2_Chronicles_Psalms_Job_1Kings.xlsx</t>
        </is>
      </c>
      <c r="C157" s="15" t="inlineStr">
        <is>
          <t xml:space="preserve">CRS-1CH-002</t>
        </is>
      </c>
      <c r="D157" s="15"/>
      <c r="E157" s="15">
        <v>2</v>
      </c>
      <c r="F157" s="15" t="inlineStr">
        <is>
          <t xml:space="preserve">1 Chronicles</t>
        </is>
      </c>
      <c r="G157" s="15" t="inlineStr">
        <is>
          <t xml:space="preserve">Genealogical retrospective</t>
        </is>
      </c>
      <c r="H157" s="15" t="inlineStr">
        <is>
          <t xml:space="preserve">Davidic and Judahite lines</t>
        </is>
      </c>
      <c r="I157" s="15" t="inlineStr">
        <is>
          <t xml:space="preserve">Davidic line and clans of Judah</t>
        </is>
      </c>
      <c r="J157" s="15" t="inlineStr">
        <is>
          <t xml:space="preserve">1 Chronicles 3-4</t>
        </is>
      </c>
      <c r="K157" s="15" t="inlineStr">
        <is>
          <t xml:space="preserve">High</t>
        </is>
      </c>
      <c r="L157" s="13" t="inlineStr">
        <is>
          <t xml:space="preserve">Unresolved</t>
        </is>
      </c>
      <c r="M157" s="15" t="inlineStr">
        <is>
          <t xml:space="preserve">Auxiliary collection / no fixed event placement</t>
        </is>
      </c>
      <c r="N157" s="15" t="inlineStr">
        <is>
          <t xml:space="preserve">Read this collection window in full; chronology is disclosed as unresolved or broad.</t>
        </is>
      </c>
      <c r="O157" s="15" t="inlineStr">
        <is>
          <t xml:space="preserve">Offer as an identified collection window; never imply a precise historical date.</t>
        </is>
      </c>
      <c r="P157" s="15" t="inlineStr">
        <is>
          <t xml:space="preserve">No</t>
        </is>
      </c>
      <c r="Q157" s="15" t="inlineStr">
        <is>
          <t xml:space="preserve">Genealogies; Davidic Line</t>
        </is>
      </c>
      <c r="R157" s="15"/>
      <c r="S157" s="15" t="inlineStr">
        <is>
          <t xml:space="preserve">SRC-TEXT-1CHR; SRC-CHRONICLES-OVERVIEW; SRC-CHRONICLES-BP</t>
        </is>
      </c>
      <c r="T157" s="15" t="inlineStr">
        <is>
          <t xml:space="preserve">Editorial</t>
        </is>
      </c>
      <c r="U157" s="11" t="inlineStr">
        <is>
          <t xml:space="preserve">Needs Review</t>
        </is>
      </c>
      <c r="V157" s="15"/>
      <c r="W157" s="15" t="inlineStr">
        <is>
          <t xml:space="preserve">Includes the Davidic line but also later genealogical material. Do not present as a continuous event chronology.</t>
        </is>
      </c>
    </row>
    <row r="158" ht="34" customHeight="1">
      <c r="A158" s="15" t="inlineStr">
        <is>
          <t xml:space="preserve">v0.2</t>
        </is>
      </c>
      <c r="B158" s="15" t="inlineStr">
        <is>
          <t xml:space="preserve">Bible_Journey_Canon_Map_v0_2_Chronicles_Psalms_Job_1Kings.xlsx</t>
        </is>
      </c>
      <c r="C158" s="15" t="inlineStr">
        <is>
          <t xml:space="preserve">CRS-1CH-003</t>
        </is>
      </c>
      <c r="D158" s="15"/>
      <c r="E158" s="15">
        <v>2</v>
      </c>
      <c r="F158" s="15" t="inlineStr">
        <is>
          <t xml:space="preserve">1 Chronicles</t>
        </is>
      </c>
      <c r="G158" s="15" t="inlineStr">
        <is>
          <t xml:space="preserve">Genealogical retrospective</t>
        </is>
      </c>
      <c r="H158" s="15" t="inlineStr">
        <is>
          <t xml:space="preserve">Tribal lines</t>
        </is>
      </c>
      <c r="I158" s="15" t="inlineStr">
        <is>
          <t xml:space="preserve">Transjordanian tribal lines</t>
        </is>
      </c>
      <c r="J158" s="15" t="inlineStr">
        <is>
          <t xml:space="preserve">1 Chronicles 5</t>
        </is>
      </c>
      <c r="K158" s="15" t="inlineStr">
        <is>
          <t xml:space="preserve">High</t>
        </is>
      </c>
      <c r="L158" s="13" t="inlineStr">
        <is>
          <t xml:space="preserve">Unresolved</t>
        </is>
      </c>
      <c r="M158" s="15" t="inlineStr">
        <is>
          <t xml:space="preserve">Auxiliary collection / no fixed event placement</t>
        </is>
      </c>
      <c r="N158" s="15" t="inlineStr">
        <is>
          <t xml:space="preserve">Read this collection window in full; chronology is disclosed as unresolved or broad.</t>
        </is>
      </c>
      <c r="O158" s="15" t="inlineStr">
        <is>
          <t xml:space="preserve">Offer as an identified collection window; never imply a precise historical date.</t>
        </is>
      </c>
      <c r="P158" s="15" t="inlineStr">
        <is>
          <t xml:space="preserve">No</t>
        </is>
      </c>
      <c r="Q158" s="15" t="inlineStr">
        <is>
          <t xml:space="preserve">Genealogies; Israel's Tribes</t>
        </is>
      </c>
      <c r="R158" s="15"/>
      <c r="S158" s="15" t="inlineStr">
        <is>
          <t xml:space="preserve">SRC-TEXT-1CHR; SRC-CHRONICLES-OVERVIEW; SRC-CHRONICLES-BP</t>
        </is>
      </c>
      <c r="T158" s="15" t="inlineStr">
        <is>
          <t xml:space="preserve">Editorial</t>
        </is>
      </c>
      <c r="U158" s="11" t="inlineStr">
        <is>
          <t xml:space="preserve">Needs Review</t>
        </is>
      </c>
      <c r="V158" s="15"/>
      <c r="W158" s="15" t="inlineStr">
        <is>
          <t xml:space="preserve">Genealogical and tribal retrospective; includes later notices that span several periods.</t>
        </is>
      </c>
    </row>
    <row r="159" ht="34" customHeight="1">
      <c r="A159" s="15" t="inlineStr">
        <is>
          <t xml:space="preserve">v0.2</t>
        </is>
      </c>
      <c r="B159" s="15" t="inlineStr">
        <is>
          <t xml:space="preserve">Bible_Journey_Canon_Map_v0_2_Chronicles_Psalms_Job_1Kings.xlsx</t>
        </is>
      </c>
      <c r="C159" s="15" t="inlineStr">
        <is>
          <t xml:space="preserve">CRS-1CH-004</t>
        </is>
      </c>
      <c r="D159" s="15"/>
      <c r="E159" s="15">
        <v>2</v>
      </c>
      <c r="F159" s="15" t="inlineStr">
        <is>
          <t xml:space="preserve">1 Chronicles</t>
        </is>
      </c>
      <c r="G159" s="15" t="inlineStr">
        <is>
          <t xml:space="preserve">Genealogical retrospective</t>
        </is>
      </c>
      <c r="H159" s="15" t="inlineStr">
        <is>
          <t xml:space="preserve">Levitical and priestly line</t>
        </is>
      </c>
      <c r="I159" s="15" t="inlineStr">
        <is>
          <t xml:space="preserve">Levi, priests, and temple line</t>
        </is>
      </c>
      <c r="J159" s="15" t="inlineStr">
        <is>
          <t xml:space="preserve">1 Chronicles 6</t>
        </is>
      </c>
      <c r="K159" s="15" t="inlineStr">
        <is>
          <t xml:space="preserve">High</t>
        </is>
      </c>
      <c r="L159" s="13" t="inlineStr">
        <is>
          <t xml:space="preserve">Unresolved</t>
        </is>
      </c>
      <c r="M159" s="15" t="inlineStr">
        <is>
          <t xml:space="preserve">Auxiliary collection / no fixed event placement</t>
        </is>
      </c>
      <c r="N159" s="15" t="inlineStr">
        <is>
          <t xml:space="preserve">Read this collection window in full; chronology is disclosed as unresolved or broad.</t>
        </is>
      </c>
      <c r="O159" s="15" t="inlineStr">
        <is>
          <t xml:space="preserve">Offer as an identified collection window; never imply a precise historical date.</t>
        </is>
      </c>
      <c r="P159" s="15" t="inlineStr">
        <is>
          <t xml:space="preserve">No</t>
        </is>
      </c>
      <c r="Q159" s="15" t="inlineStr">
        <is>
          <t xml:space="preserve">Genealogies; Temple &amp; Priesthood</t>
        </is>
      </c>
      <c r="R159" s="15"/>
      <c r="S159" s="15" t="inlineStr">
        <is>
          <t xml:space="preserve">SRC-TEXT-1CHR; SRC-CHRONICLES-OVERVIEW; SRC-CHRONICLES-BP</t>
        </is>
      </c>
      <c r="T159" s="15" t="inlineStr">
        <is>
          <t xml:space="preserve">Editorial</t>
        </is>
      </c>
      <c r="U159" s="11" t="inlineStr">
        <is>
          <t xml:space="preserve">Needs Review</t>
        </is>
      </c>
      <c r="V159" s="15"/>
      <c r="W159" s="15" t="inlineStr">
        <is>
          <t xml:space="preserve">A genealogical account of Levitical and priestly lines; use as contextual support across the temple stream.</t>
        </is>
      </c>
    </row>
    <row r="160" ht="34" customHeight="1">
      <c r="A160" s="15" t="inlineStr">
        <is>
          <t xml:space="preserve">v0.2</t>
        </is>
      </c>
      <c r="B160" s="15" t="inlineStr">
        <is>
          <t xml:space="preserve">Bible_Journey_Canon_Map_v0_2_Chronicles_Psalms_Job_1Kings.xlsx</t>
        </is>
      </c>
      <c r="C160" s="15" t="inlineStr">
        <is>
          <t xml:space="preserve">CRS-1CH-005</t>
        </is>
      </c>
      <c r="D160" s="15"/>
      <c r="E160" s="15">
        <v>2</v>
      </c>
      <c r="F160" s="15" t="inlineStr">
        <is>
          <t xml:space="preserve">1 Chronicles</t>
        </is>
      </c>
      <c r="G160" s="15" t="inlineStr">
        <is>
          <t xml:space="preserve">Genealogical retrospective</t>
        </is>
      </c>
      <c r="H160" s="15" t="inlineStr">
        <is>
          <t xml:space="preserve">Northern tribal lines</t>
        </is>
      </c>
      <c r="I160" s="15" t="inlineStr">
        <is>
          <t xml:space="preserve">Tribal lines and Benjamin</t>
        </is>
      </c>
      <c r="J160" s="15" t="inlineStr">
        <is>
          <t xml:space="preserve">1 Chronicles 7-8</t>
        </is>
      </c>
      <c r="K160" s="15" t="inlineStr">
        <is>
          <t xml:space="preserve">High</t>
        </is>
      </c>
      <c r="L160" s="13" t="inlineStr">
        <is>
          <t xml:space="preserve">Unresolved</t>
        </is>
      </c>
      <c r="M160" s="15" t="inlineStr">
        <is>
          <t xml:space="preserve">Auxiliary collection / no fixed event placement</t>
        </is>
      </c>
      <c r="N160" s="15" t="inlineStr">
        <is>
          <t xml:space="preserve">Read this collection window in full; chronology is disclosed as unresolved or broad.</t>
        </is>
      </c>
      <c r="O160" s="15" t="inlineStr">
        <is>
          <t xml:space="preserve">Offer as an identified collection window; never imply a precise historical date.</t>
        </is>
      </c>
      <c r="P160" s="15" t="inlineStr">
        <is>
          <t xml:space="preserve">No</t>
        </is>
      </c>
      <c r="Q160" s="15" t="inlineStr">
        <is>
          <t xml:space="preserve">Genealogies; Israel's Tribes; Saul</t>
        </is>
      </c>
      <c r="R160" s="15"/>
      <c r="S160" s="15" t="inlineStr">
        <is>
          <t xml:space="preserve">SRC-TEXT-1CHR; SRC-CHRONICLES-OVERVIEW; SRC-CHRONICLES-BP</t>
        </is>
      </c>
      <c r="T160" s="15" t="inlineStr">
        <is>
          <t xml:space="preserve">Editorial</t>
        </is>
      </c>
      <c r="U160" s="11" t="inlineStr">
        <is>
          <t xml:space="preserve">Needs Review</t>
        </is>
      </c>
      <c r="V160" s="15"/>
      <c r="W160" s="15" t="inlineStr">
        <is>
          <t xml:space="preserve">Retrospective tribal material culminating in Benjaminite lines relevant to Saul's house.</t>
        </is>
      </c>
    </row>
    <row r="161" ht="34" customHeight="1">
      <c r="A161" s="15" t="inlineStr">
        <is>
          <t xml:space="preserve">v0.2</t>
        </is>
      </c>
      <c r="B161" s="15" t="inlineStr">
        <is>
          <t xml:space="preserve">Bible_Journey_Canon_Map_v0_2_Chronicles_Psalms_Job_1Kings.xlsx</t>
        </is>
      </c>
      <c r="C161" s="15" t="inlineStr">
        <is>
          <t xml:space="preserve">CRS-1CH-006</t>
        </is>
      </c>
      <c r="D161" s="15"/>
      <c r="E161" s="15">
        <v>2</v>
      </c>
      <c r="F161" s="15" t="inlineStr">
        <is>
          <t xml:space="preserve">1 Chronicles</t>
        </is>
      </c>
      <c r="G161" s="15" t="inlineStr">
        <is>
          <t xml:space="preserve">Postexilic retrospective</t>
        </is>
      </c>
      <c r="H161" s="15" t="inlineStr">
        <is>
          <t xml:space="preserve">Jerusalem and temple personnel</t>
        </is>
      </c>
      <c r="I161" s="15" t="inlineStr">
        <is>
          <t xml:space="preserve">Postexilic Jerusalem and temple personnel</t>
        </is>
      </c>
      <c r="J161" s="15" t="inlineStr">
        <is>
          <t xml:space="preserve">1 Chronicles 9</t>
        </is>
      </c>
      <c r="K161" s="15" t="inlineStr">
        <is>
          <t xml:space="preserve">High</t>
        </is>
      </c>
      <c r="L161" s="13" t="inlineStr">
        <is>
          <t xml:space="preserve">Unresolved</t>
        </is>
      </c>
      <c r="M161" s="15" t="inlineStr">
        <is>
          <t xml:space="preserve">Auxiliary collection / postexilic retrospective</t>
        </is>
      </c>
      <c r="N161" s="15" t="inlineStr">
        <is>
          <t xml:space="preserve">Read this collection window in full; chronology is disclosed as unresolved or broad.</t>
        </is>
      </c>
      <c r="O161" s="15" t="inlineStr">
        <is>
          <t xml:space="preserve">Offer as an identified collection window; never imply a precise historical date.</t>
        </is>
      </c>
      <c r="P161" s="15" t="inlineStr">
        <is>
          <t xml:space="preserve">No</t>
        </is>
      </c>
      <c r="Q161" s="15" t="inlineStr">
        <is>
          <t xml:space="preserve">Genealogies; Temple &amp; Priesthood</t>
        </is>
      </c>
      <c r="R161" s="15"/>
      <c r="S161" s="15" t="inlineStr">
        <is>
          <t xml:space="preserve">SRC-TEXT-1CHR; SRC-CHRONICLES-OVERVIEW; SRC-CHRONICLES-BP</t>
        </is>
      </c>
      <c r="T161" s="15" t="inlineStr">
        <is>
          <t xml:space="preserve">Editorial</t>
        </is>
      </c>
      <c r="U161" s="11" t="inlineStr">
        <is>
          <t xml:space="preserve">Needs Review</t>
        </is>
      </c>
      <c r="V161" s="15"/>
      <c r="W161" s="15" t="inlineStr">
        <is>
          <t xml:space="preserve">Chronicles turns from broad genealogy to postexilic Jerusalem residents and temple personnel. Keep separate from David-era chronology.</t>
        </is>
      </c>
    </row>
    <row r="162" ht="34" customHeight="1">
      <c r="A162" s="15" t="inlineStr">
        <is>
          <t xml:space="preserve">v0.2</t>
        </is>
      </c>
      <c r="B162" s="15" t="inlineStr">
        <is>
          <t xml:space="preserve">Bible_Journey_Canon_Map_v0_2_Chronicles_Psalms_Job_1Kings.xlsx</t>
        </is>
      </c>
      <c r="C162" s="15" t="inlineStr">
        <is>
          <t xml:space="preserve">CRS-JOB-001</t>
        </is>
      </c>
      <c r="D162" s="15"/>
      <c r="E162" s="15">
        <v>2</v>
      </c>
      <c r="F162" s="15" t="inlineStr">
        <is>
          <t xml:space="preserve">Job</t>
        </is>
      </c>
      <c r="G162" s="15" t="inlineStr">
        <is>
          <t xml:space="preserve">Wisdom literature / chronology unresolved</t>
        </is>
      </c>
      <c r="H162" s="15" t="inlineStr">
        <is>
          <t xml:space="preserve">Prologue</t>
        </is>
      </c>
      <c r="I162" s="15" t="inlineStr">
        <is>
          <t xml:space="preserve">Job's integrity, losses, and the heavenly challenge</t>
        </is>
      </c>
      <c r="J162" s="15" t="inlineStr">
        <is>
          <t xml:space="preserve">Job 1-2</t>
        </is>
      </c>
      <c r="K162" s="15" t="inlineStr">
        <is>
          <t xml:space="preserve">High</t>
        </is>
      </c>
      <c r="L162" s="13" t="inlineStr">
        <is>
          <t xml:space="preserve">Unresolved</t>
        </is>
      </c>
      <c r="M162" s="15" t="inlineStr">
        <is>
          <t xml:space="preserve">Auxiliary collection / chronology unresolved</t>
        </is>
      </c>
      <c r="N162" s="15" t="inlineStr">
        <is>
          <t xml:space="preserve">Read this collection window in full; chronology is disclosed as unresolved or broad.</t>
        </is>
      </c>
      <c r="O162" s="15" t="inlineStr">
        <is>
          <t xml:space="preserve">Offer as an identified collection window; never imply a precise historical date.</t>
        </is>
      </c>
      <c r="P162" s="15" t="inlineStr">
        <is>
          <t xml:space="preserve">No</t>
        </is>
      </c>
      <c r="Q162" s="15" t="inlineStr">
        <is>
          <t xml:space="preserve">Job; Wisdom &amp; Suffering</t>
        </is>
      </c>
      <c r="R162" s="15"/>
      <c r="S162" s="15" t="inlineStr">
        <is>
          <t xml:space="preserve">SRC-TEXT-JOB; SRC-JOB-AUTHORSHIP; SRC-JOB-OVERVIEW</t>
        </is>
      </c>
      <c r="T162" s="15" t="inlineStr">
        <is>
          <t xml:space="preserve">Editorial</t>
        </is>
      </c>
      <c r="U162" s="11" t="inlineStr">
        <is>
          <t xml:space="preserve">Needs Review</t>
        </is>
      </c>
      <c r="V162" s="15"/>
      <c r="W162" s="15" t="inlineStr">
        <is>
          <t xml:space="preserve">Book-level reading set. The narrative is internally sequential, but its placement within the larger biblical timeline is unresolved and must remain disclosed.</t>
        </is>
      </c>
    </row>
    <row r="163" ht="34" customHeight="1">
      <c r="A163" s="15" t="inlineStr">
        <is>
          <t xml:space="preserve">v0.2</t>
        </is>
      </c>
      <c r="B163" s="15" t="inlineStr">
        <is>
          <t xml:space="preserve">Bible_Journey_Canon_Map_v0_2_Chronicles_Psalms_Job_1Kings.xlsx</t>
        </is>
      </c>
      <c r="C163" s="15" t="inlineStr">
        <is>
          <t xml:space="preserve">CRS-JOB-002</t>
        </is>
      </c>
      <c r="D163" s="15"/>
      <c r="E163" s="15">
        <v>2</v>
      </c>
      <c r="F163" s="15" t="inlineStr">
        <is>
          <t xml:space="preserve">Job</t>
        </is>
      </c>
      <c r="G163" s="15" t="inlineStr">
        <is>
          <t xml:space="preserve">Wisdom literature / chronology unresolved</t>
        </is>
      </c>
      <c r="H163" s="15" t="inlineStr">
        <is>
          <t xml:space="preserve">Lament</t>
        </is>
      </c>
      <c r="I163" s="15" t="inlineStr">
        <is>
          <t xml:space="preserve">Job curses the day of his birth</t>
        </is>
      </c>
      <c r="J163" s="15" t="inlineStr">
        <is>
          <t xml:space="preserve">Job 3</t>
        </is>
      </c>
      <c r="K163" s="15" t="inlineStr">
        <is>
          <t xml:space="preserve">High</t>
        </is>
      </c>
      <c r="L163" s="13" t="inlineStr">
        <is>
          <t xml:space="preserve">Unresolved</t>
        </is>
      </c>
      <c r="M163" s="15" t="inlineStr">
        <is>
          <t xml:space="preserve">Auxiliary collection / chronology unresolved</t>
        </is>
      </c>
      <c r="N163" s="15" t="inlineStr">
        <is>
          <t xml:space="preserve">Read this collection window in full; chronology is disclosed as unresolved or broad.</t>
        </is>
      </c>
      <c r="O163" s="15" t="inlineStr">
        <is>
          <t xml:space="preserve">Offer as an identified collection window; never imply a precise historical date.</t>
        </is>
      </c>
      <c r="P163" s="15" t="inlineStr">
        <is>
          <t xml:space="preserve">No</t>
        </is>
      </c>
      <c r="Q163" s="15" t="inlineStr">
        <is>
          <t xml:space="preserve">Job; Wisdom &amp; Suffering</t>
        </is>
      </c>
      <c r="R163" s="15"/>
      <c r="S163" s="15" t="inlineStr">
        <is>
          <t xml:space="preserve">SRC-TEXT-JOB; SRC-JOB-AUTHORSHIP; SRC-JOB-OVERVIEW</t>
        </is>
      </c>
      <c r="T163" s="15" t="inlineStr">
        <is>
          <t xml:space="preserve">Editorial</t>
        </is>
      </c>
      <c r="U163" s="11" t="inlineStr">
        <is>
          <t xml:space="preserve">Needs Review</t>
        </is>
      </c>
      <c r="V163" s="15"/>
      <c r="W163" s="15" t="inlineStr">
        <is>
          <t xml:space="preserve">Book-level reading set. The narrative is internally sequential, but its placement within the larger biblical timeline is unresolved and must remain disclosed.</t>
        </is>
      </c>
    </row>
    <row r="164" ht="34" customHeight="1">
      <c r="A164" s="15" t="inlineStr">
        <is>
          <t xml:space="preserve">v0.2</t>
        </is>
      </c>
      <c r="B164" s="15" t="inlineStr">
        <is>
          <t xml:space="preserve">Bible_Journey_Canon_Map_v0_2_Chronicles_Psalms_Job_1Kings.xlsx</t>
        </is>
      </c>
      <c r="C164" s="15" t="inlineStr">
        <is>
          <t xml:space="preserve">CRS-JOB-003</t>
        </is>
      </c>
      <c r="D164" s="15"/>
      <c r="E164" s="15">
        <v>2</v>
      </c>
      <c r="F164" s="15" t="inlineStr">
        <is>
          <t xml:space="preserve">Job</t>
        </is>
      </c>
      <c r="G164" s="15" t="inlineStr">
        <is>
          <t xml:space="preserve">Wisdom literature / chronology unresolved</t>
        </is>
      </c>
      <c r="H164" s="15" t="inlineStr">
        <is>
          <t xml:space="preserve">First dialogue cycle</t>
        </is>
      </c>
      <c r="I164" s="15" t="inlineStr">
        <is>
          <t xml:space="preserve">First cycle of speeches: Job and his friends</t>
        </is>
      </c>
      <c r="J164" s="15" t="inlineStr">
        <is>
          <t xml:space="preserve">Job 4-14</t>
        </is>
      </c>
      <c r="K164" s="15" t="inlineStr">
        <is>
          <t xml:space="preserve">High</t>
        </is>
      </c>
      <c r="L164" s="13" t="inlineStr">
        <is>
          <t xml:space="preserve">Unresolved</t>
        </is>
      </c>
      <c r="M164" s="15" t="inlineStr">
        <is>
          <t xml:space="preserve">Auxiliary collection / chronology unresolved</t>
        </is>
      </c>
      <c r="N164" s="15" t="inlineStr">
        <is>
          <t xml:space="preserve">Read this collection window in full; chronology is disclosed as unresolved or broad.</t>
        </is>
      </c>
      <c r="O164" s="15" t="inlineStr">
        <is>
          <t xml:space="preserve">Offer as an identified collection window; never imply a precise historical date.</t>
        </is>
      </c>
      <c r="P164" s="15" t="inlineStr">
        <is>
          <t xml:space="preserve">No</t>
        </is>
      </c>
      <c r="Q164" s="15" t="inlineStr">
        <is>
          <t xml:space="preserve">Job; Wisdom &amp; Suffering</t>
        </is>
      </c>
      <c r="R164" s="15"/>
      <c r="S164" s="15" t="inlineStr">
        <is>
          <t xml:space="preserve">SRC-TEXT-JOB; SRC-JOB-AUTHORSHIP; SRC-JOB-OVERVIEW</t>
        </is>
      </c>
      <c r="T164" s="15" t="inlineStr">
        <is>
          <t xml:space="preserve">Editorial</t>
        </is>
      </c>
      <c r="U164" s="11" t="inlineStr">
        <is>
          <t xml:space="preserve">Needs Review</t>
        </is>
      </c>
      <c r="V164" s="15"/>
      <c r="W164" s="15" t="inlineStr">
        <is>
          <t xml:space="preserve">Book-level reading set. The narrative is internally sequential, but its placement within the larger biblical timeline is unresolved and must remain disclosed.</t>
        </is>
      </c>
    </row>
    <row r="165" ht="34" customHeight="1">
      <c r="A165" s="15" t="inlineStr">
        <is>
          <t xml:space="preserve">v0.2</t>
        </is>
      </c>
      <c r="B165" s="15" t="inlineStr">
        <is>
          <t xml:space="preserve">Bible_Journey_Canon_Map_v0_2_Chronicles_Psalms_Job_1Kings.xlsx</t>
        </is>
      </c>
      <c r="C165" s="15" t="inlineStr">
        <is>
          <t xml:space="preserve">CRS-JOB-004</t>
        </is>
      </c>
      <c r="D165" s="15"/>
      <c r="E165" s="15">
        <v>2</v>
      </c>
      <c r="F165" s="15" t="inlineStr">
        <is>
          <t xml:space="preserve">Job</t>
        </is>
      </c>
      <c r="G165" s="15" t="inlineStr">
        <is>
          <t xml:space="preserve">Wisdom literature / chronology unresolved</t>
        </is>
      </c>
      <c r="H165" s="15" t="inlineStr">
        <is>
          <t xml:space="preserve">Second dialogue cycle</t>
        </is>
      </c>
      <c r="I165" s="15" t="inlineStr">
        <is>
          <t xml:space="preserve">Second cycle of speeches: Job and his friends</t>
        </is>
      </c>
      <c r="J165" s="15" t="inlineStr">
        <is>
          <t xml:space="preserve">Job 15-21</t>
        </is>
      </c>
      <c r="K165" s="15" t="inlineStr">
        <is>
          <t xml:space="preserve">High</t>
        </is>
      </c>
      <c r="L165" s="13" t="inlineStr">
        <is>
          <t xml:space="preserve">Unresolved</t>
        </is>
      </c>
      <c r="M165" s="15" t="inlineStr">
        <is>
          <t xml:space="preserve">Auxiliary collection / chronology unresolved</t>
        </is>
      </c>
      <c r="N165" s="15" t="inlineStr">
        <is>
          <t xml:space="preserve">Read this collection window in full; chronology is disclosed as unresolved or broad.</t>
        </is>
      </c>
      <c r="O165" s="15" t="inlineStr">
        <is>
          <t xml:space="preserve">Offer as an identified collection window; never imply a precise historical date.</t>
        </is>
      </c>
      <c r="P165" s="15" t="inlineStr">
        <is>
          <t xml:space="preserve">No</t>
        </is>
      </c>
      <c r="Q165" s="15" t="inlineStr">
        <is>
          <t xml:space="preserve">Job; Wisdom &amp; Suffering</t>
        </is>
      </c>
      <c r="R165" s="15"/>
      <c r="S165" s="15" t="inlineStr">
        <is>
          <t xml:space="preserve">SRC-TEXT-JOB; SRC-JOB-AUTHORSHIP; SRC-JOB-OVERVIEW</t>
        </is>
      </c>
      <c r="T165" s="15" t="inlineStr">
        <is>
          <t xml:space="preserve">Editorial</t>
        </is>
      </c>
      <c r="U165" s="11" t="inlineStr">
        <is>
          <t xml:space="preserve">Needs Review</t>
        </is>
      </c>
      <c r="V165" s="15"/>
      <c r="W165" s="15" t="inlineStr">
        <is>
          <t xml:space="preserve">Book-level reading set. The narrative is internally sequential, but its placement within the larger biblical timeline is unresolved and must remain disclosed.</t>
        </is>
      </c>
    </row>
    <row r="166" ht="34" customHeight="1">
      <c r="A166" s="15" t="inlineStr">
        <is>
          <t xml:space="preserve">v0.2</t>
        </is>
      </c>
      <c r="B166" s="15" t="inlineStr">
        <is>
          <t xml:space="preserve">Bible_Journey_Canon_Map_v0_2_Chronicles_Psalms_Job_1Kings.xlsx</t>
        </is>
      </c>
      <c r="C166" s="15" t="inlineStr">
        <is>
          <t xml:space="preserve">CRS-JOB-005</t>
        </is>
      </c>
      <c r="D166" s="15"/>
      <c r="E166" s="15">
        <v>2</v>
      </c>
      <c r="F166" s="15" t="inlineStr">
        <is>
          <t xml:space="preserve">Job</t>
        </is>
      </c>
      <c r="G166" s="15" t="inlineStr">
        <is>
          <t xml:space="preserve">Wisdom literature / chronology unresolved</t>
        </is>
      </c>
      <c r="H166" s="15" t="inlineStr">
        <is>
          <t xml:space="preserve">Third dialogue cycle</t>
        </is>
      </c>
      <c r="I166" s="15" t="inlineStr">
        <is>
          <t xml:space="preserve">Third cycle of speeches and Job's response</t>
        </is>
      </c>
      <c r="J166" s="15" t="inlineStr">
        <is>
          <t xml:space="preserve">Job 22-27</t>
        </is>
      </c>
      <c r="K166" s="15" t="inlineStr">
        <is>
          <t xml:space="preserve">High</t>
        </is>
      </c>
      <c r="L166" s="13" t="inlineStr">
        <is>
          <t xml:space="preserve">Unresolved</t>
        </is>
      </c>
      <c r="M166" s="15" t="inlineStr">
        <is>
          <t xml:space="preserve">Auxiliary collection / chronology unresolved</t>
        </is>
      </c>
      <c r="N166" s="15" t="inlineStr">
        <is>
          <t xml:space="preserve">Read this collection window in full; chronology is disclosed as unresolved or broad.</t>
        </is>
      </c>
      <c r="O166" s="15" t="inlineStr">
        <is>
          <t xml:space="preserve">Offer as an identified collection window; never imply a precise historical date.</t>
        </is>
      </c>
      <c r="P166" s="15" t="inlineStr">
        <is>
          <t xml:space="preserve">No</t>
        </is>
      </c>
      <c r="Q166" s="15" t="inlineStr">
        <is>
          <t xml:space="preserve">Job; Wisdom &amp; Suffering</t>
        </is>
      </c>
      <c r="R166" s="15"/>
      <c r="S166" s="15" t="inlineStr">
        <is>
          <t xml:space="preserve">SRC-TEXT-JOB; SRC-JOB-AUTHORSHIP; SRC-JOB-OVERVIEW</t>
        </is>
      </c>
      <c r="T166" s="15" t="inlineStr">
        <is>
          <t xml:space="preserve">Editorial</t>
        </is>
      </c>
      <c r="U166" s="11" t="inlineStr">
        <is>
          <t xml:space="preserve">Needs Review</t>
        </is>
      </c>
      <c r="V166" s="15"/>
      <c r="W166" s="15" t="inlineStr">
        <is>
          <t xml:space="preserve">Book-level reading set. The narrative is internally sequential, but its placement within the larger biblical timeline is unresolved and must remain disclosed.</t>
        </is>
      </c>
    </row>
    <row r="167" ht="34" customHeight="1">
      <c r="A167" s="15" t="inlineStr">
        <is>
          <t xml:space="preserve">v0.2</t>
        </is>
      </c>
      <c r="B167" s="15" t="inlineStr">
        <is>
          <t xml:space="preserve">Bible_Journey_Canon_Map_v0_2_Chronicles_Psalms_Job_1Kings.xlsx</t>
        </is>
      </c>
      <c r="C167" s="15" t="inlineStr">
        <is>
          <t xml:space="preserve">CRS-JOB-006</t>
        </is>
      </c>
      <c r="D167" s="15"/>
      <c r="E167" s="15">
        <v>2</v>
      </c>
      <c r="F167" s="15" t="inlineStr">
        <is>
          <t xml:space="preserve">Job</t>
        </is>
      </c>
      <c r="G167" s="15" t="inlineStr">
        <is>
          <t xml:space="preserve">Wisdom literature / chronology unresolved</t>
        </is>
      </c>
      <c r="H167" s="15" t="inlineStr">
        <is>
          <t xml:space="preserve">Wisdom poem</t>
        </is>
      </c>
      <c r="I167" s="15" t="inlineStr">
        <is>
          <t xml:space="preserve">The hymn to wisdom</t>
        </is>
      </c>
      <c r="J167" s="15" t="inlineStr">
        <is>
          <t xml:space="preserve">Job 28</t>
        </is>
      </c>
      <c r="K167" s="15" t="inlineStr">
        <is>
          <t xml:space="preserve">High</t>
        </is>
      </c>
      <c r="L167" s="13" t="inlineStr">
        <is>
          <t xml:space="preserve">Unresolved</t>
        </is>
      </c>
      <c r="M167" s="15" t="inlineStr">
        <is>
          <t xml:space="preserve">Auxiliary collection / chronology unresolved</t>
        </is>
      </c>
      <c r="N167" s="15" t="inlineStr">
        <is>
          <t xml:space="preserve">Read this collection window in full; chronology is disclosed as unresolved or broad.</t>
        </is>
      </c>
      <c r="O167" s="15" t="inlineStr">
        <is>
          <t xml:space="preserve">Offer as an identified collection window; never imply a precise historical date.</t>
        </is>
      </c>
      <c r="P167" s="15" t="inlineStr">
        <is>
          <t xml:space="preserve">No</t>
        </is>
      </c>
      <c r="Q167" s="15" t="inlineStr">
        <is>
          <t xml:space="preserve">Job; Wisdom &amp; Suffering</t>
        </is>
      </c>
      <c r="R167" s="15"/>
      <c r="S167" s="15" t="inlineStr">
        <is>
          <t xml:space="preserve">SRC-TEXT-JOB; SRC-JOB-AUTHORSHIP; SRC-JOB-OVERVIEW</t>
        </is>
      </c>
      <c r="T167" s="15" t="inlineStr">
        <is>
          <t xml:space="preserve">Editorial</t>
        </is>
      </c>
      <c r="U167" s="11" t="inlineStr">
        <is>
          <t xml:space="preserve">Needs Review</t>
        </is>
      </c>
      <c r="V167" s="15"/>
      <c r="W167" s="15" t="inlineStr">
        <is>
          <t xml:space="preserve">Book-level reading set. The narrative is internally sequential, but its placement within the larger biblical timeline is unresolved and must remain disclosed.</t>
        </is>
      </c>
    </row>
    <row r="168" ht="34" customHeight="1">
      <c r="A168" s="15" t="inlineStr">
        <is>
          <t xml:space="preserve">v0.2</t>
        </is>
      </c>
      <c r="B168" s="15" t="inlineStr">
        <is>
          <t xml:space="preserve">Bible_Journey_Canon_Map_v0_2_Chronicles_Psalms_Job_1Kings.xlsx</t>
        </is>
      </c>
      <c r="C168" s="15" t="inlineStr">
        <is>
          <t xml:space="preserve">CRS-JOB-007</t>
        </is>
      </c>
      <c r="D168" s="15"/>
      <c r="E168" s="15">
        <v>2</v>
      </c>
      <c r="F168" s="15" t="inlineStr">
        <is>
          <t xml:space="preserve">Job</t>
        </is>
      </c>
      <c r="G168" s="15" t="inlineStr">
        <is>
          <t xml:space="preserve">Wisdom literature / chronology unresolved</t>
        </is>
      </c>
      <c r="H168" s="15" t="inlineStr">
        <is>
          <t xml:space="preserve">Job's final defense</t>
        </is>
      </c>
      <c r="I168" s="15" t="inlineStr">
        <is>
          <t xml:space="preserve">Job's remembrance, protest, and oath of innocence</t>
        </is>
      </c>
      <c r="J168" s="15" t="inlineStr">
        <is>
          <t xml:space="preserve">Job 29-31</t>
        </is>
      </c>
      <c r="K168" s="15" t="inlineStr">
        <is>
          <t xml:space="preserve">High</t>
        </is>
      </c>
      <c r="L168" s="13" t="inlineStr">
        <is>
          <t xml:space="preserve">Unresolved</t>
        </is>
      </c>
      <c r="M168" s="15" t="inlineStr">
        <is>
          <t xml:space="preserve">Auxiliary collection / chronology unresolved</t>
        </is>
      </c>
      <c r="N168" s="15" t="inlineStr">
        <is>
          <t xml:space="preserve">Read this collection window in full; chronology is disclosed as unresolved or broad.</t>
        </is>
      </c>
      <c r="O168" s="15" t="inlineStr">
        <is>
          <t xml:space="preserve">Offer as an identified collection window; never imply a precise historical date.</t>
        </is>
      </c>
      <c r="P168" s="15" t="inlineStr">
        <is>
          <t xml:space="preserve">No</t>
        </is>
      </c>
      <c r="Q168" s="15" t="inlineStr">
        <is>
          <t xml:space="preserve">Job; Wisdom &amp; Suffering</t>
        </is>
      </c>
      <c r="R168" s="15"/>
      <c r="S168" s="15" t="inlineStr">
        <is>
          <t xml:space="preserve">SRC-TEXT-JOB; SRC-JOB-AUTHORSHIP; SRC-JOB-OVERVIEW</t>
        </is>
      </c>
      <c r="T168" s="15" t="inlineStr">
        <is>
          <t xml:space="preserve">Editorial</t>
        </is>
      </c>
      <c r="U168" s="11" t="inlineStr">
        <is>
          <t xml:space="preserve">Needs Review</t>
        </is>
      </c>
      <c r="V168" s="15"/>
      <c r="W168" s="15" t="inlineStr">
        <is>
          <t xml:space="preserve">Book-level reading set. The narrative is internally sequential, but its placement within the larger biblical timeline is unresolved and must remain disclosed.</t>
        </is>
      </c>
    </row>
    <row r="169" ht="34" customHeight="1">
      <c r="A169" s="15" t="inlineStr">
        <is>
          <t xml:space="preserve">v0.2</t>
        </is>
      </c>
      <c r="B169" s="15" t="inlineStr">
        <is>
          <t xml:space="preserve">Bible_Journey_Canon_Map_v0_2_Chronicles_Psalms_Job_1Kings.xlsx</t>
        </is>
      </c>
      <c r="C169" s="15" t="inlineStr">
        <is>
          <t xml:space="preserve">CRS-JOB-008</t>
        </is>
      </c>
      <c r="D169" s="15"/>
      <c r="E169" s="15">
        <v>2</v>
      </c>
      <c r="F169" s="15" t="inlineStr">
        <is>
          <t xml:space="preserve">Job</t>
        </is>
      </c>
      <c r="G169" s="15" t="inlineStr">
        <is>
          <t xml:space="preserve">Wisdom literature / chronology unresolved</t>
        </is>
      </c>
      <c r="H169" s="15" t="inlineStr">
        <is>
          <t xml:space="preserve">Elihu</t>
        </is>
      </c>
      <c r="I169" s="15" t="inlineStr">
        <is>
          <t xml:space="preserve">Elihu's speeches</t>
        </is>
      </c>
      <c r="J169" s="15" t="inlineStr">
        <is>
          <t xml:space="preserve">Job 32-37</t>
        </is>
      </c>
      <c r="K169" s="15" t="inlineStr">
        <is>
          <t xml:space="preserve">High</t>
        </is>
      </c>
      <c r="L169" s="13" t="inlineStr">
        <is>
          <t xml:space="preserve">Unresolved</t>
        </is>
      </c>
      <c r="M169" s="15" t="inlineStr">
        <is>
          <t xml:space="preserve">Auxiliary collection / chronology unresolved</t>
        </is>
      </c>
      <c r="N169" s="15" t="inlineStr">
        <is>
          <t xml:space="preserve">Read this collection window in full; chronology is disclosed as unresolved or broad.</t>
        </is>
      </c>
      <c r="O169" s="15" t="inlineStr">
        <is>
          <t xml:space="preserve">Offer as an identified collection window; never imply a precise historical date.</t>
        </is>
      </c>
      <c r="P169" s="15" t="inlineStr">
        <is>
          <t xml:space="preserve">No</t>
        </is>
      </c>
      <c r="Q169" s="15" t="inlineStr">
        <is>
          <t xml:space="preserve">Job; Wisdom &amp; Suffering</t>
        </is>
      </c>
      <c r="R169" s="15"/>
      <c r="S169" s="15" t="inlineStr">
        <is>
          <t xml:space="preserve">SRC-TEXT-JOB; SRC-JOB-AUTHORSHIP; SRC-JOB-OVERVIEW</t>
        </is>
      </c>
      <c r="T169" s="15" t="inlineStr">
        <is>
          <t xml:space="preserve">Editorial</t>
        </is>
      </c>
      <c r="U169" s="11" t="inlineStr">
        <is>
          <t xml:space="preserve">Needs Review</t>
        </is>
      </c>
      <c r="V169" s="15"/>
      <c r="W169" s="15" t="inlineStr">
        <is>
          <t xml:space="preserve">Book-level reading set. The narrative is internally sequential, but its placement within the larger biblical timeline is unresolved and must remain disclosed.</t>
        </is>
      </c>
    </row>
    <row r="170" ht="34" customHeight="1">
      <c r="A170" s="15" t="inlineStr">
        <is>
          <t xml:space="preserve">v0.2</t>
        </is>
      </c>
      <c r="B170" s="15" t="inlineStr">
        <is>
          <t xml:space="preserve">Bible_Journey_Canon_Map_v0_2_Chronicles_Psalms_Job_1Kings.xlsx</t>
        </is>
      </c>
      <c r="C170" s="15" t="inlineStr">
        <is>
          <t xml:space="preserve">CRS-JOB-009</t>
        </is>
      </c>
      <c r="D170" s="15"/>
      <c r="E170" s="15">
        <v>2</v>
      </c>
      <c r="F170" s="15" t="inlineStr">
        <is>
          <t xml:space="preserve">Job</t>
        </is>
      </c>
      <c r="G170" s="15" t="inlineStr">
        <is>
          <t xml:space="preserve">Wisdom literature / chronology unresolved</t>
        </is>
      </c>
      <c r="H170" s="15" t="inlineStr">
        <is>
          <t xml:space="preserve">Divine speeches</t>
        </is>
      </c>
      <c r="I170" s="15" t="inlineStr">
        <is>
          <t xml:space="preserve">The LORD answers Job from the whirlwind</t>
        </is>
      </c>
      <c r="J170" s="15" t="inlineStr">
        <is>
          <t xml:space="preserve">Job 38-41</t>
        </is>
      </c>
      <c r="K170" s="15" t="inlineStr">
        <is>
          <t xml:space="preserve">High</t>
        </is>
      </c>
      <c r="L170" s="13" t="inlineStr">
        <is>
          <t xml:space="preserve">Unresolved</t>
        </is>
      </c>
      <c r="M170" s="15" t="inlineStr">
        <is>
          <t xml:space="preserve">Auxiliary collection / chronology unresolved</t>
        </is>
      </c>
      <c r="N170" s="15" t="inlineStr">
        <is>
          <t xml:space="preserve">Read this collection window in full; chronology is disclosed as unresolved or broad.</t>
        </is>
      </c>
      <c r="O170" s="15" t="inlineStr">
        <is>
          <t xml:space="preserve">Offer as an identified collection window; never imply a precise historical date.</t>
        </is>
      </c>
      <c r="P170" s="15" t="inlineStr">
        <is>
          <t xml:space="preserve">No</t>
        </is>
      </c>
      <c r="Q170" s="15" t="inlineStr">
        <is>
          <t xml:space="preserve">Job; Wisdom &amp; Suffering</t>
        </is>
      </c>
      <c r="R170" s="15"/>
      <c r="S170" s="15" t="inlineStr">
        <is>
          <t xml:space="preserve">SRC-TEXT-JOB; SRC-JOB-AUTHORSHIP; SRC-JOB-OVERVIEW</t>
        </is>
      </c>
      <c r="T170" s="15" t="inlineStr">
        <is>
          <t xml:space="preserve">Editorial</t>
        </is>
      </c>
      <c r="U170" s="11" t="inlineStr">
        <is>
          <t xml:space="preserve">Needs Review</t>
        </is>
      </c>
      <c r="V170" s="15"/>
      <c r="W170" s="15" t="inlineStr">
        <is>
          <t xml:space="preserve">Book-level reading set. The narrative is internally sequential, but its placement within the larger biblical timeline is unresolved and must remain disclosed.</t>
        </is>
      </c>
    </row>
    <row r="171" ht="34" customHeight="1">
      <c r="A171" s="15" t="inlineStr">
        <is>
          <t xml:space="preserve">v0.2</t>
        </is>
      </c>
      <c r="B171" s="15" t="inlineStr">
        <is>
          <t xml:space="preserve">Bible_Journey_Canon_Map_v0_2_Chronicles_Psalms_Job_1Kings.xlsx</t>
        </is>
      </c>
      <c r="C171" s="15" t="inlineStr">
        <is>
          <t xml:space="preserve">CRS-JOB-010</t>
        </is>
      </c>
      <c r="D171" s="15"/>
      <c r="E171" s="15">
        <v>2</v>
      </c>
      <c r="F171" s="15" t="inlineStr">
        <is>
          <t xml:space="preserve">Job</t>
        </is>
      </c>
      <c r="G171" s="15" t="inlineStr">
        <is>
          <t xml:space="preserve">Wisdom literature / chronology unresolved</t>
        </is>
      </c>
      <c r="H171" s="15" t="inlineStr">
        <is>
          <t xml:space="preserve">Epilogue</t>
        </is>
      </c>
      <c r="I171" s="15" t="inlineStr">
        <is>
          <t xml:space="preserve">Job's restoration and final years</t>
        </is>
      </c>
      <c r="J171" s="15" t="inlineStr">
        <is>
          <t xml:space="preserve">Job 42</t>
        </is>
      </c>
      <c r="K171" s="15" t="inlineStr">
        <is>
          <t xml:space="preserve">High</t>
        </is>
      </c>
      <c r="L171" s="13" t="inlineStr">
        <is>
          <t xml:space="preserve">Unresolved</t>
        </is>
      </c>
      <c r="M171" s="15" t="inlineStr">
        <is>
          <t xml:space="preserve">Auxiliary collection / chronology unresolved</t>
        </is>
      </c>
      <c r="N171" s="15" t="inlineStr">
        <is>
          <t xml:space="preserve">Read this collection window in full; chronology is disclosed as unresolved or broad.</t>
        </is>
      </c>
      <c r="O171" s="15" t="inlineStr">
        <is>
          <t xml:space="preserve">Offer as an identified collection window; never imply a precise historical date.</t>
        </is>
      </c>
      <c r="P171" s="15" t="inlineStr">
        <is>
          <t xml:space="preserve">No</t>
        </is>
      </c>
      <c r="Q171" s="15" t="inlineStr">
        <is>
          <t xml:space="preserve">Job; Wisdom &amp; Suffering</t>
        </is>
      </c>
      <c r="R171" s="15"/>
      <c r="S171" s="15" t="inlineStr">
        <is>
          <t xml:space="preserve">SRC-TEXT-JOB; SRC-JOB-AUTHORSHIP; SRC-JOB-OVERVIEW</t>
        </is>
      </c>
      <c r="T171" s="15" t="inlineStr">
        <is>
          <t xml:space="preserve">Editorial</t>
        </is>
      </c>
      <c r="U171" s="11" t="inlineStr">
        <is>
          <t xml:space="preserve">Needs Review</t>
        </is>
      </c>
      <c r="V171" s="15"/>
      <c r="W171" s="15" t="inlineStr">
        <is>
          <t xml:space="preserve">Book-level reading set. The narrative is internally sequential, but its placement within the larger biblical timeline is unresolved and must remain disclosed.</t>
        </is>
      </c>
    </row>
    <row r="172" ht="34" customHeight="1">
      <c r="A172" s="15" t="inlineStr">
        <is>
          <t xml:space="preserve">v0.2</t>
        </is>
      </c>
      <c r="B172" s="15" t="inlineStr">
        <is>
          <t xml:space="preserve">Bible_Journey_Canon_Map_v0_2_Chronicles_Psalms_Job_1Kings.xlsx</t>
        </is>
      </c>
      <c r="C172" s="15" t="inlineStr">
        <is>
          <t xml:space="preserve">CRS-PSA-001</t>
        </is>
      </c>
      <c r="D172" s="15"/>
      <c r="E172" s="15">
        <v>2</v>
      </c>
      <c r="F172" s="15" t="inlineStr">
        <is>
          <t xml:space="preserve">Psalms</t>
        </is>
      </c>
      <c r="G172" s="15" t="inlineStr">
        <is>
          <t xml:space="preserve">Psalter editorial frame</t>
        </is>
      </c>
      <c r="H172" s="15" t="inlineStr">
        <is>
          <t xml:space="preserve">Book I opening</t>
        </is>
      </c>
      <c r="I172" s="15" t="inlineStr">
        <is>
          <t xml:space="preserve">Psalms 1-2: opening wisdom and royal framing</t>
        </is>
      </c>
      <c r="J172" s="15" t="inlineStr">
        <is>
          <t xml:space="preserve">Psalms 1-2</t>
        </is>
      </c>
      <c r="K172" s="15" t="inlineStr">
        <is>
          <t xml:space="preserve">High</t>
        </is>
      </c>
      <c r="L172" s="13" t="inlineStr">
        <is>
          <t xml:space="preserve">Unresolved</t>
        </is>
      </c>
      <c r="M172" s="15" t="inlineStr">
        <is>
          <t xml:space="preserve">Poetry collection / no fixed event placement</t>
        </is>
      </c>
      <c r="N172" s="15" t="inlineStr">
        <is>
          <t xml:space="preserve">Read this collection window in full; chronology is disclosed as unresolved or broad.</t>
        </is>
      </c>
      <c r="O172" s="15" t="inlineStr">
        <is>
          <t xml:space="preserve">Offer as an identified collection window; never imply a precise historical date.</t>
        </is>
      </c>
      <c r="P172" s="15" t="inlineStr">
        <is>
          <t xml:space="preserve">No</t>
        </is>
      </c>
      <c r="Q172" s="15" t="inlineStr">
        <is>
          <t xml:space="preserve">Psalms; Wisdom &amp; Worship</t>
        </is>
      </c>
      <c r="R172" s="15"/>
      <c r="S172" s="15" t="inlineStr">
        <is>
          <t xml:space="preserve">SRC-TEXT-PSALMS; SRC-PSALMS-OVERVIEW; SRC-PSALM-SUPERSCRIPTIONS</t>
        </is>
      </c>
      <c r="T172" s="15" t="inlineStr">
        <is>
          <t xml:space="preserve">Editorial</t>
        </is>
      </c>
      <c r="U172" s="11" t="inlineStr">
        <is>
          <t xml:space="preserve">Needs Review</t>
        </is>
      </c>
      <c r="V172" s="15"/>
      <c r="W172" s="15" t="inlineStr">
        <is>
          <t xml:space="preserve">Canonical opening of the Psalter. Treat as editorial/literary framing, not a dated narrative event.</t>
        </is>
      </c>
    </row>
    <row r="173" ht="34" customHeight="1">
      <c r="A173" s="15" t="inlineStr">
        <is>
          <t xml:space="preserve">v0.2</t>
        </is>
      </c>
      <c r="B173" s="15" t="inlineStr">
        <is>
          <t xml:space="preserve">Bible_Journey_Canon_Map_v0_2_Chronicles_Psalms_Job_1Kings.xlsx</t>
        </is>
      </c>
      <c r="C173" s="15" t="inlineStr">
        <is>
          <t xml:space="preserve">CRS-PSA-002</t>
        </is>
      </c>
      <c r="D173" s="15"/>
      <c r="E173" s="15">
        <v>2</v>
      </c>
      <c r="F173" s="15" t="inlineStr">
        <is>
          <t xml:space="preserve">Psalms</t>
        </is>
      </c>
      <c r="G173" s="15" t="inlineStr">
        <is>
          <t xml:space="preserve">Davidic window</t>
        </is>
      </c>
      <c r="H173" s="15" t="inlineStr">
        <is>
          <t xml:space="preserve">Absalom's rebellion</t>
        </is>
      </c>
      <c r="I173" s="15" t="inlineStr">
        <is>
          <t xml:space="preserve">Psalm 3: David flees Absalom</t>
        </is>
      </c>
      <c r="J173" s="15" t="inlineStr">
        <is>
          <t xml:space="preserve">Psalm 3</t>
        </is>
      </c>
      <c r="K173" s="15" t="inlineStr">
        <is>
          <t xml:space="preserve">High</t>
        </is>
      </c>
      <c r="L173" s="15" t="inlineStr">
        <is>
          <t xml:space="preserve">Probable</t>
        </is>
      </c>
      <c r="M173" s="15" t="inlineStr">
        <is>
          <t xml:space="preserve">Attach to v0.1 event</t>
        </is>
      </c>
      <c r="N173" s="15" t="inlineStr">
        <is>
          <t xml:space="preserve">Read this block as part of the linked event before Full Stream completion.</t>
        </is>
      </c>
      <c r="O173" s="15" t="inlineStr">
        <is>
          <t xml:space="preserve">Show as a linked account; keep it pending unless the reader chooses to continue this event.</t>
        </is>
      </c>
      <c r="P173" s="15" t="inlineStr">
        <is>
          <t xml:space="preserve">Yes</t>
        </is>
      </c>
      <c r="Q173" s="15" t="inlineStr">
        <is>
          <t xml:space="preserve">Psalms; The Life of David</t>
        </is>
      </c>
      <c r="R173" s="15" t="inlineStr">
        <is>
          <t xml:space="preserve">CRS-2SA-013</t>
        </is>
      </c>
      <c r="S173" s="15" t="inlineStr">
        <is>
          <t xml:space="preserve">SRC-TEXT-PSALMS; SRC-PSALMS-OVERVIEW; SRC-PSALM-SUPERSCRIPTIONS</t>
        </is>
      </c>
      <c r="T173" s="15" t="inlineStr">
        <is>
          <t xml:space="preserve">Editorial</t>
        </is>
      </c>
      <c r="U173" s="11" t="inlineStr">
        <is>
          <t xml:space="preserve">Needs Review</t>
        </is>
      </c>
      <c r="V173" s="15"/>
      <c r="W173" s="15" t="inlineStr">
        <is>
          <t xml:space="preserve">The superscription links the psalm to David's flight from Absalom. Display as a traditional/superscription-based connection.</t>
        </is>
      </c>
    </row>
    <row r="174" ht="34" customHeight="1">
      <c r="A174" s="15" t="inlineStr">
        <is>
          <t xml:space="preserve">v0.2</t>
        </is>
      </c>
      <c r="B174" s="15" t="inlineStr">
        <is>
          <t xml:space="preserve">Bible_Journey_Canon_Map_v0_2_Chronicles_Psalms_Job_1Kings.xlsx</t>
        </is>
      </c>
      <c r="C174" s="15" t="inlineStr">
        <is>
          <t xml:space="preserve">CRS-PSA-003</t>
        </is>
      </c>
      <c r="D174" s="15"/>
      <c r="E174" s="15">
        <v>2</v>
      </c>
      <c r="F174" s="15" t="inlineStr">
        <is>
          <t xml:space="preserve">Psalms</t>
        </is>
      </c>
      <c r="G174" s="15" t="inlineStr">
        <is>
          <t xml:space="preserve">Davidic poetry collection</t>
        </is>
      </c>
      <c r="H174" s="15" t="inlineStr">
        <is>
          <t xml:space="preserve">Book I</t>
        </is>
      </c>
      <c r="I174" s="15" t="inlineStr">
        <is>
          <t xml:space="preserve">Psalms 4-6: Davidic prayers without an identified event</t>
        </is>
      </c>
      <c r="J174" s="15" t="inlineStr">
        <is>
          <t xml:space="preserve">Psalms 4-6</t>
        </is>
      </c>
      <c r="K174" s="15" t="inlineStr">
        <is>
          <t xml:space="preserve">High</t>
        </is>
      </c>
      <c r="L174" s="13" t="inlineStr">
        <is>
          <t xml:space="preserve">Unresolved</t>
        </is>
      </c>
      <c r="M174" s="15" t="inlineStr">
        <is>
          <t xml:space="preserve">Poetry collection / broad Davidic window</t>
        </is>
      </c>
      <c r="N174" s="15" t="inlineStr">
        <is>
          <t xml:space="preserve">Read this collection window in full; chronology is disclosed as unresolved or broad.</t>
        </is>
      </c>
      <c r="O174" s="15" t="inlineStr">
        <is>
          <t xml:space="preserve">Offer as an identified collection window; never imply a precise historical date.</t>
        </is>
      </c>
      <c r="P174" s="15" t="inlineStr">
        <is>
          <t xml:space="preserve">No</t>
        </is>
      </c>
      <c r="Q174" s="15" t="inlineStr">
        <is>
          <t xml:space="preserve">Psalms; The Life of David</t>
        </is>
      </c>
      <c r="R174" s="15"/>
      <c r="S174" s="15" t="inlineStr">
        <is>
          <t xml:space="preserve">SRC-TEXT-PSALMS; SRC-PSALMS-OVERVIEW; SRC-PSALM-SUPERSCRIPTIONS</t>
        </is>
      </c>
      <c r="T174" s="15" t="inlineStr">
        <is>
          <t xml:space="preserve">Editorial</t>
        </is>
      </c>
      <c r="U174" s="11" t="inlineStr">
        <is>
          <t xml:space="preserve">Needs Review</t>
        </is>
      </c>
      <c r="V174" s="15"/>
      <c r="W174" s="15" t="inlineStr">
        <is>
          <t xml:space="preserve">Davidic headings do not supply a specific narrative episode. Use a broad Davidic poetry window, not an exact date.</t>
        </is>
      </c>
    </row>
    <row r="175" ht="34" customHeight="1">
      <c r="A175" s="15" t="inlineStr">
        <is>
          <t xml:space="preserve">v0.2</t>
        </is>
      </c>
      <c r="B175" s="15" t="inlineStr">
        <is>
          <t xml:space="preserve">Bible_Journey_Canon_Map_v0_2_Chronicles_Psalms_Job_1Kings.xlsx</t>
        </is>
      </c>
      <c r="C175" s="15" t="inlineStr">
        <is>
          <t xml:space="preserve">CRS-PSA-004</t>
        </is>
      </c>
      <c r="D175" s="15"/>
      <c r="E175" s="15">
        <v>2</v>
      </c>
      <c r="F175" s="15" t="inlineStr">
        <is>
          <t xml:space="preserve">Psalms</t>
        </is>
      </c>
      <c r="G175" s="15" t="inlineStr">
        <is>
          <t xml:space="preserve">Davidic poetry collection</t>
        </is>
      </c>
      <c r="H175" s="15" t="inlineStr">
        <is>
          <t xml:space="preserve">Book I</t>
        </is>
      </c>
      <c r="I175" s="15" t="inlineStr">
        <is>
          <t xml:space="preserve">Psalm 7: Cush the Benjaminite</t>
        </is>
      </c>
      <c r="J175" s="15" t="inlineStr">
        <is>
          <t xml:space="preserve">Psalm 7</t>
        </is>
      </c>
      <c r="K175" s="15" t="inlineStr">
        <is>
          <t xml:space="preserve">High</t>
        </is>
      </c>
      <c r="L175" s="15" t="inlineStr">
        <is>
          <t xml:space="preserve">Debated</t>
        </is>
      </c>
      <c r="M175" s="15" t="inlineStr">
        <is>
          <t xml:space="preserve">Poetry connection / debated historical link</t>
        </is>
      </c>
      <c r="N175" s="15" t="inlineStr">
        <is>
          <t xml:space="preserve">Read this block as part of the linked event before Full Stream completion.</t>
        </is>
      </c>
      <c r="O175" s="15" t="inlineStr">
        <is>
          <t xml:space="preserve">Show as a linked account; keep it pending unless the reader chooses to continue this event.</t>
        </is>
      </c>
      <c r="P175" s="15" t="inlineStr">
        <is>
          <t xml:space="preserve">No</t>
        </is>
      </c>
      <c r="Q175" s="15" t="inlineStr">
        <is>
          <t xml:space="preserve">Psalms; The Life of David</t>
        </is>
      </c>
      <c r="R175" s="15"/>
      <c r="S175" s="15" t="inlineStr">
        <is>
          <t xml:space="preserve">SRC-TEXT-PSALMS; SRC-PSALMS-OVERVIEW; SRC-PSALM-SUPERSCRIPTIONS</t>
        </is>
      </c>
      <c r="T175" s="15" t="inlineStr">
        <is>
          <t xml:space="preserve">Editorial</t>
        </is>
      </c>
      <c r="U175" s="11" t="inlineStr">
        <is>
          <t xml:space="preserve">Needs Review</t>
        </is>
      </c>
      <c r="V175" s="15"/>
      <c r="W175" s="15" t="inlineStr">
        <is>
          <t xml:space="preserve">The heading names Cush the Benjaminite, but the narrative referent is not securely identified.</t>
        </is>
      </c>
    </row>
    <row r="176" ht="34" customHeight="1">
      <c r="A176" s="15" t="inlineStr">
        <is>
          <t xml:space="preserve">v0.2</t>
        </is>
      </c>
      <c r="B176" s="15" t="inlineStr">
        <is>
          <t xml:space="preserve">Bible_Journey_Canon_Map_v0_2_Chronicles_Psalms_Job_1Kings.xlsx</t>
        </is>
      </c>
      <c r="C176" s="15" t="inlineStr">
        <is>
          <t xml:space="preserve">CRS-PSA-005</t>
        </is>
      </c>
      <c r="D176" s="15"/>
      <c r="E176" s="15">
        <v>2</v>
      </c>
      <c r="F176" s="15" t="inlineStr">
        <is>
          <t xml:space="preserve">Psalms</t>
        </is>
      </c>
      <c r="G176" s="15" t="inlineStr">
        <is>
          <t xml:space="preserve">Davidic poetry collection</t>
        </is>
      </c>
      <c r="H176" s="15" t="inlineStr">
        <is>
          <t xml:space="preserve">Book I</t>
        </is>
      </c>
      <c r="I176" s="15" t="inlineStr">
        <is>
          <t xml:space="preserve">Psalms 8-17: Davidic prayers and royal language</t>
        </is>
      </c>
      <c r="J176" s="15" t="inlineStr">
        <is>
          <t xml:space="preserve">Psalms 8-17</t>
        </is>
      </c>
      <c r="K176" s="15" t="inlineStr">
        <is>
          <t xml:space="preserve">High</t>
        </is>
      </c>
      <c r="L176" s="13" t="inlineStr">
        <is>
          <t xml:space="preserve">Unresolved</t>
        </is>
      </c>
      <c r="M176" s="15" t="inlineStr">
        <is>
          <t xml:space="preserve">Poetry collection / broad Davidic window</t>
        </is>
      </c>
      <c r="N176" s="15" t="inlineStr">
        <is>
          <t xml:space="preserve">Read this collection window in full; chronology is disclosed as unresolved or broad.</t>
        </is>
      </c>
      <c r="O176" s="15" t="inlineStr">
        <is>
          <t xml:space="preserve">Offer as an identified collection window; never imply a precise historical date.</t>
        </is>
      </c>
      <c r="P176" s="15" t="inlineStr">
        <is>
          <t xml:space="preserve">No</t>
        </is>
      </c>
      <c r="Q176" s="15" t="inlineStr">
        <is>
          <t xml:space="preserve">Psalms; The Life of David</t>
        </is>
      </c>
      <c r="R176" s="15"/>
      <c r="S176" s="15" t="inlineStr">
        <is>
          <t xml:space="preserve">SRC-TEXT-PSALMS; SRC-PSALMS-OVERVIEW; SRC-PSALM-SUPERSCRIPTIONS</t>
        </is>
      </c>
      <c r="T176" s="15" t="inlineStr">
        <is>
          <t xml:space="preserve">Editorial</t>
        </is>
      </c>
      <c r="U176" s="11" t="inlineStr">
        <is>
          <t xml:space="preserve">Needs Review</t>
        </is>
      </c>
      <c r="V176" s="15"/>
      <c r="W176" s="15" t="inlineStr">
        <is>
          <t xml:space="preserve">No single event placement is asserted for this collection.</t>
        </is>
      </c>
    </row>
    <row r="177" ht="34" customHeight="1">
      <c r="A177" s="15" t="inlineStr">
        <is>
          <t xml:space="preserve">v0.2</t>
        </is>
      </c>
      <c r="B177" s="15" t="inlineStr">
        <is>
          <t xml:space="preserve">Bible_Journey_Canon_Map_v0_2_Chronicles_Psalms_Job_1Kings.xlsx</t>
        </is>
      </c>
      <c r="C177" s="15" t="inlineStr">
        <is>
          <t xml:space="preserve">CRS-PSA-006</t>
        </is>
      </c>
      <c r="D177" s="15"/>
      <c r="E177" s="15">
        <v>2</v>
      </c>
      <c r="F177" s="15" t="inlineStr">
        <is>
          <t xml:space="preserve">Psalms</t>
        </is>
      </c>
      <c r="G177" s="15" t="inlineStr">
        <is>
          <t xml:space="preserve">United Monarchy</t>
        </is>
      </c>
      <c r="H177" s="15" t="inlineStr">
        <is>
          <t xml:space="preserve">David's legacy</t>
        </is>
      </c>
      <c r="I177" s="15" t="inlineStr">
        <is>
          <t xml:space="preserve">Psalm 18: David's song of deliverance</t>
        </is>
      </c>
      <c r="J177" s="15" t="inlineStr">
        <is>
          <t xml:space="preserve">Psalm 18</t>
        </is>
      </c>
      <c r="K177" s="15" t="inlineStr">
        <is>
          <t xml:space="preserve">High</t>
        </is>
      </c>
      <c r="L177" s="15" t="inlineStr">
        <is>
          <t xml:space="preserve">Debated</t>
        </is>
      </c>
      <c r="M177" s="15" t="inlineStr">
        <is>
          <t xml:space="preserve">Attach to v0.1 event</t>
        </is>
      </c>
      <c r="N177" s="15" t="inlineStr">
        <is>
          <t xml:space="preserve">Read this block as part of the linked event before Full Stream completion.</t>
        </is>
      </c>
      <c r="O177" s="15" t="inlineStr">
        <is>
          <t xml:space="preserve">Show as a linked account; keep it pending unless the reader chooses to continue this event.</t>
        </is>
      </c>
      <c r="P177" s="15" t="inlineStr">
        <is>
          <t xml:space="preserve">Yes</t>
        </is>
      </c>
      <c r="Q177" s="15" t="inlineStr">
        <is>
          <t xml:space="preserve">Psalms; The Life of David</t>
        </is>
      </c>
      <c r="R177" s="15" t="inlineStr">
        <is>
          <t xml:space="preserve">CRS-2SA-019</t>
        </is>
      </c>
      <c r="S177" s="15" t="inlineStr">
        <is>
          <t xml:space="preserve">SRC-TEXT-PSALMS; SRC-PSALMS-OVERVIEW; SRC-PSALM-SUPERSCRIPTIONS</t>
        </is>
      </c>
      <c r="T177" s="15" t="inlineStr">
        <is>
          <t xml:space="preserve">Editorial</t>
        </is>
      </c>
      <c r="U177" s="11" t="inlineStr">
        <is>
          <t xml:space="preserve">Needs Review</t>
        </is>
      </c>
      <c r="V177" s="15"/>
      <c r="W177" s="15" t="inlineStr">
        <is>
          <t xml:space="preserve">Parallel textual tradition to 2 Samuel 22. Event/song relationship is high; exact placement in the Samuel appendix remains debated.</t>
        </is>
      </c>
    </row>
    <row r="178" ht="34" customHeight="1">
      <c r="A178" s="15" t="inlineStr">
        <is>
          <t xml:space="preserve">v0.2</t>
        </is>
      </c>
      <c r="B178" s="15" t="inlineStr">
        <is>
          <t xml:space="preserve">Bible_Journey_Canon_Map_v0_2_Chronicles_Psalms_Job_1Kings.xlsx</t>
        </is>
      </c>
      <c r="C178" s="15" t="inlineStr">
        <is>
          <t xml:space="preserve">CRS-PSA-007</t>
        </is>
      </c>
      <c r="D178" s="15"/>
      <c r="E178" s="15">
        <v>2</v>
      </c>
      <c r="F178" s="15" t="inlineStr">
        <is>
          <t xml:space="preserve">Psalms</t>
        </is>
      </c>
      <c r="G178" s="15" t="inlineStr">
        <is>
          <t xml:space="preserve">Davidic poetry collection</t>
        </is>
      </c>
      <c r="H178" s="15" t="inlineStr">
        <is>
          <t xml:space="preserve">Book I</t>
        </is>
      </c>
      <c r="I178" s="15" t="inlineStr">
        <is>
          <t xml:space="preserve">Psalms 19-29: Davidic prayers and royal psalms</t>
        </is>
      </c>
      <c r="J178" s="15" t="inlineStr">
        <is>
          <t xml:space="preserve">Psalms 19-29</t>
        </is>
      </c>
      <c r="K178" s="15" t="inlineStr">
        <is>
          <t xml:space="preserve">High</t>
        </is>
      </c>
      <c r="L178" s="13" t="inlineStr">
        <is>
          <t xml:space="preserve">Unresolved</t>
        </is>
      </c>
      <c r="M178" s="15" t="inlineStr">
        <is>
          <t xml:space="preserve">Poetry collection / broad Davidic window</t>
        </is>
      </c>
      <c r="N178" s="15" t="inlineStr">
        <is>
          <t xml:space="preserve">Read this collection window in full; chronology is disclosed as unresolved or broad.</t>
        </is>
      </c>
      <c r="O178" s="15" t="inlineStr">
        <is>
          <t xml:space="preserve">Offer as an identified collection window; never imply a precise historical date.</t>
        </is>
      </c>
      <c r="P178" s="15" t="inlineStr">
        <is>
          <t xml:space="preserve">No</t>
        </is>
      </c>
      <c r="Q178" s="15" t="inlineStr">
        <is>
          <t xml:space="preserve">Psalms; The Life of David</t>
        </is>
      </c>
      <c r="R178" s="15"/>
      <c r="S178" s="15" t="inlineStr">
        <is>
          <t xml:space="preserve">SRC-TEXT-PSALMS; SRC-PSALMS-OVERVIEW; SRC-PSALM-SUPERSCRIPTIONS</t>
        </is>
      </c>
      <c r="T178" s="15" t="inlineStr">
        <is>
          <t xml:space="preserve">Editorial</t>
        </is>
      </c>
      <c r="U178" s="11" t="inlineStr">
        <is>
          <t xml:space="preserve">Needs Review</t>
        </is>
      </c>
      <c r="V178" s="15"/>
      <c r="W178" s="15" t="inlineStr">
        <is>
          <t xml:space="preserve">Davidic titles do not establish a chapter-by-chapter historical sequence.</t>
        </is>
      </c>
    </row>
    <row r="179" ht="34" customHeight="1">
      <c r="A179" s="15" t="inlineStr">
        <is>
          <t xml:space="preserve">v0.2</t>
        </is>
      </c>
      <c r="B179" s="15" t="inlineStr">
        <is>
          <t xml:space="preserve">Bible_Journey_Canon_Map_v0_2_Chronicles_Psalms_Job_1Kings.xlsx</t>
        </is>
      </c>
      <c r="C179" s="15" t="inlineStr">
        <is>
          <t xml:space="preserve">CRS-PSA-008</t>
        </is>
      </c>
      <c r="D179" s="15"/>
      <c r="E179" s="15">
        <v>2</v>
      </c>
      <c r="F179" s="15" t="inlineStr">
        <is>
          <t xml:space="preserve">Psalms</t>
        </is>
      </c>
      <c r="G179" s="15" t="inlineStr">
        <is>
          <t xml:space="preserve">Davidic poetry collection</t>
        </is>
      </c>
      <c r="H179" s="15" t="inlineStr">
        <is>
          <t xml:space="preserve">Book I</t>
        </is>
      </c>
      <c r="I179" s="15" t="inlineStr">
        <is>
          <t xml:space="preserve">Psalm 30: dedication of a house</t>
        </is>
      </c>
      <c r="J179" s="15" t="inlineStr">
        <is>
          <t xml:space="preserve">Psalm 30</t>
        </is>
      </c>
      <c r="K179" s="15" t="inlineStr">
        <is>
          <t xml:space="preserve">High</t>
        </is>
      </c>
      <c r="L179" s="15" t="inlineStr">
        <is>
          <t xml:space="preserve">Debated</t>
        </is>
      </c>
      <c r="M179" s="15" t="inlineStr">
        <is>
          <t xml:space="preserve">Poetry connection / debated historical link</t>
        </is>
      </c>
      <c r="N179" s="15" t="inlineStr">
        <is>
          <t xml:space="preserve">Read this block as part of the linked event before Full Stream completion.</t>
        </is>
      </c>
      <c r="O179" s="15" t="inlineStr">
        <is>
          <t xml:space="preserve">Show as a linked account; keep it pending unless the reader chooses to continue this event.</t>
        </is>
      </c>
      <c r="P179" s="15" t="inlineStr">
        <is>
          <t xml:space="preserve">No</t>
        </is>
      </c>
      <c r="Q179" s="15" t="inlineStr">
        <is>
          <t xml:space="preserve">Psalms; The Life of David</t>
        </is>
      </c>
      <c r="R179" s="15"/>
      <c r="S179" s="15" t="inlineStr">
        <is>
          <t xml:space="preserve">SRC-TEXT-PSALMS; SRC-PSALMS-OVERVIEW; SRC-PSALM-SUPERSCRIPTIONS</t>
        </is>
      </c>
      <c r="T179" s="15" t="inlineStr">
        <is>
          <t xml:space="preserve">Editorial</t>
        </is>
      </c>
      <c r="U179" s="11" t="inlineStr">
        <is>
          <t xml:space="preserve">Needs Review</t>
        </is>
      </c>
      <c r="V179" s="15"/>
      <c r="W179" s="15" t="inlineStr">
        <is>
          <t xml:space="preserve">The heading's 'dedication of a house' does not securely identify a specific house or event.</t>
        </is>
      </c>
    </row>
    <row r="180" ht="34" customHeight="1">
      <c r="A180" s="15" t="inlineStr">
        <is>
          <t xml:space="preserve">v0.2</t>
        </is>
      </c>
      <c r="B180" s="15" t="inlineStr">
        <is>
          <t xml:space="preserve">Bible_Journey_Canon_Map_v0_2_Chronicles_Psalms_Job_1Kings.xlsx</t>
        </is>
      </c>
      <c r="C180" s="15" t="inlineStr">
        <is>
          <t xml:space="preserve">CRS-PSA-009</t>
        </is>
      </c>
      <c r="D180" s="15"/>
      <c r="E180" s="15">
        <v>2</v>
      </c>
      <c r="F180" s="15" t="inlineStr">
        <is>
          <t xml:space="preserve">Psalms</t>
        </is>
      </c>
      <c r="G180" s="15" t="inlineStr">
        <is>
          <t xml:space="preserve">Davidic poetry collection</t>
        </is>
      </c>
      <c r="H180" s="15" t="inlineStr">
        <is>
          <t xml:space="preserve">Book I</t>
        </is>
      </c>
      <c r="I180" s="15" t="inlineStr">
        <is>
          <t xml:space="preserve">Psalms 31-33: Davidic and communal prayers</t>
        </is>
      </c>
      <c r="J180" s="15" t="inlineStr">
        <is>
          <t xml:space="preserve">Psalms 31-33</t>
        </is>
      </c>
      <c r="K180" s="15" t="inlineStr">
        <is>
          <t xml:space="preserve">High</t>
        </is>
      </c>
      <c r="L180" s="13" t="inlineStr">
        <is>
          <t xml:space="preserve">Unresolved</t>
        </is>
      </c>
      <c r="M180" s="15" t="inlineStr">
        <is>
          <t xml:space="preserve">Poetry collection / broad Davidic window</t>
        </is>
      </c>
      <c r="N180" s="15" t="inlineStr">
        <is>
          <t xml:space="preserve">Read this collection window in full; chronology is disclosed as unresolved or broad.</t>
        </is>
      </c>
      <c r="O180" s="15" t="inlineStr">
        <is>
          <t xml:space="preserve">Offer as an identified collection window; never imply a precise historical date.</t>
        </is>
      </c>
      <c r="P180" s="15" t="inlineStr">
        <is>
          <t xml:space="preserve">No</t>
        </is>
      </c>
      <c r="Q180" s="15" t="inlineStr">
        <is>
          <t xml:space="preserve">Psalms; The Life of David</t>
        </is>
      </c>
      <c r="R180" s="15"/>
      <c r="S180" s="15" t="inlineStr">
        <is>
          <t xml:space="preserve">SRC-TEXT-PSALMS; SRC-PSALMS-OVERVIEW; SRC-PSALM-SUPERSCRIPTIONS</t>
        </is>
      </c>
      <c r="T180" s="15" t="inlineStr">
        <is>
          <t xml:space="preserve">Editorial</t>
        </is>
      </c>
      <c r="U180" s="11" t="inlineStr">
        <is>
          <t xml:space="preserve">Needs Review</t>
        </is>
      </c>
      <c r="V180" s="15"/>
      <c r="W180" s="15" t="inlineStr">
        <is>
          <t xml:space="preserve">No single narrative event placement asserted.</t>
        </is>
      </c>
    </row>
    <row r="181" ht="34" customHeight="1">
      <c r="A181" s="15" t="inlineStr">
        <is>
          <t xml:space="preserve">v0.2</t>
        </is>
      </c>
      <c r="B181" s="15" t="inlineStr">
        <is>
          <t xml:space="preserve">Bible_Journey_Canon_Map_v0_2_Chronicles_Psalms_Job_1Kings.xlsx</t>
        </is>
      </c>
      <c r="C181" s="15" t="inlineStr">
        <is>
          <t xml:space="preserve">CRS-PSA-010</t>
        </is>
      </c>
      <c r="D181" s="15"/>
      <c r="E181" s="15">
        <v>2</v>
      </c>
      <c r="F181" s="15" t="inlineStr">
        <is>
          <t xml:space="preserve">Psalms</t>
        </is>
      </c>
      <c r="G181" s="15" t="inlineStr">
        <is>
          <t xml:space="preserve">Rise of the Monarchy</t>
        </is>
      </c>
      <c r="H181" s="15" t="inlineStr">
        <is>
          <t xml:space="preserve">David at Gath</t>
        </is>
      </c>
      <c r="I181" s="15" t="inlineStr">
        <is>
          <t xml:space="preserve">Psalm 34: David before Abimelech</t>
        </is>
      </c>
      <c r="J181" s="15" t="inlineStr">
        <is>
          <t xml:space="preserve">Psalm 34</t>
        </is>
      </c>
      <c r="K181" s="15" t="inlineStr">
        <is>
          <t xml:space="preserve">High</t>
        </is>
      </c>
      <c r="L181" s="15" t="inlineStr">
        <is>
          <t xml:space="preserve">Probable</t>
        </is>
      </c>
      <c r="M181" s="15" t="inlineStr">
        <is>
          <t xml:space="preserve">Attach to v0.1 event</t>
        </is>
      </c>
      <c r="N181" s="15" t="inlineStr">
        <is>
          <t xml:space="preserve">Read this block as part of the linked event before Full Stream completion.</t>
        </is>
      </c>
      <c r="O181" s="15" t="inlineStr">
        <is>
          <t xml:space="preserve">Show as a linked account; keep it pending unless the reader chooses to continue this event.</t>
        </is>
      </c>
      <c r="P181" s="15" t="inlineStr">
        <is>
          <t xml:space="preserve">Yes</t>
        </is>
      </c>
      <c r="Q181" s="15" t="inlineStr">
        <is>
          <t xml:space="preserve">Psalms; The Life of David</t>
        </is>
      </c>
      <c r="R181" s="15" t="inlineStr">
        <is>
          <t xml:space="preserve">CRS-1SA-011</t>
        </is>
      </c>
      <c r="S181" s="15" t="inlineStr">
        <is>
          <t xml:space="preserve">SRC-TEXT-PSALMS; SRC-PSALMS-OVERVIEW; SRC-PSALM-SUPERSCRIPTIONS</t>
        </is>
      </c>
      <c r="T181" s="15" t="inlineStr">
        <is>
          <t xml:space="preserve">Editorial</t>
        </is>
      </c>
      <c r="U181" s="11" t="inlineStr">
        <is>
          <t xml:space="preserve">Needs Review</t>
        </is>
      </c>
      <c r="V181" s="15"/>
      <c r="W181" s="15" t="inlineStr">
        <is>
          <t xml:space="preserve">Superscription-based link to David at Gath. Names/titles differ across the narrative and heading traditions; label as probable.</t>
        </is>
      </c>
    </row>
    <row r="182" ht="34" customHeight="1">
      <c r="A182" s="15" t="inlineStr">
        <is>
          <t xml:space="preserve">v0.2</t>
        </is>
      </c>
      <c r="B182" s="15" t="inlineStr">
        <is>
          <t xml:space="preserve">Bible_Journey_Canon_Map_v0_2_Chronicles_Psalms_Job_1Kings.xlsx</t>
        </is>
      </c>
      <c r="C182" s="15" t="inlineStr">
        <is>
          <t xml:space="preserve">CRS-PSA-011</t>
        </is>
      </c>
      <c r="D182" s="15"/>
      <c r="E182" s="15">
        <v>2</v>
      </c>
      <c r="F182" s="15" t="inlineStr">
        <is>
          <t xml:space="preserve">Psalms</t>
        </is>
      </c>
      <c r="G182" s="15" t="inlineStr">
        <is>
          <t xml:space="preserve">Davidic / temple poetry collections</t>
        </is>
      </c>
      <c r="H182" s="15" t="inlineStr">
        <is>
          <t xml:space="preserve">Book I</t>
        </is>
      </c>
      <c r="I182" s="15" t="inlineStr">
        <is>
          <t xml:space="preserve">Psalms 35-50: prayers, royal psalms, and Asaph material</t>
        </is>
      </c>
      <c r="J182" s="15" t="inlineStr">
        <is>
          <t xml:space="preserve">Psalms 35-50</t>
        </is>
      </c>
      <c r="K182" s="15" t="inlineStr">
        <is>
          <t xml:space="preserve">High</t>
        </is>
      </c>
      <c r="L182" s="13" t="inlineStr">
        <is>
          <t xml:space="preserve">Unresolved</t>
        </is>
      </c>
      <c r="M182" s="15" t="inlineStr">
        <is>
          <t xml:space="preserve">Poetry collection / no fixed event placement</t>
        </is>
      </c>
      <c r="N182" s="15" t="inlineStr">
        <is>
          <t xml:space="preserve">Read this collection window in full; chronology is disclosed as unresolved or broad.</t>
        </is>
      </c>
      <c r="O182" s="15" t="inlineStr">
        <is>
          <t xml:space="preserve">Offer as an identified collection window; never imply a precise historical date.</t>
        </is>
      </c>
      <c r="P182" s="15" t="inlineStr">
        <is>
          <t xml:space="preserve">No</t>
        </is>
      </c>
      <c r="Q182" s="15" t="inlineStr">
        <is>
          <t xml:space="preserve">Psalms; The Life of David</t>
        </is>
      </c>
      <c r="R182" s="15"/>
      <c r="S182" s="15" t="inlineStr">
        <is>
          <t xml:space="preserve">SRC-TEXT-PSALMS; SRC-PSALMS-OVERVIEW; SRC-PSALM-SUPERSCRIPTIONS</t>
        </is>
      </c>
      <c r="T182" s="15" t="inlineStr">
        <is>
          <t xml:space="preserve">Editorial</t>
        </is>
      </c>
      <c r="U182" s="11" t="inlineStr">
        <is>
          <t xml:space="preserve">Needs Review</t>
        </is>
      </c>
      <c r="V182" s="15"/>
      <c r="W182" s="15" t="inlineStr">
        <is>
          <t xml:space="preserve">Mixed collection with Davidic, communal, and Asaph material; do not force a single historical window.</t>
        </is>
      </c>
    </row>
    <row r="183" ht="34" customHeight="1">
      <c r="A183" s="15" t="inlineStr">
        <is>
          <t xml:space="preserve">v0.2</t>
        </is>
      </c>
      <c r="B183" s="15" t="inlineStr">
        <is>
          <t xml:space="preserve">Bible_Journey_Canon_Map_v0_2_Chronicles_Psalms_Job_1Kings.xlsx</t>
        </is>
      </c>
      <c r="C183" s="15" t="inlineStr">
        <is>
          <t xml:space="preserve">CRS-PSA-012</t>
        </is>
      </c>
      <c r="D183" s="15"/>
      <c r="E183" s="15">
        <v>2</v>
      </c>
      <c r="F183" s="15" t="inlineStr">
        <is>
          <t xml:space="preserve">Psalms</t>
        </is>
      </c>
      <c r="G183" s="15" t="inlineStr">
        <is>
          <t xml:space="preserve">United Monarchy</t>
        </is>
      </c>
      <c r="H183" s="15" t="inlineStr">
        <is>
          <t xml:space="preserve">Nathan confronts David</t>
        </is>
      </c>
      <c r="I183" s="15" t="inlineStr">
        <is>
          <t xml:space="preserve">Psalm 51: David after Nathan's confrontation</t>
        </is>
      </c>
      <c r="J183" s="15" t="inlineStr">
        <is>
          <t xml:space="preserve">Psalm 51</t>
        </is>
      </c>
      <c r="K183" s="15" t="inlineStr">
        <is>
          <t xml:space="preserve">High</t>
        </is>
      </c>
      <c r="L183" s="15" t="inlineStr">
        <is>
          <t xml:space="preserve">Probable</t>
        </is>
      </c>
      <c r="M183" s="15" t="inlineStr">
        <is>
          <t xml:space="preserve">Attach to v0.1 event</t>
        </is>
      </c>
      <c r="N183" s="15" t="inlineStr">
        <is>
          <t xml:space="preserve">Read this block as part of the linked event before Full Stream completion.</t>
        </is>
      </c>
      <c r="O183" s="15" t="inlineStr">
        <is>
          <t xml:space="preserve">Show as a linked account; keep it pending unless the reader chooses to continue this event.</t>
        </is>
      </c>
      <c r="P183" s="15" t="inlineStr">
        <is>
          <t xml:space="preserve">Yes</t>
        </is>
      </c>
      <c r="Q183" s="15" t="inlineStr">
        <is>
          <t xml:space="preserve">Psalms; The Life of David</t>
        </is>
      </c>
      <c r="R183" s="15" t="inlineStr">
        <is>
          <t xml:space="preserve">CRS-2SA-010</t>
        </is>
      </c>
      <c r="S183" s="15" t="inlineStr">
        <is>
          <t xml:space="preserve">SRC-TEXT-PSALMS; SRC-PSALMS-OVERVIEW; SRC-PSALM-SUPERSCRIPTIONS</t>
        </is>
      </c>
      <c r="T183" s="15" t="inlineStr">
        <is>
          <t xml:space="preserve">Editorial</t>
        </is>
      </c>
      <c r="U183" s="11" t="inlineStr">
        <is>
          <t xml:space="preserve">Needs Review</t>
        </is>
      </c>
      <c r="V183" s="15"/>
      <c r="W183" s="15" t="inlineStr">
        <is>
          <t xml:space="preserve">Superscription-based connection to David, Bathsheba, and Nathan. Display as a traditional link, not as a textual interpolation.</t>
        </is>
      </c>
    </row>
    <row r="184" ht="34" customHeight="1">
      <c r="A184" s="15" t="inlineStr">
        <is>
          <t xml:space="preserve">v0.2</t>
        </is>
      </c>
      <c r="B184" s="15" t="inlineStr">
        <is>
          <t xml:space="preserve">Bible_Journey_Canon_Map_v0_2_Chronicles_Psalms_Job_1Kings.xlsx</t>
        </is>
      </c>
      <c r="C184" s="15" t="inlineStr">
        <is>
          <t xml:space="preserve">CRS-PSA-013</t>
        </is>
      </c>
      <c r="D184" s="15"/>
      <c r="E184" s="15">
        <v>2</v>
      </c>
      <c r="F184" s="15" t="inlineStr">
        <is>
          <t xml:space="preserve">Psalms</t>
        </is>
      </c>
      <c r="G184" s="15" t="inlineStr">
        <is>
          <t xml:space="preserve">Rise of the Monarchy</t>
        </is>
      </c>
      <c r="H184" s="15" t="inlineStr">
        <is>
          <t xml:space="preserve">Doeg and Nob</t>
        </is>
      </c>
      <c r="I184" s="15" t="inlineStr">
        <is>
          <t xml:space="preserve">Psalm 52: Doeg the Edomite</t>
        </is>
      </c>
      <c r="J184" s="15" t="inlineStr">
        <is>
          <t xml:space="preserve">Psalm 52</t>
        </is>
      </c>
      <c r="K184" s="15" t="inlineStr">
        <is>
          <t xml:space="preserve">High</t>
        </is>
      </c>
      <c r="L184" s="15" t="inlineStr">
        <is>
          <t xml:space="preserve">Probable</t>
        </is>
      </c>
      <c r="M184" s="15" t="inlineStr">
        <is>
          <t xml:space="preserve">Attach to v0.1 event</t>
        </is>
      </c>
      <c r="N184" s="15" t="inlineStr">
        <is>
          <t xml:space="preserve">Read this block as part of the linked event before Full Stream completion.</t>
        </is>
      </c>
      <c r="O184" s="15" t="inlineStr">
        <is>
          <t xml:space="preserve">Show as a linked account; keep it pending unless the reader chooses to continue this event.</t>
        </is>
      </c>
      <c r="P184" s="15" t="inlineStr">
        <is>
          <t xml:space="preserve">Yes</t>
        </is>
      </c>
      <c r="Q184" s="15" t="inlineStr">
        <is>
          <t xml:space="preserve">Psalms; The Life of David</t>
        </is>
      </c>
      <c r="R184" s="15" t="inlineStr">
        <is>
          <t xml:space="preserve">CRS-1SA-012</t>
        </is>
      </c>
      <c r="S184" s="15" t="inlineStr">
        <is>
          <t xml:space="preserve">SRC-TEXT-PSALMS; SRC-PSALMS-OVERVIEW; SRC-PSALM-SUPERSCRIPTIONS</t>
        </is>
      </c>
      <c r="T184" s="15" t="inlineStr">
        <is>
          <t xml:space="preserve">Editorial</t>
        </is>
      </c>
      <c r="U184" s="11" t="inlineStr">
        <is>
          <t xml:space="preserve">Needs Review</t>
        </is>
      </c>
      <c r="V184" s="15"/>
      <c r="W184" s="15" t="inlineStr">
        <is>
          <t xml:space="preserve">Superscription-based link to Doeg and the priests of Nob.</t>
        </is>
      </c>
    </row>
    <row r="185" ht="34" customHeight="1">
      <c r="A185" s="15" t="inlineStr">
        <is>
          <t xml:space="preserve">v0.2</t>
        </is>
      </c>
      <c r="B185" s="15" t="inlineStr">
        <is>
          <t xml:space="preserve">Bible_Journey_Canon_Map_v0_2_Chronicles_Psalms_Job_1Kings.xlsx</t>
        </is>
      </c>
      <c r="C185" s="15" t="inlineStr">
        <is>
          <t xml:space="preserve">CRS-PSA-014</t>
        </is>
      </c>
      <c r="D185" s="15"/>
      <c r="E185" s="15">
        <v>2</v>
      </c>
      <c r="F185" s="15" t="inlineStr">
        <is>
          <t xml:space="preserve">Psalms</t>
        </is>
      </c>
      <c r="G185" s="15" t="inlineStr">
        <is>
          <t xml:space="preserve">Davidic poetry collection</t>
        </is>
      </c>
      <c r="H185" s="15" t="inlineStr">
        <is>
          <t xml:space="preserve">Book II</t>
        </is>
      </c>
      <c r="I185" s="15" t="inlineStr">
        <is>
          <t xml:space="preserve">Psalm 53: Davidic prayer without identified event</t>
        </is>
      </c>
      <c r="J185" s="15" t="inlineStr">
        <is>
          <t xml:space="preserve">Psalm 53</t>
        </is>
      </c>
      <c r="K185" s="15" t="inlineStr">
        <is>
          <t xml:space="preserve">High</t>
        </is>
      </c>
      <c r="L185" s="13" t="inlineStr">
        <is>
          <t xml:space="preserve">Unresolved</t>
        </is>
      </c>
      <c r="M185" s="15" t="inlineStr">
        <is>
          <t xml:space="preserve">Poetry collection / broad Davidic window</t>
        </is>
      </c>
      <c r="N185" s="15" t="inlineStr">
        <is>
          <t xml:space="preserve">Read this collection window in full; chronology is disclosed as unresolved or broad.</t>
        </is>
      </c>
      <c r="O185" s="15" t="inlineStr">
        <is>
          <t xml:space="preserve">Offer as an identified collection window; never imply a precise historical date.</t>
        </is>
      </c>
      <c r="P185" s="15" t="inlineStr">
        <is>
          <t xml:space="preserve">No</t>
        </is>
      </c>
      <c r="Q185" s="15" t="inlineStr">
        <is>
          <t xml:space="preserve">Psalms; The Life of David</t>
        </is>
      </c>
      <c r="R185" s="15"/>
      <c r="S185" s="15" t="inlineStr">
        <is>
          <t xml:space="preserve">SRC-TEXT-PSALMS; SRC-PSALMS-OVERVIEW; SRC-PSALM-SUPERSCRIPTIONS</t>
        </is>
      </c>
      <c r="T185" s="15" t="inlineStr">
        <is>
          <t xml:space="preserve">Editorial</t>
        </is>
      </c>
      <c r="U185" s="11" t="inlineStr">
        <is>
          <t xml:space="preserve">Needs Review</t>
        </is>
      </c>
      <c r="V185" s="15"/>
      <c r="W185" s="15" t="inlineStr">
        <is>
          <t xml:space="preserve">No specific event link is established.</t>
        </is>
      </c>
    </row>
    <row r="186" ht="34" customHeight="1">
      <c r="A186" s="15" t="inlineStr">
        <is>
          <t xml:space="preserve">v0.2</t>
        </is>
      </c>
      <c r="B186" s="15" t="inlineStr">
        <is>
          <t xml:space="preserve">Bible_Journey_Canon_Map_v0_2_Chronicles_Psalms_Job_1Kings.xlsx</t>
        </is>
      </c>
      <c r="C186" s="15" t="inlineStr">
        <is>
          <t xml:space="preserve">CRS-PSA-015</t>
        </is>
      </c>
      <c r="D186" s="15"/>
      <c r="E186" s="15">
        <v>2</v>
      </c>
      <c r="F186" s="15" t="inlineStr">
        <is>
          <t xml:space="preserve">Psalms</t>
        </is>
      </c>
      <c r="G186" s="15" t="inlineStr">
        <is>
          <t xml:space="preserve">Rise of the Monarchy</t>
        </is>
      </c>
      <c r="H186" s="15" t="inlineStr">
        <is>
          <t xml:space="preserve">Keilah and Ziph</t>
        </is>
      </c>
      <c r="I186" s="15" t="inlineStr">
        <is>
          <t xml:space="preserve">Psalm 54: the Ziphites' report</t>
        </is>
      </c>
      <c r="J186" s="15" t="inlineStr">
        <is>
          <t xml:space="preserve">Psalm 54</t>
        </is>
      </c>
      <c r="K186" s="15" t="inlineStr">
        <is>
          <t xml:space="preserve">High</t>
        </is>
      </c>
      <c r="L186" s="15" t="inlineStr">
        <is>
          <t xml:space="preserve">Probable</t>
        </is>
      </c>
      <c r="M186" s="15" t="inlineStr">
        <is>
          <t xml:space="preserve">Attach to v0.1 event</t>
        </is>
      </c>
      <c r="N186" s="15" t="inlineStr">
        <is>
          <t xml:space="preserve">Read this block as part of the linked event before Full Stream completion.</t>
        </is>
      </c>
      <c r="O186" s="15" t="inlineStr">
        <is>
          <t xml:space="preserve">Show as a linked account; keep it pending unless the reader chooses to continue this event.</t>
        </is>
      </c>
      <c r="P186" s="15" t="inlineStr">
        <is>
          <t xml:space="preserve">Yes</t>
        </is>
      </c>
      <c r="Q186" s="15" t="inlineStr">
        <is>
          <t xml:space="preserve">Psalms; The Life of David</t>
        </is>
      </c>
      <c r="R186" s="15" t="inlineStr">
        <is>
          <t xml:space="preserve">CRS-1SA-013</t>
        </is>
      </c>
      <c r="S186" s="15" t="inlineStr">
        <is>
          <t xml:space="preserve">SRC-TEXT-PSALMS; SRC-PSALMS-OVERVIEW; SRC-PSALM-SUPERSCRIPTIONS</t>
        </is>
      </c>
      <c r="T186" s="15" t="inlineStr">
        <is>
          <t xml:space="preserve">Editorial</t>
        </is>
      </c>
      <c r="U186" s="11" t="inlineStr">
        <is>
          <t xml:space="preserve">Needs Review</t>
        </is>
      </c>
      <c r="V186" s="15"/>
      <c r="W186" s="15" t="inlineStr">
        <is>
          <t xml:space="preserve">Superscription-based link to the Ziphites' report to Saul.</t>
        </is>
      </c>
    </row>
    <row r="187" ht="34" customHeight="1">
      <c r="A187" s="15" t="inlineStr">
        <is>
          <t xml:space="preserve">v0.2</t>
        </is>
      </c>
      <c r="B187" s="15" t="inlineStr">
        <is>
          <t xml:space="preserve">Bible_Journey_Canon_Map_v0_2_Chronicles_Psalms_Job_1Kings.xlsx</t>
        </is>
      </c>
      <c r="C187" s="15" t="inlineStr">
        <is>
          <t xml:space="preserve">CRS-PSA-016</t>
        </is>
      </c>
      <c r="D187" s="15"/>
      <c r="E187" s="15">
        <v>2</v>
      </c>
      <c r="F187" s="15" t="inlineStr">
        <is>
          <t xml:space="preserve">Psalms</t>
        </is>
      </c>
      <c r="G187" s="15" t="inlineStr">
        <is>
          <t xml:space="preserve">Davidic poetry collection</t>
        </is>
      </c>
      <c r="H187" s="15" t="inlineStr">
        <is>
          <t xml:space="preserve">Book II</t>
        </is>
      </c>
      <c r="I187" s="15" t="inlineStr">
        <is>
          <t xml:space="preserve">Psalm 55: Davidic prayer without identified event</t>
        </is>
      </c>
      <c r="J187" s="15" t="inlineStr">
        <is>
          <t xml:space="preserve">Psalm 55</t>
        </is>
      </c>
      <c r="K187" s="15" t="inlineStr">
        <is>
          <t xml:space="preserve">High</t>
        </is>
      </c>
      <c r="L187" s="13" t="inlineStr">
        <is>
          <t xml:space="preserve">Unresolved</t>
        </is>
      </c>
      <c r="M187" s="15" t="inlineStr">
        <is>
          <t xml:space="preserve">Poetry collection / broad Davidic window</t>
        </is>
      </c>
      <c r="N187" s="15" t="inlineStr">
        <is>
          <t xml:space="preserve">Read this collection window in full; chronology is disclosed as unresolved or broad.</t>
        </is>
      </c>
      <c r="O187" s="15" t="inlineStr">
        <is>
          <t xml:space="preserve">Offer as an identified collection window; never imply a precise historical date.</t>
        </is>
      </c>
      <c r="P187" s="15" t="inlineStr">
        <is>
          <t xml:space="preserve">No</t>
        </is>
      </c>
      <c r="Q187" s="15" t="inlineStr">
        <is>
          <t xml:space="preserve">Psalms; The Life of David</t>
        </is>
      </c>
      <c r="R187" s="15"/>
      <c r="S187" s="15" t="inlineStr">
        <is>
          <t xml:space="preserve">SRC-TEXT-PSALMS; SRC-PSALMS-OVERVIEW; SRC-PSALM-SUPERSCRIPTIONS</t>
        </is>
      </c>
      <c r="T187" s="15" t="inlineStr">
        <is>
          <t xml:space="preserve">Editorial</t>
        </is>
      </c>
      <c r="U187" s="11" t="inlineStr">
        <is>
          <t xml:space="preserve">Needs Review</t>
        </is>
      </c>
      <c r="V187" s="15"/>
      <c r="W187" s="15" t="inlineStr">
        <is>
          <t xml:space="preserve">No single historical event link is asserted.</t>
        </is>
      </c>
    </row>
    <row r="188" ht="34" customHeight="1">
      <c r="A188" s="15" t="inlineStr">
        <is>
          <t xml:space="preserve">v0.2</t>
        </is>
      </c>
      <c r="B188" s="15" t="inlineStr">
        <is>
          <t xml:space="preserve">Bible_Journey_Canon_Map_v0_2_Chronicles_Psalms_Job_1Kings.xlsx</t>
        </is>
      </c>
      <c r="C188" s="15" t="inlineStr">
        <is>
          <t xml:space="preserve">CRS-PSA-017</t>
        </is>
      </c>
      <c r="D188" s="15"/>
      <c r="E188" s="15">
        <v>2</v>
      </c>
      <c r="F188" s="15" t="inlineStr">
        <is>
          <t xml:space="preserve">Psalms</t>
        </is>
      </c>
      <c r="G188" s="15" t="inlineStr">
        <is>
          <t xml:space="preserve">Rise of the Monarchy</t>
        </is>
      </c>
      <c r="H188" s="15" t="inlineStr">
        <is>
          <t xml:space="preserve">David at Gath</t>
        </is>
      </c>
      <c r="I188" s="15" t="inlineStr">
        <is>
          <t xml:space="preserve">Psalm 56: David among the Philistines at Gath</t>
        </is>
      </c>
      <c r="J188" s="15" t="inlineStr">
        <is>
          <t xml:space="preserve">Psalm 56</t>
        </is>
      </c>
      <c r="K188" s="15" t="inlineStr">
        <is>
          <t xml:space="preserve">High</t>
        </is>
      </c>
      <c r="L188" s="15" t="inlineStr">
        <is>
          <t xml:space="preserve">Probable</t>
        </is>
      </c>
      <c r="M188" s="15" t="inlineStr">
        <is>
          <t xml:space="preserve">Attach to v0.1 event</t>
        </is>
      </c>
      <c r="N188" s="15" t="inlineStr">
        <is>
          <t xml:space="preserve">Read this block as part of the linked event before Full Stream completion.</t>
        </is>
      </c>
      <c r="O188" s="15" t="inlineStr">
        <is>
          <t xml:space="preserve">Show as a linked account; keep it pending unless the reader chooses to continue this event.</t>
        </is>
      </c>
      <c r="P188" s="15" t="inlineStr">
        <is>
          <t xml:space="preserve">Yes</t>
        </is>
      </c>
      <c r="Q188" s="15" t="inlineStr">
        <is>
          <t xml:space="preserve">Psalms; The Life of David</t>
        </is>
      </c>
      <c r="R188" s="15" t="inlineStr">
        <is>
          <t xml:space="preserve">CRS-1SA-011</t>
        </is>
      </c>
      <c r="S188" s="15" t="inlineStr">
        <is>
          <t xml:space="preserve">SRC-TEXT-PSALMS; SRC-PSALMS-OVERVIEW; SRC-PSALM-SUPERSCRIPTIONS</t>
        </is>
      </c>
      <c r="T188" s="15" t="inlineStr">
        <is>
          <t xml:space="preserve">Editorial</t>
        </is>
      </c>
      <c r="U188" s="11" t="inlineStr">
        <is>
          <t xml:space="preserve">Needs Review</t>
        </is>
      </c>
      <c r="V188" s="15"/>
      <c r="W188" s="15" t="inlineStr">
        <is>
          <t xml:space="preserve">Superscription-based link to David's capture among the Philistines at Gath.</t>
        </is>
      </c>
    </row>
    <row r="189" ht="34" customHeight="1">
      <c r="A189" s="15" t="inlineStr">
        <is>
          <t xml:space="preserve">v0.2</t>
        </is>
      </c>
      <c r="B189" s="15" t="inlineStr">
        <is>
          <t xml:space="preserve">Bible_Journey_Canon_Map_v0_2_Chronicles_Psalms_Job_1Kings.xlsx</t>
        </is>
      </c>
      <c r="C189" s="15" t="inlineStr">
        <is>
          <t xml:space="preserve">CRS-PSA-018</t>
        </is>
      </c>
      <c r="D189" s="15"/>
      <c r="E189" s="15">
        <v>2</v>
      </c>
      <c r="F189" s="15" t="inlineStr">
        <is>
          <t xml:space="preserve">Psalms</t>
        </is>
      </c>
      <c r="G189" s="15" t="inlineStr">
        <is>
          <t xml:space="preserve">Rise of the Monarchy</t>
        </is>
      </c>
      <c r="H189" s="15" t="inlineStr">
        <is>
          <t xml:space="preserve">David in a cave</t>
        </is>
      </c>
      <c r="I189" s="15" t="inlineStr">
        <is>
          <t xml:space="preserve">Psalm 57: David in the cave</t>
        </is>
      </c>
      <c r="J189" s="15" t="inlineStr">
        <is>
          <t xml:space="preserve">Psalm 57</t>
        </is>
      </c>
      <c r="K189" s="15" t="inlineStr">
        <is>
          <t xml:space="preserve">High</t>
        </is>
      </c>
      <c r="L189" s="15" t="inlineStr">
        <is>
          <t xml:space="preserve">Debated</t>
        </is>
      </c>
      <c r="M189" s="15" t="inlineStr">
        <is>
          <t xml:space="preserve">Poetry connection / debated historical link</t>
        </is>
      </c>
      <c r="N189" s="15" t="inlineStr">
        <is>
          <t xml:space="preserve">Read this block as part of the linked event before Full Stream completion.</t>
        </is>
      </c>
      <c r="O189" s="15" t="inlineStr">
        <is>
          <t xml:space="preserve">Show as a linked account; keep it pending unless the reader chooses to continue this event.</t>
        </is>
      </c>
      <c r="P189" s="15" t="inlineStr">
        <is>
          <t xml:space="preserve">No</t>
        </is>
      </c>
      <c r="Q189" s="15" t="inlineStr">
        <is>
          <t xml:space="preserve">Psalms; Wisdom &amp; Worship</t>
        </is>
      </c>
      <c r="R189" s="15"/>
      <c r="S189" s="15" t="inlineStr">
        <is>
          <t xml:space="preserve">SRC-TEXT-PSALMS; SRC-PSALMS-OVERVIEW; SRC-PSALM-SUPERSCRIPTIONS</t>
        </is>
      </c>
      <c r="T189" s="15" t="inlineStr">
        <is>
          <t xml:space="preserve">Editorial</t>
        </is>
      </c>
      <c r="U189" s="11" t="inlineStr">
        <is>
          <t xml:space="preserve">Needs Review</t>
        </is>
      </c>
      <c r="V189" s="15"/>
      <c r="W189" s="15" t="inlineStr">
        <is>
          <t xml:space="preserve">The superscription says 'when he fled from Saul in the cave,' but more than one narrative cave setting is possible.</t>
        </is>
      </c>
    </row>
    <row r="190" ht="34" customHeight="1">
      <c r="A190" s="15" t="inlineStr">
        <is>
          <t xml:space="preserve">v0.2</t>
        </is>
      </c>
      <c r="B190" s="15" t="inlineStr">
        <is>
          <t xml:space="preserve">Bible_Journey_Canon_Map_v0_2_Chronicles_Psalms_Job_1Kings.xlsx</t>
        </is>
      </c>
      <c r="C190" s="15" t="inlineStr">
        <is>
          <t xml:space="preserve">CRS-PSA-019</t>
        </is>
      </c>
      <c r="D190" s="15"/>
      <c r="E190" s="15">
        <v>2</v>
      </c>
      <c r="F190" s="15" t="inlineStr">
        <is>
          <t xml:space="preserve">Psalms</t>
        </is>
      </c>
      <c r="G190" s="15" t="inlineStr">
        <is>
          <t xml:space="preserve">Davidic poetry collection</t>
        </is>
      </c>
      <c r="H190" s="15" t="inlineStr">
        <is>
          <t xml:space="preserve">Book II</t>
        </is>
      </c>
      <c r="I190" s="15" t="inlineStr">
        <is>
          <t xml:space="preserve">Psalm 58: Davidic prayer without identified event</t>
        </is>
      </c>
      <c r="J190" s="15" t="inlineStr">
        <is>
          <t xml:space="preserve">Psalm 58</t>
        </is>
      </c>
      <c r="K190" s="15" t="inlineStr">
        <is>
          <t xml:space="preserve">High</t>
        </is>
      </c>
      <c r="L190" s="13" t="inlineStr">
        <is>
          <t xml:space="preserve">Unresolved</t>
        </is>
      </c>
      <c r="M190" s="15" t="inlineStr">
        <is>
          <t xml:space="preserve">Poetry collection / broad Davidic window</t>
        </is>
      </c>
      <c r="N190" s="15" t="inlineStr">
        <is>
          <t xml:space="preserve">Read this collection window in full; chronology is disclosed as unresolved or broad.</t>
        </is>
      </c>
      <c r="O190" s="15" t="inlineStr">
        <is>
          <t xml:space="preserve">Offer as an identified collection window; never imply a precise historical date.</t>
        </is>
      </c>
      <c r="P190" s="15" t="inlineStr">
        <is>
          <t xml:space="preserve">No</t>
        </is>
      </c>
      <c r="Q190" s="15" t="inlineStr">
        <is>
          <t xml:space="preserve">Psalms; The Life of David</t>
        </is>
      </c>
      <c r="R190" s="15"/>
      <c r="S190" s="15" t="inlineStr">
        <is>
          <t xml:space="preserve">SRC-TEXT-PSALMS; SRC-PSALMS-OVERVIEW; SRC-PSALM-SUPERSCRIPTIONS</t>
        </is>
      </c>
      <c r="T190" s="15" t="inlineStr">
        <is>
          <t xml:space="preserve">Editorial</t>
        </is>
      </c>
      <c r="U190" s="11" t="inlineStr">
        <is>
          <t xml:space="preserve">Needs Review</t>
        </is>
      </c>
      <c r="V190" s="15"/>
      <c r="W190" s="15" t="inlineStr">
        <is>
          <t xml:space="preserve">No specific event link is established.</t>
        </is>
      </c>
    </row>
    <row r="191" ht="34" customHeight="1">
      <c r="A191" s="15" t="inlineStr">
        <is>
          <t xml:space="preserve">v0.2</t>
        </is>
      </c>
      <c r="B191" s="15" t="inlineStr">
        <is>
          <t xml:space="preserve">Bible_Journey_Canon_Map_v0_2_Chronicles_Psalms_Job_1Kings.xlsx</t>
        </is>
      </c>
      <c r="C191" s="15" t="inlineStr">
        <is>
          <t xml:space="preserve">CRS-PSA-020</t>
        </is>
      </c>
      <c r="D191" s="15"/>
      <c r="E191" s="15">
        <v>2</v>
      </c>
      <c r="F191" s="15" t="inlineStr">
        <is>
          <t xml:space="preserve">Psalms</t>
        </is>
      </c>
      <c r="G191" s="15" t="inlineStr">
        <is>
          <t xml:space="preserve">Rise of the Monarchy</t>
        </is>
      </c>
      <c r="H191" s="15" t="inlineStr">
        <is>
          <t xml:space="preserve">Saul watches David's house</t>
        </is>
      </c>
      <c r="I191" s="15" t="inlineStr">
        <is>
          <t xml:space="preserve">Psalm 59: escape from Saul's agents</t>
        </is>
      </c>
      <c r="J191" s="15" t="inlineStr">
        <is>
          <t xml:space="preserve">Psalm 59</t>
        </is>
      </c>
      <c r="K191" s="15" t="inlineStr">
        <is>
          <t xml:space="preserve">High</t>
        </is>
      </c>
      <c r="L191" s="15" t="inlineStr">
        <is>
          <t xml:space="preserve">Probable</t>
        </is>
      </c>
      <c r="M191" s="15" t="inlineStr">
        <is>
          <t xml:space="preserve">Attach to v0.1 event</t>
        </is>
      </c>
      <c r="N191" s="15" t="inlineStr">
        <is>
          <t xml:space="preserve">Read this block as part of the linked event before Full Stream completion.</t>
        </is>
      </c>
      <c r="O191" s="15" t="inlineStr">
        <is>
          <t xml:space="preserve">Show as a linked account; keep it pending unless the reader chooses to continue this event.</t>
        </is>
      </c>
      <c r="P191" s="15" t="inlineStr">
        <is>
          <t xml:space="preserve">Yes</t>
        </is>
      </c>
      <c r="Q191" s="15" t="inlineStr">
        <is>
          <t xml:space="preserve">Psalms; The Life of David</t>
        </is>
      </c>
      <c r="R191" s="15" t="inlineStr">
        <is>
          <t xml:space="preserve">CRS-1SA-009</t>
        </is>
      </c>
      <c r="S191" s="15" t="inlineStr">
        <is>
          <t xml:space="preserve">SRC-TEXT-PSALMS; SRC-PSALMS-OVERVIEW; SRC-PSALM-SUPERSCRIPTIONS</t>
        </is>
      </c>
      <c r="T191" s="15" t="inlineStr">
        <is>
          <t xml:space="preserve">Editorial</t>
        </is>
      </c>
      <c r="U191" s="11" t="inlineStr">
        <is>
          <t xml:space="preserve">Needs Review</t>
        </is>
      </c>
      <c r="V191" s="15"/>
      <c r="W191" s="15" t="inlineStr">
        <is>
          <t xml:space="preserve">Superscription-based link to Saul's surveillance of David's house.</t>
        </is>
      </c>
    </row>
    <row r="192" ht="34" customHeight="1">
      <c r="A192" s="15" t="inlineStr">
        <is>
          <t xml:space="preserve">v0.2</t>
        </is>
      </c>
      <c r="B192" s="15" t="inlineStr">
        <is>
          <t xml:space="preserve">Bible_Journey_Canon_Map_v0_2_Chronicles_Psalms_Job_1Kings.xlsx</t>
        </is>
      </c>
      <c r="C192" s="15" t="inlineStr">
        <is>
          <t xml:space="preserve">CRS-PSA-021</t>
        </is>
      </c>
      <c r="D192" s="15"/>
      <c r="E192" s="15">
        <v>2</v>
      </c>
      <c r="F192" s="15" t="inlineStr">
        <is>
          <t xml:space="preserve">Psalms</t>
        </is>
      </c>
      <c r="G192" s="15" t="inlineStr">
        <is>
          <t xml:space="preserve">United Monarchy</t>
        </is>
      </c>
      <c r="H192" s="15" t="inlineStr">
        <is>
          <t xml:space="preserve">David's wars</t>
        </is>
      </c>
      <c r="I192" s="15" t="inlineStr">
        <is>
          <t xml:space="preserve">Psalm 60: David's victories over Aram and Edom</t>
        </is>
      </c>
      <c r="J192" s="15" t="inlineStr">
        <is>
          <t xml:space="preserve">Psalm 60</t>
        </is>
      </c>
      <c r="K192" s="15" t="inlineStr">
        <is>
          <t xml:space="preserve">High</t>
        </is>
      </c>
      <c r="L192" s="15" t="inlineStr">
        <is>
          <t xml:space="preserve">Probable</t>
        </is>
      </c>
      <c r="M192" s="15" t="inlineStr">
        <is>
          <t xml:space="preserve">Attach to v0.1 event</t>
        </is>
      </c>
      <c r="N192" s="15" t="inlineStr">
        <is>
          <t xml:space="preserve">Read this block as part of the linked event before Full Stream completion.</t>
        </is>
      </c>
      <c r="O192" s="15" t="inlineStr">
        <is>
          <t xml:space="preserve">Show as a linked account; keep it pending unless the reader chooses to continue this event.</t>
        </is>
      </c>
      <c r="P192" s="15" t="inlineStr">
        <is>
          <t xml:space="preserve">Yes</t>
        </is>
      </c>
      <c r="Q192" s="15" t="inlineStr">
        <is>
          <t xml:space="preserve">Psalms; The Life of David</t>
        </is>
      </c>
      <c r="R192" s="15" t="inlineStr">
        <is>
          <t xml:space="preserve">CRS-2SA-006</t>
        </is>
      </c>
      <c r="S192" s="15" t="inlineStr">
        <is>
          <t xml:space="preserve">SRC-TEXT-PSALMS; SRC-PSALMS-OVERVIEW; SRC-PSALM-SUPERSCRIPTIONS</t>
        </is>
      </c>
      <c r="T192" s="15" t="inlineStr">
        <is>
          <t xml:space="preserve">Editorial</t>
        </is>
      </c>
      <c r="U192" s="11" t="inlineStr">
        <is>
          <t xml:space="preserve">Needs Review</t>
        </is>
      </c>
      <c r="V192" s="15"/>
      <c r="W192" s="15" t="inlineStr">
        <is>
          <t xml:space="preserve">Superscription names conflicts that align broadly with Davidic war accounts; precise correlation remains editorially complex.</t>
        </is>
      </c>
    </row>
    <row r="193" ht="34" customHeight="1">
      <c r="A193" s="15" t="inlineStr">
        <is>
          <t xml:space="preserve">v0.2</t>
        </is>
      </c>
      <c r="B193" s="15" t="inlineStr">
        <is>
          <t xml:space="preserve">Bible_Journey_Canon_Map_v0_2_Chronicles_Psalms_Job_1Kings.xlsx</t>
        </is>
      </c>
      <c r="C193" s="15" t="inlineStr">
        <is>
          <t xml:space="preserve">CRS-PSA-022</t>
        </is>
      </c>
      <c r="D193" s="15"/>
      <c r="E193" s="15">
        <v>2</v>
      </c>
      <c r="F193" s="15" t="inlineStr">
        <is>
          <t xml:space="preserve">Psalms</t>
        </is>
      </c>
      <c r="G193" s="15" t="inlineStr">
        <is>
          <t xml:space="preserve">Davidic poetry collection</t>
        </is>
      </c>
      <c r="H193" s="15" t="inlineStr">
        <is>
          <t xml:space="preserve">Book II</t>
        </is>
      </c>
      <c r="I193" s="15" t="inlineStr">
        <is>
          <t xml:space="preserve">Psalms 61-62: Davidic prayers without identified event</t>
        </is>
      </c>
      <c r="J193" s="15" t="inlineStr">
        <is>
          <t xml:space="preserve">Psalms 61-62</t>
        </is>
      </c>
      <c r="K193" s="15" t="inlineStr">
        <is>
          <t xml:space="preserve">High</t>
        </is>
      </c>
      <c r="L193" s="13" t="inlineStr">
        <is>
          <t xml:space="preserve">Unresolved</t>
        </is>
      </c>
      <c r="M193" s="15" t="inlineStr">
        <is>
          <t xml:space="preserve">Poetry collection / broad Davidic window</t>
        </is>
      </c>
      <c r="N193" s="15" t="inlineStr">
        <is>
          <t xml:space="preserve">Read this collection window in full; chronology is disclosed as unresolved or broad.</t>
        </is>
      </c>
      <c r="O193" s="15" t="inlineStr">
        <is>
          <t xml:space="preserve">Offer as an identified collection window; never imply a precise historical date.</t>
        </is>
      </c>
      <c r="P193" s="15" t="inlineStr">
        <is>
          <t xml:space="preserve">No</t>
        </is>
      </c>
      <c r="Q193" s="15" t="inlineStr">
        <is>
          <t xml:space="preserve">Psalms; The Life of David</t>
        </is>
      </c>
      <c r="R193" s="15"/>
      <c r="S193" s="15" t="inlineStr">
        <is>
          <t xml:space="preserve">SRC-TEXT-PSALMS; SRC-PSALMS-OVERVIEW; SRC-PSALM-SUPERSCRIPTIONS</t>
        </is>
      </c>
      <c r="T193" s="15" t="inlineStr">
        <is>
          <t xml:space="preserve">Editorial</t>
        </is>
      </c>
      <c r="U193" s="11" t="inlineStr">
        <is>
          <t xml:space="preserve">Needs Review</t>
        </is>
      </c>
      <c r="V193" s="15"/>
      <c r="W193" s="15" t="inlineStr">
        <is>
          <t xml:space="preserve">No single event link is asserted.</t>
        </is>
      </c>
    </row>
    <row r="194" ht="34" customHeight="1">
      <c r="A194" s="15" t="inlineStr">
        <is>
          <t xml:space="preserve">v0.2</t>
        </is>
      </c>
      <c r="B194" s="15" t="inlineStr">
        <is>
          <t xml:space="preserve">Bible_Journey_Canon_Map_v0_2_Chronicles_Psalms_Job_1Kings.xlsx</t>
        </is>
      </c>
      <c r="C194" s="15" t="inlineStr">
        <is>
          <t xml:space="preserve">CRS-PSA-023</t>
        </is>
      </c>
      <c r="D194" s="15"/>
      <c r="E194" s="15">
        <v>2</v>
      </c>
      <c r="F194" s="15" t="inlineStr">
        <is>
          <t xml:space="preserve">Psalms</t>
        </is>
      </c>
      <c r="G194" s="15" t="inlineStr">
        <is>
          <t xml:space="preserve">Davidic poetry collection</t>
        </is>
      </c>
      <c r="H194" s="15" t="inlineStr">
        <is>
          <t xml:space="preserve">Wilderness of Judah</t>
        </is>
      </c>
      <c r="I194" s="15" t="inlineStr">
        <is>
          <t xml:space="preserve">Psalm 63: David in the wilderness of Judah</t>
        </is>
      </c>
      <c r="J194" s="15" t="inlineStr">
        <is>
          <t xml:space="preserve">Psalm 63</t>
        </is>
      </c>
      <c r="K194" s="15" t="inlineStr">
        <is>
          <t xml:space="preserve">High</t>
        </is>
      </c>
      <c r="L194" s="15" t="inlineStr">
        <is>
          <t xml:space="preserve">Debated</t>
        </is>
      </c>
      <c r="M194" s="15" t="inlineStr">
        <is>
          <t xml:space="preserve">Poetry connection / debated historical link</t>
        </is>
      </c>
      <c r="N194" s="15" t="inlineStr">
        <is>
          <t xml:space="preserve">Read this block as part of the linked event before Full Stream completion.</t>
        </is>
      </c>
      <c r="O194" s="15" t="inlineStr">
        <is>
          <t xml:space="preserve">Show as a linked account; keep it pending unless the reader chooses to continue this event.</t>
        </is>
      </c>
      <c r="P194" s="15" t="inlineStr">
        <is>
          <t xml:space="preserve">No</t>
        </is>
      </c>
      <c r="Q194" s="15" t="inlineStr">
        <is>
          <t xml:space="preserve">Psalms; The Life of David</t>
        </is>
      </c>
      <c r="R194" s="15"/>
      <c r="S194" s="15" t="inlineStr">
        <is>
          <t xml:space="preserve">SRC-TEXT-PSALMS; SRC-PSALMS-OVERVIEW; SRC-PSALM-SUPERSCRIPTIONS</t>
        </is>
      </c>
      <c r="T194" s="15" t="inlineStr">
        <is>
          <t xml:space="preserve">Editorial</t>
        </is>
      </c>
      <c r="U194" s="11" t="inlineStr">
        <is>
          <t xml:space="preserve">Needs Review</t>
        </is>
      </c>
      <c r="V194" s="15"/>
      <c r="W194" s="15" t="inlineStr">
        <is>
          <t xml:space="preserve">Heading identifies the wilderness of Judah but not a unique episode. Do not choose between Saul/Absalom settings without a disclosed method.</t>
        </is>
      </c>
    </row>
    <row r="195" ht="34" customHeight="1">
      <c r="A195" s="15" t="inlineStr">
        <is>
          <t xml:space="preserve">v0.2</t>
        </is>
      </c>
      <c r="B195" s="15" t="inlineStr">
        <is>
          <t xml:space="preserve">Bible_Journey_Canon_Map_v0_2_Chronicles_Psalms_Job_1Kings.xlsx</t>
        </is>
      </c>
      <c r="C195" s="15" t="inlineStr">
        <is>
          <t xml:space="preserve">CRS-PSA-024</t>
        </is>
      </c>
      <c r="D195" s="15"/>
      <c r="E195" s="15">
        <v>2</v>
      </c>
      <c r="F195" s="15" t="inlineStr">
        <is>
          <t xml:space="preserve">Psalms</t>
        </is>
      </c>
      <c r="G195" s="15" t="inlineStr">
        <is>
          <t xml:space="preserve">Davidic poetry collection</t>
        </is>
      </c>
      <c r="H195" s="15" t="inlineStr">
        <is>
          <t xml:space="preserve">Book II</t>
        </is>
      </c>
      <c r="I195" s="15" t="inlineStr">
        <is>
          <t xml:space="preserve">Psalms 64-71: Davidic prayers and royal material</t>
        </is>
      </c>
      <c r="J195" s="15" t="inlineStr">
        <is>
          <t xml:space="preserve">Psalms 64-71</t>
        </is>
      </c>
      <c r="K195" s="15" t="inlineStr">
        <is>
          <t xml:space="preserve">High</t>
        </is>
      </c>
      <c r="L195" s="13" t="inlineStr">
        <is>
          <t xml:space="preserve">Unresolved</t>
        </is>
      </c>
      <c r="M195" s="15" t="inlineStr">
        <is>
          <t xml:space="preserve">Poetry collection / broad Davidic window</t>
        </is>
      </c>
      <c r="N195" s="15" t="inlineStr">
        <is>
          <t xml:space="preserve">Read this collection window in full; chronology is disclosed as unresolved or broad.</t>
        </is>
      </c>
      <c r="O195" s="15" t="inlineStr">
        <is>
          <t xml:space="preserve">Offer as an identified collection window; never imply a precise historical date.</t>
        </is>
      </c>
      <c r="P195" s="15" t="inlineStr">
        <is>
          <t xml:space="preserve">No</t>
        </is>
      </c>
      <c r="Q195" s="15" t="inlineStr">
        <is>
          <t xml:space="preserve">Psalms; The Life of David</t>
        </is>
      </c>
      <c r="R195" s="15"/>
      <c r="S195" s="15" t="inlineStr">
        <is>
          <t xml:space="preserve">SRC-TEXT-PSALMS; SRC-PSALMS-OVERVIEW; SRC-PSALM-SUPERSCRIPTIONS</t>
        </is>
      </c>
      <c r="T195" s="15" t="inlineStr">
        <is>
          <t xml:space="preserve">Editorial</t>
        </is>
      </c>
      <c r="U195" s="11" t="inlineStr">
        <is>
          <t xml:space="preserve">Needs Review</t>
        </is>
      </c>
      <c r="V195" s="15"/>
      <c r="W195" s="15" t="inlineStr">
        <is>
          <t xml:space="preserve">No single historical sequence is asserted for the collection.</t>
        </is>
      </c>
    </row>
    <row r="196" ht="34" customHeight="1">
      <c r="A196" s="15" t="inlineStr">
        <is>
          <t xml:space="preserve">v0.2</t>
        </is>
      </c>
      <c r="B196" s="15" t="inlineStr">
        <is>
          <t xml:space="preserve">Bible_Journey_Canon_Map_v0_2_Chronicles_Psalms_Job_1Kings.xlsx</t>
        </is>
      </c>
      <c r="C196" s="15" t="inlineStr">
        <is>
          <t xml:space="preserve">CRS-PSA-025</t>
        </is>
      </c>
      <c r="D196" s="15"/>
      <c r="E196" s="15">
        <v>2</v>
      </c>
      <c r="F196" s="15" t="inlineStr">
        <is>
          <t xml:space="preserve">Psalms</t>
        </is>
      </c>
      <c r="G196" s="15" t="inlineStr">
        <is>
          <t xml:space="preserve">Solomonic window</t>
        </is>
      </c>
      <c r="H196" s="15" t="inlineStr">
        <is>
          <t xml:space="preserve">Royal psalm</t>
        </is>
      </c>
      <c r="I196" s="15" t="inlineStr">
        <is>
          <t xml:space="preserve">Psalm 72: royal prayer associated with Solomon</t>
        </is>
      </c>
      <c r="J196" s="15" t="inlineStr">
        <is>
          <t xml:space="preserve">Psalm 72</t>
        </is>
      </c>
      <c r="K196" s="15" t="inlineStr">
        <is>
          <t xml:space="preserve">High</t>
        </is>
      </c>
      <c r="L196" s="15" t="inlineStr">
        <is>
          <t xml:space="preserve">Probable</t>
        </is>
      </c>
      <c r="M196" s="15" t="inlineStr">
        <is>
          <t xml:space="preserve">Solomonic window / no fixed event placement</t>
        </is>
      </c>
      <c r="N196" s="15" t="inlineStr">
        <is>
          <t xml:space="preserve">Read this collection window in full; chronology is disclosed as unresolved or broad.</t>
        </is>
      </c>
      <c r="O196" s="15" t="inlineStr">
        <is>
          <t xml:space="preserve">Offer as an identified collection window; never imply a precise historical date.</t>
        </is>
      </c>
      <c r="P196" s="15" t="inlineStr">
        <is>
          <t xml:space="preserve">Yes</t>
        </is>
      </c>
      <c r="Q196" s="15" t="inlineStr">
        <is>
          <t xml:space="preserve">Psalms; The Life of David</t>
        </is>
      </c>
      <c r="R196" s="15" t="inlineStr">
        <is>
          <t xml:space="preserve">CRS-1KG-003</t>
        </is>
      </c>
      <c r="S196" s="15" t="inlineStr">
        <is>
          <t xml:space="preserve">SRC-TEXT-PSALMS; SRC-PSALMS-OVERVIEW; SRC-PSALM-SUPERSCRIPTIONS</t>
        </is>
      </c>
      <c r="T196" s="15" t="inlineStr">
        <is>
          <t xml:space="preserve">Editorial</t>
        </is>
      </c>
      <c r="U196" s="11" t="inlineStr">
        <is>
          <t xml:space="preserve">Needs Review</t>
        </is>
      </c>
      <c r="V196" s="15"/>
      <c r="W196" s="15" t="inlineStr">
        <is>
          <t xml:space="preserve">The heading associates the psalm with Solomon, but it does not specify a dated narrative event. Link broadly to Solomonic kingship rather than a precise moment.</t>
        </is>
      </c>
    </row>
    <row r="197" ht="34" customHeight="1">
      <c r="A197" s="15" t="inlineStr">
        <is>
          <t xml:space="preserve">v0.2</t>
        </is>
      </c>
      <c r="B197" s="15" t="inlineStr">
        <is>
          <t xml:space="preserve">Bible_Journey_Canon_Map_v0_2_Chronicles_Psalms_Job_1Kings.xlsx</t>
        </is>
      </c>
      <c r="C197" s="15" t="inlineStr">
        <is>
          <t xml:space="preserve">CRS-PSA-026</t>
        </is>
      </c>
      <c r="D197" s="15"/>
      <c r="E197" s="15">
        <v>2</v>
      </c>
      <c r="F197" s="15" t="inlineStr">
        <is>
          <t xml:space="preserve">Psalms</t>
        </is>
      </c>
      <c r="G197" s="15" t="inlineStr">
        <is>
          <t xml:space="preserve">Temple / communal poetry collections</t>
        </is>
      </c>
      <c r="H197" s="15" t="inlineStr">
        <is>
          <t xml:space="preserve">Books II-III</t>
        </is>
      </c>
      <c r="I197" s="15" t="inlineStr">
        <is>
          <t xml:space="preserve">Psalms 73-89: Asaph, Korahite, and royal collections</t>
        </is>
      </c>
      <c r="J197" s="15" t="inlineStr">
        <is>
          <t xml:space="preserve">Psalms 73-89</t>
        </is>
      </c>
      <c r="K197" s="15" t="inlineStr">
        <is>
          <t xml:space="preserve">High</t>
        </is>
      </c>
      <c r="L197" s="13" t="inlineStr">
        <is>
          <t xml:space="preserve">Unresolved</t>
        </is>
      </c>
      <c r="M197" s="15" t="inlineStr">
        <is>
          <t xml:space="preserve">Poetry collection / no fixed event placement</t>
        </is>
      </c>
      <c r="N197" s="15" t="inlineStr">
        <is>
          <t xml:space="preserve">Read this collection window in full; chronology is disclosed as unresolved or broad.</t>
        </is>
      </c>
      <c r="O197" s="15" t="inlineStr">
        <is>
          <t xml:space="preserve">Offer as an identified collection window; never imply a precise historical date.</t>
        </is>
      </c>
      <c r="P197" s="15" t="inlineStr">
        <is>
          <t xml:space="preserve">No</t>
        </is>
      </c>
      <c r="Q197" s="15" t="inlineStr">
        <is>
          <t xml:space="preserve">Psalms; Wisdom &amp; Worship</t>
        </is>
      </c>
      <c r="R197" s="15"/>
      <c r="S197" s="15" t="inlineStr">
        <is>
          <t xml:space="preserve">SRC-TEXT-PSALMS; SRC-PSALMS-OVERVIEW; SRC-PSALM-SUPERSCRIPTIONS</t>
        </is>
      </c>
      <c r="T197" s="15" t="inlineStr">
        <is>
          <t xml:space="preserve">Editorial</t>
        </is>
      </c>
      <c r="U197" s="11" t="inlineStr">
        <is>
          <t xml:space="preserve">Needs Review</t>
        </is>
      </c>
      <c r="V197" s="15"/>
      <c r="W197" s="15" t="inlineStr">
        <is>
          <t xml:space="preserve">Mixed attribution and likely multi-period collection. Keep as a disclosed literary collection, not one historical era.</t>
        </is>
      </c>
    </row>
    <row r="198" ht="34" customHeight="1">
      <c r="A198" s="15" t="inlineStr">
        <is>
          <t xml:space="preserve">v0.2</t>
        </is>
      </c>
      <c r="B198" s="15" t="inlineStr">
        <is>
          <t xml:space="preserve">Bible_Journey_Canon_Map_v0_2_Chronicles_Psalms_Job_1Kings.xlsx</t>
        </is>
      </c>
      <c r="C198" s="15" t="inlineStr">
        <is>
          <t xml:space="preserve">CRS-PSA-027</t>
        </is>
      </c>
      <c r="D198" s="15"/>
      <c r="E198" s="15">
        <v>2</v>
      </c>
      <c r="F198" s="15" t="inlineStr">
        <is>
          <t xml:space="preserve">Psalms</t>
        </is>
      </c>
      <c r="G198" s="15" t="inlineStr">
        <is>
          <t xml:space="preserve">Mosaic tradition</t>
        </is>
      </c>
      <c r="H198" s="15" t="inlineStr">
        <is>
          <t xml:space="preserve">Book IV opening</t>
        </is>
      </c>
      <c r="I198" s="15" t="inlineStr">
        <is>
          <t xml:space="preserve">Psalm 90: prayer associated with Moses</t>
        </is>
      </c>
      <c r="J198" s="15" t="inlineStr">
        <is>
          <t xml:space="preserve">Psalm 90</t>
        </is>
      </c>
      <c r="K198" s="15" t="inlineStr">
        <is>
          <t xml:space="preserve">High</t>
        </is>
      </c>
      <c r="L198" s="15" t="inlineStr">
        <is>
          <t xml:space="preserve">Debated</t>
        </is>
      </c>
      <c r="M198" s="15" t="inlineStr">
        <is>
          <t xml:space="preserve">Mosaic tradition / no fixed event placement</t>
        </is>
      </c>
      <c r="N198" s="15" t="inlineStr">
        <is>
          <t xml:space="preserve">Read this block as part of the linked event before Full Stream completion.</t>
        </is>
      </c>
      <c r="O198" s="15" t="inlineStr">
        <is>
          <t xml:space="preserve">Show as a linked account; keep it pending unless the reader chooses to continue this event.</t>
        </is>
      </c>
      <c r="P198" s="15" t="inlineStr">
        <is>
          <t xml:space="preserve">No</t>
        </is>
      </c>
      <c r="Q198" s="15" t="inlineStr">
        <is>
          <t xml:space="preserve">Psalms; Wisdom &amp; Worship</t>
        </is>
      </c>
      <c r="R198" s="15"/>
      <c r="S198" s="15" t="inlineStr">
        <is>
          <t xml:space="preserve">SRC-TEXT-PSALMS; SRC-PSALMS-OVERVIEW; SRC-PSALM-SUPERSCRIPTIONS</t>
        </is>
      </c>
      <c r="T198" s="15" t="inlineStr">
        <is>
          <t xml:space="preserve">Editorial</t>
        </is>
      </c>
      <c r="U198" s="11" t="inlineStr">
        <is>
          <t xml:space="preserve">Needs Review</t>
        </is>
      </c>
      <c r="V198" s="15"/>
      <c r="W198" s="15" t="inlineStr">
        <is>
          <t xml:space="preserve">Traditional heading links to Moses; no particular wilderness episode is identified.</t>
        </is>
      </c>
    </row>
    <row r="199" ht="34" customHeight="1">
      <c r="A199" s="15" t="inlineStr">
        <is>
          <t xml:space="preserve">v0.2</t>
        </is>
      </c>
      <c r="B199" s="15" t="inlineStr">
        <is>
          <t xml:space="preserve">Bible_Journey_Canon_Map_v0_2_Chronicles_Psalms_Job_1Kings.xlsx</t>
        </is>
      </c>
      <c r="C199" s="15" t="inlineStr">
        <is>
          <t xml:space="preserve">CRS-PSA-028</t>
        </is>
      </c>
      <c r="D199" s="15"/>
      <c r="E199" s="15">
        <v>2</v>
      </c>
      <c r="F199" s="15" t="inlineStr">
        <is>
          <t xml:space="preserve">Psalms</t>
        </is>
      </c>
      <c r="G199" s="15" t="inlineStr">
        <is>
          <t xml:space="preserve">Psalter collection</t>
        </is>
      </c>
      <c r="H199" s="15" t="inlineStr">
        <is>
          <t xml:space="preserve">Book IV</t>
        </is>
      </c>
      <c r="I199" s="15" t="inlineStr">
        <is>
          <t xml:space="preserve">Psalms 91-95: Book IV opening collection</t>
        </is>
      </c>
      <c r="J199" s="15" t="inlineStr">
        <is>
          <t xml:space="preserve">Psalms 91-95</t>
        </is>
      </c>
      <c r="K199" s="15" t="inlineStr">
        <is>
          <t xml:space="preserve">High</t>
        </is>
      </c>
      <c r="L199" s="13" t="inlineStr">
        <is>
          <t xml:space="preserve">Unresolved</t>
        </is>
      </c>
      <c r="M199" s="15" t="inlineStr">
        <is>
          <t xml:space="preserve">Poetry collection / no fixed event placement</t>
        </is>
      </c>
      <c r="N199" s="15" t="inlineStr">
        <is>
          <t xml:space="preserve">Read this collection window in full; chronology is disclosed as unresolved or broad.</t>
        </is>
      </c>
      <c r="O199" s="15" t="inlineStr">
        <is>
          <t xml:space="preserve">Offer as an identified collection window; never imply a precise historical date.</t>
        </is>
      </c>
      <c r="P199" s="15" t="inlineStr">
        <is>
          <t xml:space="preserve">No</t>
        </is>
      </c>
      <c r="Q199" s="15" t="inlineStr">
        <is>
          <t xml:space="preserve">Psalms; Wisdom &amp; Worship</t>
        </is>
      </c>
      <c r="R199" s="15"/>
      <c r="S199" s="15" t="inlineStr">
        <is>
          <t xml:space="preserve">SRC-TEXT-PSALMS; SRC-PSALMS-OVERVIEW; SRC-PSALM-SUPERSCRIPTIONS</t>
        </is>
      </c>
      <c r="T199" s="15" t="inlineStr">
        <is>
          <t xml:space="preserve">Editorial</t>
        </is>
      </c>
      <c r="U199" s="11" t="inlineStr">
        <is>
          <t xml:space="preserve">Needs Review</t>
        </is>
      </c>
      <c r="V199" s="15"/>
      <c r="W199" s="15" t="inlineStr">
        <is>
          <t xml:space="preserve">Book-level literary grouping; no precise historical placement is claimed.</t>
        </is>
      </c>
    </row>
    <row r="200" ht="34" customHeight="1">
      <c r="A200" s="15" t="inlineStr">
        <is>
          <t xml:space="preserve">v0.2</t>
        </is>
      </c>
      <c r="B200" s="15" t="inlineStr">
        <is>
          <t xml:space="preserve">Bible_Journey_Canon_Map_v0_2_Chronicles_Psalms_Job_1Kings.xlsx</t>
        </is>
      </c>
      <c r="C200" s="15" t="inlineStr">
        <is>
          <t xml:space="preserve">CRS-PSA-029</t>
        </is>
      </c>
      <c r="D200" s="15"/>
      <c r="E200" s="15">
        <v>2</v>
      </c>
      <c r="F200" s="15" t="inlineStr">
        <is>
          <t xml:space="preserve">Psalms</t>
        </is>
      </c>
      <c r="G200" s="15" t="inlineStr">
        <is>
          <t xml:space="preserve">United Monarchy</t>
        </is>
      </c>
      <c r="H200" s="15" t="inlineStr">
        <is>
          <t xml:space="preserve">Ark and worship liturgy</t>
        </is>
      </c>
      <c r="I200" s="15" t="inlineStr">
        <is>
          <t xml:space="preserve">Psalm 96: worship text reused in Chronicles' ark liturgy</t>
        </is>
      </c>
      <c r="J200" s="15" t="inlineStr">
        <is>
          <t xml:space="preserve">Psalm 96</t>
        </is>
      </c>
      <c r="K200" s="15" t="inlineStr">
        <is>
          <t xml:space="preserve">High</t>
        </is>
      </c>
      <c r="L200" s="15" t="inlineStr">
        <is>
          <t xml:space="preserve">High</t>
        </is>
      </c>
      <c r="M200" s="15" t="inlineStr">
        <is>
          <t xml:space="preserve">Textual reuse / linked liturgy</t>
        </is>
      </c>
      <c r="N200" s="15" t="inlineStr">
        <is>
          <t xml:space="preserve">Read this block as part of the linked event before Full Stream completion.</t>
        </is>
      </c>
      <c r="O200" s="15" t="inlineStr">
        <is>
          <t xml:space="preserve">Show as a linked account; keep it pending unless the reader chooses to continue this event.</t>
        </is>
      </c>
      <c r="P200" s="15" t="inlineStr">
        <is>
          <t xml:space="preserve">Yes</t>
        </is>
      </c>
      <c r="Q200" s="15" t="inlineStr">
        <is>
          <t xml:space="preserve">Psalms; The Life of David</t>
        </is>
      </c>
      <c r="R200" s="15" t="inlineStr">
        <is>
          <t xml:space="preserve">CRS-1CH-012</t>
        </is>
      </c>
      <c r="S200" s="15" t="inlineStr">
        <is>
          <t xml:space="preserve">SRC-TEXT-PSALMS; SRC-PSALMS-OVERVIEW; SRC-PSALM-SUPERSCRIPTIONS</t>
        </is>
      </c>
      <c r="T200" s="15" t="inlineStr">
        <is>
          <t xml:space="preserve">Editorial</t>
        </is>
      </c>
      <c r="U200" s="11" t="inlineStr">
        <is>
          <t xml:space="preserve">Needs Review</t>
        </is>
      </c>
      <c r="V200" s="15"/>
      <c r="W200" s="15" t="inlineStr">
        <is>
          <t xml:space="preserve">1 Chronicles 16 reuses language corresponding to Psalm 96. Present as an intertextual connection, not proof that Psalm 96 was composed on that day.</t>
        </is>
      </c>
    </row>
    <row r="201" ht="34" customHeight="1">
      <c r="A201" s="15" t="inlineStr">
        <is>
          <t xml:space="preserve">v0.2</t>
        </is>
      </c>
      <c r="B201" s="15" t="inlineStr">
        <is>
          <t xml:space="preserve">Bible_Journey_Canon_Map_v0_2_Chronicles_Psalms_Job_1Kings.xlsx</t>
        </is>
      </c>
      <c r="C201" s="15" t="inlineStr">
        <is>
          <t xml:space="preserve">CRS-PSA-030</t>
        </is>
      </c>
      <c r="D201" s="15"/>
      <c r="E201" s="15">
        <v>2</v>
      </c>
      <c r="F201" s="15" t="inlineStr">
        <is>
          <t xml:space="preserve">Psalms</t>
        </is>
      </c>
      <c r="G201" s="15" t="inlineStr">
        <is>
          <t xml:space="preserve">Psalter collection</t>
        </is>
      </c>
      <c r="H201" s="15" t="inlineStr">
        <is>
          <t xml:space="preserve">Book IV</t>
        </is>
      </c>
      <c r="I201" s="15" t="inlineStr">
        <is>
          <t xml:space="preserve">Psalms 97-104: kingship, worship, and creation praise</t>
        </is>
      </c>
      <c r="J201" s="15" t="inlineStr">
        <is>
          <t xml:space="preserve">Psalms 97-104</t>
        </is>
      </c>
      <c r="K201" s="15" t="inlineStr">
        <is>
          <t xml:space="preserve">High</t>
        </is>
      </c>
      <c r="L201" s="13" t="inlineStr">
        <is>
          <t xml:space="preserve">Unresolved</t>
        </is>
      </c>
      <c r="M201" s="15" t="inlineStr">
        <is>
          <t xml:space="preserve">Poetry collection / no fixed event placement</t>
        </is>
      </c>
      <c r="N201" s="15" t="inlineStr">
        <is>
          <t xml:space="preserve">Read this collection window in full; chronology is disclosed as unresolved or broad.</t>
        </is>
      </c>
      <c r="O201" s="15" t="inlineStr">
        <is>
          <t xml:space="preserve">Offer as an identified collection window; never imply a precise historical date.</t>
        </is>
      </c>
      <c r="P201" s="15" t="inlineStr">
        <is>
          <t xml:space="preserve">No</t>
        </is>
      </c>
      <c r="Q201" s="15" t="inlineStr">
        <is>
          <t xml:space="preserve">Psalms; Wisdom &amp; Worship</t>
        </is>
      </c>
      <c r="R201" s="15"/>
      <c r="S201" s="15" t="inlineStr">
        <is>
          <t xml:space="preserve">SRC-TEXT-PSALMS; SRC-PSALMS-OVERVIEW; SRC-PSALM-SUPERSCRIPTIONS</t>
        </is>
      </c>
      <c r="T201" s="15" t="inlineStr">
        <is>
          <t xml:space="preserve">Editorial</t>
        </is>
      </c>
      <c r="U201" s="11" t="inlineStr">
        <is>
          <t xml:space="preserve">Needs Review</t>
        </is>
      </c>
      <c r="V201" s="15"/>
      <c r="W201" s="15" t="inlineStr">
        <is>
          <t xml:space="preserve">Book-level collection. Psalm 100 and other liturgical forms should not be forced into a single event.</t>
        </is>
      </c>
    </row>
    <row r="202" ht="34" customHeight="1">
      <c r="A202" s="15" t="inlineStr">
        <is>
          <t xml:space="preserve">v0.2</t>
        </is>
      </c>
      <c r="B202" s="15" t="inlineStr">
        <is>
          <t xml:space="preserve">Bible_Journey_Canon_Map_v0_2_Chronicles_Psalms_Job_1Kings.xlsx</t>
        </is>
      </c>
      <c r="C202" s="15" t="inlineStr">
        <is>
          <t xml:space="preserve">CRS-PSA-031</t>
        </is>
      </c>
      <c r="D202" s="15"/>
      <c r="E202" s="15">
        <v>2</v>
      </c>
      <c r="F202" s="15" t="inlineStr">
        <is>
          <t xml:space="preserve">Psalms</t>
        </is>
      </c>
      <c r="G202" s="15" t="inlineStr">
        <is>
          <t xml:space="preserve">United Monarchy</t>
        </is>
      </c>
      <c r="H202" s="15" t="inlineStr">
        <is>
          <t xml:space="preserve">Ark and worship liturgy</t>
        </is>
      </c>
      <c r="I202" s="15" t="inlineStr">
        <is>
          <t xml:space="preserve">Psalm 105: covenant-history text reused in Chronicles' ark liturgy</t>
        </is>
      </c>
      <c r="J202" s="15" t="inlineStr">
        <is>
          <t xml:space="preserve">Psalm 105</t>
        </is>
      </c>
      <c r="K202" s="15" t="inlineStr">
        <is>
          <t xml:space="preserve">High</t>
        </is>
      </c>
      <c r="L202" s="15" t="inlineStr">
        <is>
          <t xml:space="preserve">High</t>
        </is>
      </c>
      <c r="M202" s="15" t="inlineStr">
        <is>
          <t xml:space="preserve">Textual reuse / linked liturgy</t>
        </is>
      </c>
      <c r="N202" s="15" t="inlineStr">
        <is>
          <t xml:space="preserve">Read this block as part of the linked event before Full Stream completion.</t>
        </is>
      </c>
      <c r="O202" s="15" t="inlineStr">
        <is>
          <t xml:space="preserve">Show as a linked account; keep it pending unless the reader chooses to continue this event.</t>
        </is>
      </c>
      <c r="P202" s="15" t="inlineStr">
        <is>
          <t xml:space="preserve">Yes</t>
        </is>
      </c>
      <c r="Q202" s="15" t="inlineStr">
        <is>
          <t xml:space="preserve">Psalms; The Life of David</t>
        </is>
      </c>
      <c r="R202" s="15" t="inlineStr">
        <is>
          <t xml:space="preserve">CRS-1CH-012</t>
        </is>
      </c>
      <c r="S202" s="15" t="inlineStr">
        <is>
          <t xml:space="preserve">SRC-TEXT-PSALMS; SRC-PSALMS-OVERVIEW; SRC-PSALM-SUPERSCRIPTIONS</t>
        </is>
      </c>
      <c r="T202" s="15" t="inlineStr">
        <is>
          <t xml:space="preserve">Editorial</t>
        </is>
      </c>
      <c r="U202" s="11" t="inlineStr">
        <is>
          <t xml:space="preserve">Needs Review</t>
        </is>
      </c>
      <c r="V202" s="15"/>
      <c r="W202" s="15" t="inlineStr">
        <is>
          <t xml:space="preserve">1 Chronicles 16 reuses a substantial section corresponding to Psalm 105. Label as textual reuse / liturgical connection.</t>
        </is>
      </c>
    </row>
    <row r="203" ht="34" customHeight="1">
      <c r="A203" s="15" t="inlineStr">
        <is>
          <t xml:space="preserve">v0.2</t>
        </is>
      </c>
      <c r="B203" s="15" t="inlineStr">
        <is>
          <t xml:space="preserve">Bible_Journey_Canon_Map_v0_2_Chronicles_Psalms_Job_1Kings.xlsx</t>
        </is>
      </c>
      <c r="C203" s="15" t="inlineStr">
        <is>
          <t xml:space="preserve">CRS-PSA-032</t>
        </is>
      </c>
      <c r="D203" s="15"/>
      <c r="E203" s="15">
        <v>2</v>
      </c>
      <c r="F203" s="15" t="inlineStr">
        <is>
          <t xml:space="preserve">Psalms</t>
        </is>
      </c>
      <c r="G203" s="15" t="inlineStr">
        <is>
          <t xml:space="preserve">United Monarchy</t>
        </is>
      </c>
      <c r="H203" s="15" t="inlineStr">
        <is>
          <t xml:space="preserve">Ark and worship liturgy</t>
        </is>
      </c>
      <c r="I203" s="15" t="inlineStr">
        <is>
          <t xml:space="preserve">Psalm 106: thanksgiving and covenant memory linked to Chronicles' liturgy</t>
        </is>
      </c>
      <c r="J203" s="15" t="inlineStr">
        <is>
          <t xml:space="preserve">Psalm 106</t>
        </is>
      </c>
      <c r="K203" s="15" t="inlineStr">
        <is>
          <t xml:space="preserve">High</t>
        </is>
      </c>
      <c r="L203" s="15" t="inlineStr">
        <is>
          <t xml:space="preserve">Probable</t>
        </is>
      </c>
      <c r="M203" s="15" t="inlineStr">
        <is>
          <t xml:space="preserve">Textual reuse / linked liturgy</t>
        </is>
      </c>
      <c r="N203" s="15" t="inlineStr">
        <is>
          <t xml:space="preserve">Read this block as part of the linked event before Full Stream completion.</t>
        </is>
      </c>
      <c r="O203" s="15" t="inlineStr">
        <is>
          <t xml:space="preserve">Show as a linked account; keep it pending unless the reader chooses to continue this event.</t>
        </is>
      </c>
      <c r="P203" s="15" t="inlineStr">
        <is>
          <t xml:space="preserve">Yes</t>
        </is>
      </c>
      <c r="Q203" s="15" t="inlineStr">
        <is>
          <t xml:space="preserve">Psalms; The Life of David</t>
        </is>
      </c>
      <c r="R203" s="15" t="inlineStr">
        <is>
          <t xml:space="preserve">CRS-1CH-012</t>
        </is>
      </c>
      <c r="S203" s="15" t="inlineStr">
        <is>
          <t xml:space="preserve">SRC-TEXT-PSALMS; SRC-PSALMS-OVERVIEW; SRC-PSALM-SUPERSCRIPTIONS</t>
        </is>
      </c>
      <c r="T203" s="15" t="inlineStr">
        <is>
          <t xml:space="preserve">Editorial</t>
        </is>
      </c>
      <c r="U203" s="11" t="inlineStr">
        <is>
          <t xml:space="preserve">Needs Review</t>
        </is>
      </c>
      <c r="V203" s="15"/>
      <c r="W203" s="15" t="inlineStr">
        <is>
          <t xml:space="preserve">1 Chronicles 16 shares opening/closing language with Psalm 106. Treat as an intertextual link, not as a simple composition date.</t>
        </is>
      </c>
    </row>
    <row r="204" ht="34" customHeight="1">
      <c r="A204" s="15" t="inlineStr">
        <is>
          <t xml:space="preserve">v0.2</t>
        </is>
      </c>
      <c r="B204" s="15" t="inlineStr">
        <is>
          <t xml:space="preserve">Bible_Journey_Canon_Map_v0_2_Chronicles_Psalms_Job_1Kings.xlsx</t>
        </is>
      </c>
      <c r="C204" s="15" t="inlineStr">
        <is>
          <t xml:space="preserve">CRS-PSA-033</t>
        </is>
      </c>
      <c r="D204" s="15"/>
      <c r="E204" s="15">
        <v>2</v>
      </c>
      <c r="F204" s="15" t="inlineStr">
        <is>
          <t xml:space="preserve">Psalms</t>
        </is>
      </c>
      <c r="G204" s="15" t="inlineStr">
        <is>
          <t xml:space="preserve">Psalter collection</t>
        </is>
      </c>
      <c r="H204" s="15" t="inlineStr">
        <is>
          <t xml:space="preserve">Book V opening</t>
        </is>
      </c>
      <c r="I204" s="15" t="inlineStr">
        <is>
          <t xml:space="preserve">Psalms 107-121: restoration, royal, and pilgrimage collection</t>
        </is>
      </c>
      <c r="J204" s="15" t="inlineStr">
        <is>
          <t xml:space="preserve">Psalms 107-121</t>
        </is>
      </c>
      <c r="K204" s="15" t="inlineStr">
        <is>
          <t xml:space="preserve">High</t>
        </is>
      </c>
      <c r="L204" s="13" t="inlineStr">
        <is>
          <t xml:space="preserve">Unresolved</t>
        </is>
      </c>
      <c r="M204" s="15" t="inlineStr">
        <is>
          <t xml:space="preserve">Poetry collection / no fixed event placement</t>
        </is>
      </c>
      <c r="N204" s="15" t="inlineStr">
        <is>
          <t xml:space="preserve">Read this collection window in full; chronology is disclosed as unresolved or broad.</t>
        </is>
      </c>
      <c r="O204" s="15" t="inlineStr">
        <is>
          <t xml:space="preserve">Offer as an identified collection window; never imply a precise historical date.</t>
        </is>
      </c>
      <c r="P204" s="15" t="inlineStr">
        <is>
          <t xml:space="preserve">No</t>
        </is>
      </c>
      <c r="Q204" s="15" t="inlineStr">
        <is>
          <t xml:space="preserve">Psalms; Wisdom &amp; Worship</t>
        </is>
      </c>
      <c r="R204" s="15"/>
      <c r="S204" s="15" t="inlineStr">
        <is>
          <t xml:space="preserve">SRC-TEXT-PSALMS; SRC-PSALMS-OVERVIEW; SRC-PSALM-SUPERSCRIPTIONS</t>
        </is>
      </c>
      <c r="T204" s="15" t="inlineStr">
        <is>
          <t xml:space="preserve">Editorial</t>
        </is>
      </c>
      <c r="U204" s="11" t="inlineStr">
        <is>
          <t xml:space="preserve">Needs Review</t>
        </is>
      </c>
      <c r="V204" s="15"/>
      <c r="W204" s="15" t="inlineStr">
        <is>
          <t xml:space="preserve">Collection includes multiple forms and titles; do not attribute all to a common historical event.</t>
        </is>
      </c>
    </row>
    <row r="205" ht="34" customHeight="1">
      <c r="A205" s="15" t="inlineStr">
        <is>
          <t xml:space="preserve">v0.2</t>
        </is>
      </c>
      <c r="B205" s="15" t="inlineStr">
        <is>
          <t xml:space="preserve">Bible_Journey_Canon_Map_v0_2_Chronicles_Psalms_Job_1Kings.xlsx</t>
        </is>
      </c>
      <c r="C205" s="15" t="inlineStr">
        <is>
          <t xml:space="preserve">CRS-PSA-034</t>
        </is>
      </c>
      <c r="D205" s="15"/>
      <c r="E205" s="15">
        <v>2</v>
      </c>
      <c r="F205" s="15" t="inlineStr">
        <is>
          <t xml:space="preserve">Psalms</t>
        </is>
      </c>
      <c r="G205" s="15" t="inlineStr">
        <is>
          <t xml:space="preserve">Davidic / pilgrimage tradition</t>
        </is>
      </c>
      <c r="H205" s="15" t="inlineStr">
        <is>
          <t xml:space="preserve">Songs of Ascents</t>
        </is>
      </c>
      <c r="I205" s="15" t="inlineStr">
        <is>
          <t xml:space="preserve">Psalm 122: a Song of Ascents associated with David</t>
        </is>
      </c>
      <c r="J205" s="15" t="inlineStr">
        <is>
          <t xml:space="preserve">Psalm 122</t>
        </is>
      </c>
      <c r="K205" s="15" t="inlineStr">
        <is>
          <t xml:space="preserve">High</t>
        </is>
      </c>
      <c r="L205" s="15" t="inlineStr">
        <is>
          <t xml:space="preserve">Debated</t>
        </is>
      </c>
      <c r="M205" s="15" t="inlineStr">
        <is>
          <t xml:space="preserve">Poetry connection / debated historical link</t>
        </is>
      </c>
      <c r="N205" s="15" t="inlineStr">
        <is>
          <t xml:space="preserve">Read this block as part of the linked event before Full Stream completion.</t>
        </is>
      </c>
      <c r="O205" s="15" t="inlineStr">
        <is>
          <t xml:space="preserve">Show as a linked account; keep it pending unless the reader chooses to continue this event.</t>
        </is>
      </c>
      <c r="P205" s="15" t="inlineStr">
        <is>
          <t xml:space="preserve">No</t>
        </is>
      </c>
      <c r="Q205" s="15" t="inlineStr">
        <is>
          <t xml:space="preserve">Psalms; The Life of David</t>
        </is>
      </c>
      <c r="R205" s="15"/>
      <c r="S205" s="15" t="inlineStr">
        <is>
          <t xml:space="preserve">SRC-TEXT-PSALMS; SRC-PSALMS-OVERVIEW; SRC-PSALM-SUPERSCRIPTIONS</t>
        </is>
      </c>
      <c r="T205" s="15" t="inlineStr">
        <is>
          <t xml:space="preserve">Editorial</t>
        </is>
      </c>
      <c r="U205" s="11" t="inlineStr">
        <is>
          <t xml:space="preserve">Needs Review</t>
        </is>
      </c>
      <c r="V205" s="15"/>
      <c r="W205" s="15" t="inlineStr">
        <is>
          <t xml:space="preserve">Davidic heading does not specify an event. Later pilgrimage setting must not be collapsed into a single David-era date.</t>
        </is>
      </c>
    </row>
    <row r="206" ht="34" customHeight="1">
      <c r="A206" s="15" t="inlineStr">
        <is>
          <t xml:space="preserve">v0.2</t>
        </is>
      </c>
      <c r="B206" s="15" t="inlineStr">
        <is>
          <t xml:space="preserve">Bible_Journey_Canon_Map_v0_2_Chronicles_Psalms_Job_1Kings.xlsx</t>
        </is>
      </c>
      <c r="C206" s="15" t="inlineStr">
        <is>
          <t xml:space="preserve">CRS-PSA-035</t>
        </is>
      </c>
      <c r="D206" s="15"/>
      <c r="E206" s="15">
        <v>2</v>
      </c>
      <c r="F206" s="15" t="inlineStr">
        <is>
          <t xml:space="preserve">Psalms</t>
        </is>
      </c>
      <c r="G206" s="15" t="inlineStr">
        <is>
          <t xml:space="preserve">Pilgrimage collection</t>
        </is>
      </c>
      <c r="H206" s="15" t="inlineStr">
        <is>
          <t xml:space="preserve">Songs of Ascents</t>
        </is>
      </c>
      <c r="I206" s="15" t="inlineStr">
        <is>
          <t xml:space="preserve">Psalms 123-126: Songs of Ascents</t>
        </is>
      </c>
      <c r="J206" s="15" t="inlineStr">
        <is>
          <t xml:space="preserve">Psalms 123-126</t>
        </is>
      </c>
      <c r="K206" s="15" t="inlineStr">
        <is>
          <t xml:space="preserve">High</t>
        </is>
      </c>
      <c r="L206" s="13" t="inlineStr">
        <is>
          <t xml:space="preserve">Unresolved</t>
        </is>
      </c>
      <c r="M206" s="15" t="inlineStr">
        <is>
          <t xml:space="preserve">Poetry collection / no fixed event placement</t>
        </is>
      </c>
      <c r="N206" s="15" t="inlineStr">
        <is>
          <t xml:space="preserve">Read this collection window in full; chronology is disclosed as unresolved or broad.</t>
        </is>
      </c>
      <c r="O206" s="15" t="inlineStr">
        <is>
          <t xml:space="preserve">Offer as an identified collection window; never imply a precise historical date.</t>
        </is>
      </c>
      <c r="P206" s="15" t="inlineStr">
        <is>
          <t xml:space="preserve">No</t>
        </is>
      </c>
      <c r="Q206" s="15" t="inlineStr">
        <is>
          <t xml:space="preserve">Psalms; Wisdom &amp; Worship</t>
        </is>
      </c>
      <c r="R206" s="15"/>
      <c r="S206" s="15" t="inlineStr">
        <is>
          <t xml:space="preserve">SRC-TEXT-PSALMS; SRC-PSALMS-OVERVIEW; SRC-PSALM-SUPERSCRIPTIONS</t>
        </is>
      </c>
      <c r="T206" s="15" t="inlineStr">
        <is>
          <t xml:space="preserve">Editorial</t>
        </is>
      </c>
      <c r="U206" s="11" t="inlineStr">
        <is>
          <t xml:space="preserve">Needs Review</t>
        </is>
      </c>
      <c r="V206" s="15"/>
      <c r="W206" s="15" t="inlineStr">
        <is>
          <t xml:space="preserve">Pilgrimage collection; no precise historical placement is asserted.</t>
        </is>
      </c>
    </row>
    <row r="207" ht="34" customHeight="1">
      <c r="A207" s="15" t="inlineStr">
        <is>
          <t xml:space="preserve">v0.2</t>
        </is>
      </c>
      <c r="B207" s="15" t="inlineStr">
        <is>
          <t xml:space="preserve">Bible_Journey_Canon_Map_v0_2_Chronicles_Psalms_Job_1Kings.xlsx</t>
        </is>
      </c>
      <c r="C207" s="15" t="inlineStr">
        <is>
          <t xml:space="preserve">CRS-PSA-036</t>
        </is>
      </c>
      <c r="D207" s="15"/>
      <c r="E207" s="15">
        <v>2</v>
      </c>
      <c r="F207" s="15" t="inlineStr">
        <is>
          <t xml:space="preserve">Psalms</t>
        </is>
      </c>
      <c r="G207" s="15" t="inlineStr">
        <is>
          <t xml:space="preserve">Solomonic window</t>
        </is>
      </c>
      <c r="H207" s="15" t="inlineStr">
        <is>
          <t xml:space="preserve">Songs of Ascents</t>
        </is>
      </c>
      <c r="I207" s="15" t="inlineStr">
        <is>
          <t xml:space="preserve">Psalm 127: associated with Solomon</t>
        </is>
      </c>
      <c r="J207" s="15" t="inlineStr">
        <is>
          <t xml:space="preserve">Psalm 127</t>
        </is>
      </c>
      <c r="K207" s="15" t="inlineStr">
        <is>
          <t xml:space="preserve">High</t>
        </is>
      </c>
      <c r="L207" s="15" t="inlineStr">
        <is>
          <t xml:space="preserve">Probable</t>
        </is>
      </c>
      <c r="M207" s="15" t="inlineStr">
        <is>
          <t xml:space="preserve">Solomonic window / no fixed event placement</t>
        </is>
      </c>
      <c r="N207" s="15" t="inlineStr">
        <is>
          <t xml:space="preserve">Read this collection window in full; chronology is disclosed as unresolved or broad.</t>
        </is>
      </c>
      <c r="O207" s="15" t="inlineStr">
        <is>
          <t xml:space="preserve">Offer as an identified collection window; never imply a precise historical date.</t>
        </is>
      </c>
      <c r="P207" s="15" t="inlineStr">
        <is>
          <t xml:space="preserve">Yes</t>
        </is>
      </c>
      <c r="Q207" s="15" t="inlineStr">
        <is>
          <t xml:space="preserve">Psalms; The Life of David</t>
        </is>
      </c>
      <c r="R207" s="15" t="inlineStr">
        <is>
          <t xml:space="preserve">CRS-1KG-005</t>
        </is>
      </c>
      <c r="S207" s="15" t="inlineStr">
        <is>
          <t xml:space="preserve">SRC-TEXT-PSALMS; SRC-PSALMS-OVERVIEW; SRC-PSALM-SUPERSCRIPTIONS</t>
        </is>
      </c>
      <c r="T207" s="15" t="inlineStr">
        <is>
          <t xml:space="preserve">Editorial</t>
        </is>
      </c>
      <c r="U207" s="11" t="inlineStr">
        <is>
          <t xml:space="preserve">Needs Review</t>
        </is>
      </c>
      <c r="V207" s="15"/>
      <c r="W207" s="15" t="inlineStr">
        <is>
          <t xml:space="preserve">Heading associates the psalm with Solomon, but not with a specific building event. Link broadly to temple/household wisdom context.</t>
        </is>
      </c>
    </row>
    <row r="208" ht="34" customHeight="1">
      <c r="A208" s="15" t="inlineStr">
        <is>
          <t xml:space="preserve">v0.2</t>
        </is>
      </c>
      <c r="B208" s="15" t="inlineStr">
        <is>
          <t xml:space="preserve">Bible_Journey_Canon_Map_v0_2_Chronicles_Psalms_Job_1Kings.xlsx</t>
        </is>
      </c>
      <c r="C208" s="15" t="inlineStr">
        <is>
          <t xml:space="preserve">CRS-PSA-037</t>
        </is>
      </c>
      <c r="D208" s="15"/>
      <c r="E208" s="15">
        <v>2</v>
      </c>
      <c r="F208" s="15" t="inlineStr">
        <is>
          <t xml:space="preserve">Psalms</t>
        </is>
      </c>
      <c r="G208" s="15" t="inlineStr">
        <is>
          <t xml:space="preserve">Pilgrimage collection</t>
        </is>
      </c>
      <c r="H208" s="15" t="inlineStr">
        <is>
          <t xml:space="preserve">Songs of Ascents</t>
        </is>
      </c>
      <c r="I208" s="15" t="inlineStr">
        <is>
          <t xml:space="preserve">Psalms 128-130: Songs of Ascents</t>
        </is>
      </c>
      <c r="J208" s="15" t="inlineStr">
        <is>
          <t xml:space="preserve">Psalms 128-130</t>
        </is>
      </c>
      <c r="K208" s="15" t="inlineStr">
        <is>
          <t xml:space="preserve">High</t>
        </is>
      </c>
      <c r="L208" s="13" t="inlineStr">
        <is>
          <t xml:space="preserve">Unresolved</t>
        </is>
      </c>
      <c r="M208" s="15" t="inlineStr">
        <is>
          <t xml:space="preserve">Poetry collection / no fixed event placement</t>
        </is>
      </c>
      <c r="N208" s="15" t="inlineStr">
        <is>
          <t xml:space="preserve">Read this collection window in full; chronology is disclosed as unresolved or broad.</t>
        </is>
      </c>
      <c r="O208" s="15" t="inlineStr">
        <is>
          <t xml:space="preserve">Offer as an identified collection window; never imply a precise historical date.</t>
        </is>
      </c>
      <c r="P208" s="15" t="inlineStr">
        <is>
          <t xml:space="preserve">No</t>
        </is>
      </c>
      <c r="Q208" s="15" t="inlineStr">
        <is>
          <t xml:space="preserve">Psalms; Wisdom &amp; Worship</t>
        </is>
      </c>
      <c r="R208" s="15"/>
      <c r="S208" s="15" t="inlineStr">
        <is>
          <t xml:space="preserve">SRC-TEXT-PSALMS; SRC-PSALMS-OVERVIEW; SRC-PSALM-SUPERSCRIPTIONS</t>
        </is>
      </c>
      <c r="T208" s="15" t="inlineStr">
        <is>
          <t xml:space="preserve">Editorial</t>
        </is>
      </c>
      <c r="U208" s="11" t="inlineStr">
        <is>
          <t xml:space="preserve">Needs Review</t>
        </is>
      </c>
      <c r="V208" s="15"/>
      <c r="W208" s="15" t="inlineStr">
        <is>
          <t xml:space="preserve">No precise historical placement is asserted.</t>
        </is>
      </c>
    </row>
    <row r="209" ht="34" customHeight="1">
      <c r="A209" s="15" t="inlineStr">
        <is>
          <t xml:space="preserve">v0.2</t>
        </is>
      </c>
      <c r="B209" s="15" t="inlineStr">
        <is>
          <t xml:space="preserve">Bible_Journey_Canon_Map_v0_2_Chronicles_Psalms_Job_1Kings.xlsx</t>
        </is>
      </c>
      <c r="C209" s="15" t="inlineStr">
        <is>
          <t xml:space="preserve">CRS-PSA-038</t>
        </is>
      </c>
      <c r="D209" s="15"/>
      <c r="E209" s="15">
        <v>2</v>
      </c>
      <c r="F209" s="15" t="inlineStr">
        <is>
          <t xml:space="preserve">Psalms</t>
        </is>
      </c>
      <c r="G209" s="15" t="inlineStr">
        <is>
          <t xml:space="preserve">Davidic / pilgrimage tradition</t>
        </is>
      </c>
      <c r="H209" s="15" t="inlineStr">
        <is>
          <t xml:space="preserve">Songs of Ascents</t>
        </is>
      </c>
      <c r="I209" s="15" t="inlineStr">
        <is>
          <t xml:space="preserve">Psalm 131: a Song of Ascents associated with David</t>
        </is>
      </c>
      <c r="J209" s="15" t="inlineStr">
        <is>
          <t xml:space="preserve">Psalm 131</t>
        </is>
      </c>
      <c r="K209" s="15" t="inlineStr">
        <is>
          <t xml:space="preserve">High</t>
        </is>
      </c>
      <c r="L209" s="15" t="inlineStr">
        <is>
          <t xml:space="preserve">Debated</t>
        </is>
      </c>
      <c r="M209" s="15" t="inlineStr">
        <is>
          <t xml:space="preserve">Poetry connection / debated historical link</t>
        </is>
      </c>
      <c r="N209" s="15" t="inlineStr">
        <is>
          <t xml:space="preserve">Read this block as part of the linked event before Full Stream completion.</t>
        </is>
      </c>
      <c r="O209" s="15" t="inlineStr">
        <is>
          <t xml:space="preserve">Show as a linked account; keep it pending unless the reader chooses to continue this event.</t>
        </is>
      </c>
      <c r="P209" s="15" t="inlineStr">
        <is>
          <t xml:space="preserve">No</t>
        </is>
      </c>
      <c r="Q209" s="15" t="inlineStr">
        <is>
          <t xml:space="preserve">Psalms; The Life of David</t>
        </is>
      </c>
      <c r="R209" s="15"/>
      <c r="S209" s="15" t="inlineStr">
        <is>
          <t xml:space="preserve">SRC-TEXT-PSALMS; SRC-PSALMS-OVERVIEW; SRC-PSALM-SUPERSCRIPTIONS</t>
        </is>
      </c>
      <c r="T209" s="15" t="inlineStr">
        <is>
          <t xml:space="preserve">Editorial</t>
        </is>
      </c>
      <c r="U209" s="11" t="inlineStr">
        <is>
          <t xml:space="preserve">Needs Review</t>
        </is>
      </c>
      <c r="V209" s="15"/>
      <c r="W209" s="15" t="inlineStr">
        <is>
          <t xml:space="preserve">Davidic heading does not identify a narrative moment.</t>
        </is>
      </c>
    </row>
    <row r="210" ht="34" customHeight="1">
      <c r="A210" s="15" t="inlineStr">
        <is>
          <t xml:space="preserve">v0.2</t>
        </is>
      </c>
      <c r="B210" s="15" t="inlineStr">
        <is>
          <t xml:space="preserve">Bible_Journey_Canon_Map_v0_2_Chronicles_Psalms_Job_1Kings.xlsx</t>
        </is>
      </c>
      <c r="C210" s="15" t="inlineStr">
        <is>
          <t xml:space="preserve">CRS-PSA-039</t>
        </is>
      </c>
      <c r="D210" s="15"/>
      <c r="E210" s="15">
        <v>2</v>
      </c>
      <c r="F210" s="15" t="inlineStr">
        <is>
          <t xml:space="preserve">Psalms</t>
        </is>
      </c>
      <c r="G210" s="15" t="inlineStr">
        <is>
          <t xml:space="preserve">Davidic covenant / temple tradition</t>
        </is>
      </c>
      <c r="H210" s="15" t="inlineStr">
        <is>
          <t xml:space="preserve">Songs of Ascents</t>
        </is>
      </c>
      <c r="I210" s="15" t="inlineStr">
        <is>
          <t xml:space="preserve">Psalm 132: Davidic covenant and Zion tradition</t>
        </is>
      </c>
      <c r="J210" s="15" t="inlineStr">
        <is>
          <t xml:space="preserve">Psalm 132</t>
        </is>
      </c>
      <c r="K210" s="15" t="inlineStr">
        <is>
          <t xml:space="preserve">High</t>
        </is>
      </c>
      <c r="L210" s="13" t="inlineStr">
        <is>
          <t xml:space="preserve">Unresolved</t>
        </is>
      </c>
      <c r="M210" s="15" t="inlineStr">
        <is>
          <t xml:space="preserve">Poetry connection / broad Davidic-temple window</t>
        </is>
      </c>
      <c r="N210" s="15" t="inlineStr">
        <is>
          <t xml:space="preserve">Read this collection window in full; chronology is disclosed as unresolved or broad.</t>
        </is>
      </c>
      <c r="O210" s="15" t="inlineStr">
        <is>
          <t xml:space="preserve">Offer as an identified collection window; never imply a precise historical date.</t>
        </is>
      </c>
      <c r="P210" s="15" t="inlineStr">
        <is>
          <t xml:space="preserve">No</t>
        </is>
      </c>
      <c r="Q210" s="15" t="inlineStr">
        <is>
          <t xml:space="preserve">Psalms; The Life of David</t>
        </is>
      </c>
      <c r="R210" s="15"/>
      <c r="S210" s="15" t="inlineStr">
        <is>
          <t xml:space="preserve">SRC-TEXT-PSALMS; SRC-PSALMS-OVERVIEW; SRC-PSALM-SUPERSCRIPTIONS</t>
        </is>
      </c>
      <c r="T210" s="15" t="inlineStr">
        <is>
          <t xml:space="preserve">Editorial</t>
        </is>
      </c>
      <c r="U210" s="11" t="inlineStr">
        <is>
          <t xml:space="preserve">Needs Review</t>
        </is>
      </c>
      <c r="V210" s="15"/>
      <c r="W210" s="15" t="inlineStr">
        <is>
          <t xml:space="preserve">Strong David/Zion/ark themes, but no secure one-event placement. Use as broad temple-covenant connection.</t>
        </is>
      </c>
    </row>
    <row r="211" ht="34" customHeight="1">
      <c r="A211" s="15" t="inlineStr">
        <is>
          <t xml:space="preserve">v0.2</t>
        </is>
      </c>
      <c r="B211" s="15" t="inlineStr">
        <is>
          <t xml:space="preserve">Bible_Journey_Canon_Map_v0_2_Chronicles_Psalms_Job_1Kings.xlsx</t>
        </is>
      </c>
      <c r="C211" s="15" t="inlineStr">
        <is>
          <t xml:space="preserve">CRS-PSA-040</t>
        </is>
      </c>
      <c r="D211" s="15"/>
      <c r="E211" s="15">
        <v>2</v>
      </c>
      <c r="F211" s="15" t="inlineStr">
        <is>
          <t xml:space="preserve">Psalms</t>
        </is>
      </c>
      <c r="G211" s="15" t="inlineStr">
        <is>
          <t xml:space="preserve">Davidic / pilgrimage tradition</t>
        </is>
      </c>
      <c r="H211" s="15" t="inlineStr">
        <is>
          <t xml:space="preserve">Songs of Ascents</t>
        </is>
      </c>
      <c r="I211" s="15" t="inlineStr">
        <is>
          <t xml:space="preserve">Psalm 133: a Song of Ascents associated with David</t>
        </is>
      </c>
      <c r="J211" s="15" t="inlineStr">
        <is>
          <t xml:space="preserve">Psalm 133</t>
        </is>
      </c>
      <c r="K211" s="15" t="inlineStr">
        <is>
          <t xml:space="preserve">High</t>
        </is>
      </c>
      <c r="L211" s="15" t="inlineStr">
        <is>
          <t xml:space="preserve">Debated</t>
        </is>
      </c>
      <c r="M211" s="15" t="inlineStr">
        <is>
          <t xml:space="preserve">Poetry connection / debated historical link</t>
        </is>
      </c>
      <c r="N211" s="15" t="inlineStr">
        <is>
          <t xml:space="preserve">Read this block as part of the linked event before Full Stream completion.</t>
        </is>
      </c>
      <c r="O211" s="15" t="inlineStr">
        <is>
          <t xml:space="preserve">Show as a linked account; keep it pending unless the reader chooses to continue this event.</t>
        </is>
      </c>
      <c r="P211" s="15" t="inlineStr">
        <is>
          <t xml:space="preserve">No</t>
        </is>
      </c>
      <c r="Q211" s="15" t="inlineStr">
        <is>
          <t xml:space="preserve">Psalms; The Life of David</t>
        </is>
      </c>
      <c r="R211" s="15"/>
      <c r="S211" s="15" t="inlineStr">
        <is>
          <t xml:space="preserve">SRC-TEXT-PSALMS; SRC-PSALMS-OVERVIEW; SRC-PSALM-SUPERSCRIPTIONS</t>
        </is>
      </c>
      <c r="T211" s="15" t="inlineStr">
        <is>
          <t xml:space="preserve">Editorial</t>
        </is>
      </c>
      <c r="U211" s="11" t="inlineStr">
        <is>
          <t xml:space="preserve">Needs Review</t>
        </is>
      </c>
      <c r="V211" s="15"/>
      <c r="W211" s="15" t="inlineStr">
        <is>
          <t xml:space="preserve">Davidic heading does not identify a narrative moment.</t>
        </is>
      </c>
    </row>
    <row r="212" ht="34" customHeight="1">
      <c r="A212" s="15" t="inlineStr">
        <is>
          <t xml:space="preserve">v0.2</t>
        </is>
      </c>
      <c r="B212" s="15" t="inlineStr">
        <is>
          <t xml:space="preserve">Bible_Journey_Canon_Map_v0_2_Chronicles_Psalms_Job_1Kings.xlsx</t>
        </is>
      </c>
      <c r="C212" s="15" t="inlineStr">
        <is>
          <t xml:space="preserve">CRS-PSA-041</t>
        </is>
      </c>
      <c r="D212" s="15"/>
      <c r="E212" s="15">
        <v>2</v>
      </c>
      <c r="F212" s="15" t="inlineStr">
        <is>
          <t xml:space="preserve">Psalms</t>
        </is>
      </c>
      <c r="G212" s="15" t="inlineStr">
        <is>
          <t xml:space="preserve">Pilgrimage and exile memory</t>
        </is>
      </c>
      <c r="H212" s="15" t="inlineStr">
        <is>
          <t xml:space="preserve">Songs of Ascents / exile memory</t>
        </is>
      </c>
      <c r="I212" s="15" t="inlineStr">
        <is>
          <t xml:space="preserve">Psalms 134-137: worship, memory, and exile-facing material</t>
        </is>
      </c>
      <c r="J212" s="15" t="inlineStr">
        <is>
          <t xml:space="preserve">Psalms 134-137</t>
        </is>
      </c>
      <c r="K212" s="15" t="inlineStr">
        <is>
          <t xml:space="preserve">High</t>
        </is>
      </c>
      <c r="L212" s="13" t="inlineStr">
        <is>
          <t xml:space="preserve">Unresolved</t>
        </is>
      </c>
      <c r="M212" s="15" t="inlineStr">
        <is>
          <t xml:space="preserve">Poetry collection / no fixed event placement</t>
        </is>
      </c>
      <c r="N212" s="15" t="inlineStr">
        <is>
          <t xml:space="preserve">Read this collection window in full; chronology is disclosed as unresolved or broad.</t>
        </is>
      </c>
      <c r="O212" s="15" t="inlineStr">
        <is>
          <t xml:space="preserve">Offer as an identified collection window; never imply a precise historical date.</t>
        </is>
      </c>
      <c r="P212" s="15" t="inlineStr">
        <is>
          <t xml:space="preserve">No</t>
        </is>
      </c>
      <c r="Q212" s="15" t="inlineStr">
        <is>
          <t xml:space="preserve">Psalms; Wisdom &amp; Worship</t>
        </is>
      </c>
      <c r="R212" s="15"/>
      <c r="S212" s="15" t="inlineStr">
        <is>
          <t xml:space="preserve">SRC-TEXT-PSALMS; SRC-PSALMS-OVERVIEW; SRC-PSALM-SUPERSCRIPTIONS</t>
        </is>
      </c>
      <c r="T212" s="15" t="inlineStr">
        <is>
          <t xml:space="preserve">Editorial</t>
        </is>
      </c>
      <c r="U212" s="11" t="inlineStr">
        <is>
          <t xml:space="preserve">Needs Review</t>
        </is>
      </c>
      <c r="V212" s="15"/>
      <c r="W212" s="15" t="inlineStr">
        <is>
          <t xml:space="preserve">Collection spans worship material and Babylon-memory in Psalm 137; do not place as a David-era event.</t>
        </is>
      </c>
    </row>
    <row r="213" ht="34" customHeight="1">
      <c r="A213" s="15" t="inlineStr">
        <is>
          <t xml:space="preserve">v0.2</t>
        </is>
      </c>
      <c r="B213" s="15" t="inlineStr">
        <is>
          <t xml:space="preserve">Bible_Journey_Canon_Map_v0_2_Chronicles_Psalms_Job_1Kings.xlsx</t>
        </is>
      </c>
      <c r="C213" s="15" t="inlineStr">
        <is>
          <t xml:space="preserve">CRS-PSA-042</t>
        </is>
      </c>
      <c r="D213" s="15"/>
      <c r="E213" s="15">
        <v>2</v>
      </c>
      <c r="F213" s="15" t="inlineStr">
        <is>
          <t xml:space="preserve">Psalms</t>
        </is>
      </c>
      <c r="G213" s="15" t="inlineStr">
        <is>
          <t xml:space="preserve">Davidic poetry collection</t>
        </is>
      </c>
      <c r="H213" s="15" t="inlineStr">
        <is>
          <t xml:space="preserve">Book V Davidic collection</t>
        </is>
      </c>
      <c r="I213" s="15" t="inlineStr">
        <is>
          <t xml:space="preserve">Psalms 138-145: Davidic prayers and praise</t>
        </is>
      </c>
      <c r="J213" s="15" t="inlineStr">
        <is>
          <t xml:space="preserve">Psalms 138-145</t>
        </is>
      </c>
      <c r="K213" s="15" t="inlineStr">
        <is>
          <t xml:space="preserve">High</t>
        </is>
      </c>
      <c r="L213" s="13" t="inlineStr">
        <is>
          <t xml:space="preserve">Unresolved</t>
        </is>
      </c>
      <c r="M213" s="15" t="inlineStr">
        <is>
          <t xml:space="preserve">Poetry collection / broad Davidic window</t>
        </is>
      </c>
      <c r="N213" s="15" t="inlineStr">
        <is>
          <t xml:space="preserve">Read this collection window in full; chronology is disclosed as unresolved or broad.</t>
        </is>
      </c>
      <c r="O213" s="15" t="inlineStr">
        <is>
          <t xml:space="preserve">Offer as an identified collection window; never imply a precise historical date.</t>
        </is>
      </c>
      <c r="P213" s="15" t="inlineStr">
        <is>
          <t xml:space="preserve">No</t>
        </is>
      </c>
      <c r="Q213" s="15" t="inlineStr">
        <is>
          <t xml:space="preserve">Psalms; The Life of David</t>
        </is>
      </c>
      <c r="R213" s="15"/>
      <c r="S213" s="15" t="inlineStr">
        <is>
          <t xml:space="preserve">SRC-TEXT-PSALMS; SRC-PSALMS-OVERVIEW; SRC-PSALM-SUPERSCRIPTIONS</t>
        </is>
      </c>
      <c r="T213" s="15" t="inlineStr">
        <is>
          <t xml:space="preserve">Editorial</t>
        </is>
      </c>
      <c r="U213" s="11" t="inlineStr">
        <is>
          <t xml:space="preserve">Needs Review</t>
        </is>
      </c>
      <c r="V213" s="15"/>
      <c r="W213" s="15" t="inlineStr">
        <is>
          <t xml:space="preserve">Davidic headings do not establish a single sequence of historical episodes.</t>
        </is>
      </c>
    </row>
    <row r="214" ht="34" customHeight="1">
      <c r="A214" s="15" t="inlineStr">
        <is>
          <t xml:space="preserve">v0.2</t>
        </is>
      </c>
      <c r="B214" s="15" t="inlineStr">
        <is>
          <t xml:space="preserve">Bible_Journey_Canon_Map_v0_2_Chronicles_Psalms_Job_1Kings.xlsx</t>
        </is>
      </c>
      <c r="C214" s="15" t="inlineStr">
        <is>
          <t xml:space="preserve">CRS-PSA-043</t>
        </is>
      </c>
      <c r="D214" s="15"/>
      <c r="E214" s="15">
        <v>2</v>
      </c>
      <c r="F214" s="15" t="inlineStr">
        <is>
          <t xml:space="preserve">Psalms</t>
        </is>
      </c>
      <c r="G214" s="15" t="inlineStr">
        <is>
          <t xml:space="preserve">Psalter conclusion</t>
        </is>
      </c>
      <c r="H214" s="15" t="inlineStr">
        <is>
          <t xml:space="preserve">Book V closing praise</t>
        </is>
      </c>
      <c r="I214" s="15" t="inlineStr">
        <is>
          <t xml:space="preserve">Psalms 146-150: final praise collection</t>
        </is>
      </c>
      <c r="J214" s="15" t="inlineStr">
        <is>
          <t xml:space="preserve">Psalms 146-150</t>
        </is>
      </c>
      <c r="K214" s="15" t="inlineStr">
        <is>
          <t xml:space="preserve">High</t>
        </is>
      </c>
      <c r="L214" s="13" t="inlineStr">
        <is>
          <t xml:space="preserve">Unresolved</t>
        </is>
      </c>
      <c r="M214" s="15" t="inlineStr">
        <is>
          <t xml:space="preserve">Poetry collection / no fixed event placement</t>
        </is>
      </c>
      <c r="N214" s="15" t="inlineStr">
        <is>
          <t xml:space="preserve">Read this collection window in full; chronology is disclosed as unresolved or broad.</t>
        </is>
      </c>
      <c r="O214" s="15" t="inlineStr">
        <is>
          <t xml:space="preserve">Offer as an identified collection window; never imply a precise historical date.</t>
        </is>
      </c>
      <c r="P214" s="15" t="inlineStr">
        <is>
          <t xml:space="preserve">No</t>
        </is>
      </c>
      <c r="Q214" s="15" t="inlineStr">
        <is>
          <t xml:space="preserve">Psalms; Wisdom &amp; Worship</t>
        </is>
      </c>
      <c r="R214" s="15"/>
      <c r="S214" s="15" t="inlineStr">
        <is>
          <t xml:space="preserve">SRC-TEXT-PSALMS; SRC-PSALMS-OVERVIEW; SRC-PSALM-SUPERSCRIPTIONS</t>
        </is>
      </c>
      <c r="T214" s="15" t="inlineStr">
        <is>
          <t xml:space="preserve">Editorial</t>
        </is>
      </c>
      <c r="U214" s="11" t="inlineStr">
        <is>
          <t xml:space="preserve">Needs Review</t>
        </is>
      </c>
      <c r="V214" s="15"/>
      <c r="W214" s="15" t="inlineStr">
        <is>
          <t xml:space="preserve">Final doxological collection. Treat as literary conclusion, not a dated historical event.</t>
        </is>
      </c>
    </row>
    <row r="215" ht="34" customHeight="1">
      <c r="A215" s="15" t="inlineStr">
        <is>
          <t xml:space="preserve">v0.3</t>
        </is>
      </c>
      <c r="B215" s="15" t="inlineStr">
        <is>
          <t xml:space="preserve">Bible_Journey_Canon_Map_v0_3_2Chronicles_Wisdom_2Kings.xlsx</t>
        </is>
      </c>
      <c r="C215" s="15" t="inlineStr">
        <is>
          <t xml:space="preserve">CRS-BR-2CH-001</t>
        </is>
      </c>
      <c r="D215" s="15">
        <v>1210</v>
      </c>
      <c r="E215" s="15">
        <v>3</v>
      </c>
      <c r="F215" s="15" t="inlineStr">
        <is>
          <t xml:space="preserve">2 Chronicles</t>
        </is>
      </c>
      <c r="G215" s="15" t="inlineStr">
        <is>
          <t xml:space="preserve">United Monarchy</t>
        </is>
      </c>
      <c r="H215" s="15" t="inlineStr">
        <is>
          <t xml:space="preserve">Solomon and the temple</t>
        </is>
      </c>
      <c r="I215" s="15" t="inlineStr">
        <is>
          <t xml:space="preserve">Solomon asks for wisdom</t>
        </is>
      </c>
      <c r="J215" s="15" t="inlineStr">
        <is>
          <t xml:space="preserve">2 Chronicles 1</t>
        </is>
      </c>
      <c r="K215" s="15" t="inlineStr">
        <is>
          <t xml:space="preserve">High</t>
        </is>
      </c>
      <c r="L215" s="15" t="inlineStr">
        <is>
          <t xml:space="preserve">High</t>
        </is>
      </c>
      <c r="M215" s="15" t="inlineStr">
        <is>
          <t xml:space="preserve">Attach to v0.2 event</t>
        </is>
      </c>
      <c r="N215" s="15" t="inlineStr">
        <is>
          <t xml:space="preserve">Read after 1 Kings 3 as the Chronicles account.</t>
        </is>
      </c>
      <c r="O215" s="15" t="inlineStr">
        <is>
          <t xml:space="preserve">Show after the primary account as an optional parallel block; preserve as pending if skipped.</t>
        </is>
      </c>
      <c r="P215" s="15" t="inlineStr">
        <is>
          <t xml:space="preserve">Yes</t>
        </is>
      </c>
      <c r="Q215" s="15" t="inlineStr">
        <is>
          <t xml:space="preserve">The Life of Solomon; Wisdom</t>
        </is>
      </c>
      <c r="R215" s="15" t="inlineStr">
        <is>
          <t xml:space="preserve">Canon Map v0.2 / 1 Kings 3</t>
        </is>
      </c>
      <c r="S215" s="15" t="inlineStr">
        <is>
          <t xml:space="preserve">SRC-CANON-TEXT; SRC-CHRONICLES-OVERVIEW; SRC-KINGS-OVERVIEW</t>
        </is>
      </c>
      <c r="T215" s="15" t="inlineStr">
        <is>
          <t xml:space="preserve">Editorial</t>
        </is>
      </c>
      <c r="U215" s="11" t="inlineStr">
        <is>
          <t xml:space="preserve">Needs Review</t>
        </is>
      </c>
      <c r="V215" s="10" t="inlineStr">
        <is>
          <t xml:space="preserve">Mapped</t>
        </is>
      </c>
      <c r="W215" s="15" t="inlineStr">
        <is>
          <t xml:space="preserve">Chronicles retells Solomon's worship at Gibeon and request for wisdom with its own framing.</t>
        </is>
      </c>
    </row>
    <row r="216" ht="34" customHeight="1">
      <c r="A216" s="15" t="inlineStr">
        <is>
          <t xml:space="preserve">v0.3</t>
        </is>
      </c>
      <c r="B216" s="15" t="inlineStr">
        <is>
          <t xml:space="preserve">Bible_Journey_Canon_Map_v0_3_2Chronicles_Wisdom_2Kings.xlsx</t>
        </is>
      </c>
      <c r="C216" s="15" t="inlineStr">
        <is>
          <t xml:space="preserve">CRS-BR-2CH-002</t>
        </is>
      </c>
      <c r="D216" s="15">
        <v>1220</v>
      </c>
      <c r="E216" s="15">
        <v>3</v>
      </c>
      <c r="F216" s="15" t="inlineStr">
        <is>
          <t xml:space="preserve">2 Chronicles</t>
        </is>
      </c>
      <c r="G216" s="15" t="inlineStr">
        <is>
          <t xml:space="preserve">United Monarchy</t>
        </is>
      </c>
      <c r="H216" s="15" t="inlineStr">
        <is>
          <t xml:space="preserve">Solomon and the temple</t>
        </is>
      </c>
      <c r="I216" s="15" t="inlineStr">
        <is>
          <t xml:space="preserve">Temple preparation and construction</t>
        </is>
      </c>
      <c r="J216" s="15" t="inlineStr">
        <is>
          <t xml:space="preserve">2 Chronicles 2-4</t>
        </is>
      </c>
      <c r="K216" s="15" t="inlineStr">
        <is>
          <t xml:space="preserve">High</t>
        </is>
      </c>
      <c r="L216" s="15" t="inlineStr">
        <is>
          <t xml:space="preserve">High</t>
        </is>
      </c>
      <c r="M216" s="15" t="inlineStr">
        <is>
          <t xml:space="preserve">Attach to v0.2 event</t>
        </is>
      </c>
      <c r="N216" s="15" t="inlineStr">
        <is>
          <t xml:space="preserve">Read after the linked 1 Kings construction material; complete both primary and Chronicles blocks before Full Stream completion.</t>
        </is>
      </c>
      <c r="O216" s="15" t="inlineStr">
        <is>
          <t xml:space="preserve">Surface as 'Chronicles adds temple preparation and furnishing detail'.</t>
        </is>
      </c>
      <c r="P216" s="15" t="inlineStr">
        <is>
          <t xml:space="preserve">Yes</t>
        </is>
      </c>
      <c r="Q216" s="15" t="inlineStr">
        <is>
          <t xml:space="preserve">The Life of Solomon; Temple</t>
        </is>
      </c>
      <c r="R216" s="15" t="inlineStr">
        <is>
          <t xml:space="preserve">Canon Map v0.2 / 1 Kings 5-7</t>
        </is>
      </c>
      <c r="S216" s="15" t="inlineStr">
        <is>
          <t xml:space="preserve">SRC-CANON-TEXT; SRC-CHRONICLES-OVERVIEW; SRC-KINGS-OVERVIEW</t>
        </is>
      </c>
      <c r="T216" s="15" t="inlineStr">
        <is>
          <t xml:space="preserve">Editorial</t>
        </is>
      </c>
      <c r="U216" s="11" t="inlineStr">
        <is>
          <t xml:space="preserve">Needs Review</t>
        </is>
      </c>
      <c r="V216" s="10" t="inlineStr">
        <is>
          <t xml:space="preserve">Mapped</t>
        </is>
      </c>
      <c r="W216" s="15" t="inlineStr">
        <is>
          <t xml:space="preserve">Chronicles expands the temple workforce, materials, furnishings, and dedication preparation.</t>
        </is>
      </c>
    </row>
    <row r="217" ht="34" customHeight="1">
      <c r="A217" s="15" t="inlineStr">
        <is>
          <t xml:space="preserve">v0.3</t>
        </is>
      </c>
      <c r="B217" s="15" t="inlineStr">
        <is>
          <t xml:space="preserve">Bible_Journey_Canon_Map_v0_3_2Chronicles_Wisdom_2Kings.xlsx</t>
        </is>
      </c>
      <c r="C217" s="15" t="inlineStr">
        <is>
          <t xml:space="preserve">CRS-BR-2CH-003</t>
        </is>
      </c>
      <c r="D217" s="15">
        <v>1230</v>
      </c>
      <c r="E217" s="15">
        <v>3</v>
      </c>
      <c r="F217" s="15" t="inlineStr">
        <is>
          <t xml:space="preserve">2 Chronicles</t>
        </is>
      </c>
      <c r="G217" s="15" t="inlineStr">
        <is>
          <t xml:space="preserve">United Monarchy</t>
        </is>
      </c>
      <c r="H217" s="15" t="inlineStr">
        <is>
          <t xml:space="preserve">Solomon and the temple</t>
        </is>
      </c>
      <c r="I217" s="15" t="inlineStr">
        <is>
          <t xml:space="preserve">Temple dedication</t>
        </is>
      </c>
      <c r="J217" s="15" t="inlineStr">
        <is>
          <t xml:space="preserve">2 Chronicles 5-7</t>
        </is>
      </c>
      <c r="K217" s="15" t="inlineStr">
        <is>
          <t xml:space="preserve">High</t>
        </is>
      </c>
      <c r="L217" s="15" t="inlineStr">
        <is>
          <t xml:space="preserve">High</t>
        </is>
      </c>
      <c r="M217" s="15" t="inlineStr">
        <is>
          <t xml:space="preserve">Attach to v0.2 event</t>
        </is>
      </c>
      <c r="N217" s="15" t="inlineStr">
        <is>
          <t xml:space="preserve">Read after 1 Kings 8-9 as a parallel/complementary temple-dedication account.</t>
        </is>
      </c>
      <c r="O217" s="15" t="inlineStr">
        <is>
          <t xml:space="preserve">Offer after primary account; retain incomplete if skipped.</t>
        </is>
      </c>
      <c r="P217" s="15" t="inlineStr">
        <is>
          <t xml:space="preserve">Yes</t>
        </is>
      </c>
      <c r="Q217" s="15" t="inlineStr">
        <is>
          <t xml:space="preserve">The Life of Solomon; Temple</t>
        </is>
      </c>
      <c r="R217" s="15" t="inlineStr">
        <is>
          <t xml:space="preserve">Canon Map v0.2 / 1 Kings 8-9</t>
        </is>
      </c>
      <c r="S217" s="15" t="inlineStr">
        <is>
          <t xml:space="preserve">SRC-CANON-TEXT; SRC-CHRONICLES-OVERVIEW; SRC-KINGS-OVERVIEW</t>
        </is>
      </c>
      <c r="T217" s="15" t="inlineStr">
        <is>
          <t xml:space="preserve">Editorial</t>
        </is>
      </c>
      <c r="U217" s="11" t="inlineStr">
        <is>
          <t xml:space="preserve">Needs Review</t>
        </is>
      </c>
      <c r="V217" s="10" t="inlineStr">
        <is>
          <t xml:space="preserve">Mapped</t>
        </is>
      </c>
      <c r="W217" s="15" t="inlineStr">
        <is>
          <t xml:space="preserve">Chronicles presents the dedication, Solomon's prayer, fire, feast, and divine response with distinct emphases.</t>
        </is>
      </c>
    </row>
    <row r="218" ht="34" customHeight="1">
      <c r="A218" s="15" t="inlineStr">
        <is>
          <t xml:space="preserve">v0.3</t>
        </is>
      </c>
      <c r="B218" s="15" t="inlineStr">
        <is>
          <t xml:space="preserve">Bible_Journey_Canon_Map_v0_3_2Chronicles_Wisdom_2Kings.xlsx</t>
        </is>
      </c>
      <c r="C218" s="15" t="inlineStr">
        <is>
          <t xml:space="preserve">CRS-BR-2CH-004</t>
        </is>
      </c>
      <c r="D218" s="15">
        <v>1240</v>
      </c>
      <c r="E218" s="15">
        <v>3</v>
      </c>
      <c r="F218" s="15" t="inlineStr">
        <is>
          <t xml:space="preserve">2 Chronicles</t>
        </is>
      </c>
      <c r="G218" s="15" t="inlineStr">
        <is>
          <t xml:space="preserve">United Monarchy</t>
        </is>
      </c>
      <c r="H218" s="15" t="inlineStr">
        <is>
          <t xml:space="preserve">Solomon and the temple</t>
        </is>
      </c>
      <c r="I218" s="15" t="inlineStr">
        <is>
          <t xml:space="preserve">Solomon's projects and worship order</t>
        </is>
      </c>
      <c r="J218" s="15" t="inlineStr">
        <is>
          <t xml:space="preserve">2 Chronicles 8</t>
        </is>
      </c>
      <c r="K218" s="15" t="inlineStr">
        <is>
          <t xml:space="preserve">High</t>
        </is>
      </c>
      <c r="L218" s="15" t="inlineStr">
        <is>
          <t xml:space="preserve">High</t>
        </is>
      </c>
      <c r="M218" s="15" t="inlineStr">
        <is>
          <t xml:space="preserve">Attach to v0.2 event</t>
        </is>
      </c>
      <c r="N218" s="15" t="inlineStr">
        <is>
          <t xml:space="preserve">Read after 1 Kings 9.</t>
        </is>
      </c>
      <c r="O218" s="15" t="inlineStr">
        <is>
          <t xml:space="preserve">Show as related account / supplementary detail.</t>
        </is>
      </c>
      <c r="P218" s="15" t="inlineStr">
        <is>
          <t xml:space="preserve">Yes</t>
        </is>
      </c>
      <c r="Q218" s="15" t="inlineStr">
        <is>
          <t xml:space="preserve">The Life of Solomon; Temple</t>
        </is>
      </c>
      <c r="R218" s="15" t="inlineStr">
        <is>
          <t xml:space="preserve">Canon Map v0.2 / 1 Kings 9</t>
        </is>
      </c>
      <c r="S218" s="15" t="inlineStr">
        <is>
          <t xml:space="preserve">SRC-CANON-TEXT; SRC-CHRONICLES-OVERVIEW; SRC-KINGS-OVERVIEW</t>
        </is>
      </c>
      <c r="T218" s="15" t="inlineStr">
        <is>
          <t xml:space="preserve">Editorial</t>
        </is>
      </c>
      <c r="U218" s="11" t="inlineStr">
        <is>
          <t xml:space="preserve">Needs Review</t>
        </is>
      </c>
      <c r="V218" s="10" t="inlineStr">
        <is>
          <t xml:space="preserve">Mapped</t>
        </is>
      </c>
      <c r="W218" s="15" t="inlineStr">
        <is>
          <t xml:space="preserve">Chronicles pairs building projects with worship administration and international trade.</t>
        </is>
      </c>
    </row>
    <row r="219" ht="34" customHeight="1">
      <c r="A219" s="15" t="inlineStr">
        <is>
          <t xml:space="preserve">v0.3</t>
        </is>
      </c>
      <c r="B219" s="15" t="inlineStr">
        <is>
          <t xml:space="preserve">Bible_Journey_Canon_Map_v0_3_2Chronicles_Wisdom_2Kings.xlsx</t>
        </is>
      </c>
      <c r="C219" s="15" t="inlineStr">
        <is>
          <t xml:space="preserve">CRS-BR-2CH-005</t>
        </is>
      </c>
      <c r="D219" s="15">
        <v>1250</v>
      </c>
      <c r="E219" s="15">
        <v>3</v>
      </c>
      <c r="F219" s="15" t="inlineStr">
        <is>
          <t xml:space="preserve">2 Chronicles</t>
        </is>
      </c>
      <c r="G219" s="15" t="inlineStr">
        <is>
          <t xml:space="preserve">United Monarchy</t>
        </is>
      </c>
      <c r="H219" s="15" t="inlineStr">
        <is>
          <t xml:space="preserve">Solomon and the temple</t>
        </is>
      </c>
      <c r="I219" s="15" t="inlineStr">
        <is>
          <t xml:space="preserve">Queen of Sheba, wealth, and Solomon's death</t>
        </is>
      </c>
      <c r="J219" s="15" t="inlineStr">
        <is>
          <t xml:space="preserve">2 Chronicles 9</t>
        </is>
      </c>
      <c r="K219" s="15" t="inlineStr">
        <is>
          <t xml:space="preserve">High</t>
        </is>
      </c>
      <c r="L219" s="15" t="inlineStr">
        <is>
          <t xml:space="preserve">High</t>
        </is>
      </c>
      <c r="M219" s="15" t="inlineStr">
        <is>
          <t xml:space="preserve">Attach to v0.2 event</t>
        </is>
      </c>
      <c r="N219" s="15" t="inlineStr">
        <is>
          <t xml:space="preserve">Read after 1 Kings 10-11 as the Chronicles account.</t>
        </is>
      </c>
      <c r="O219" s="15" t="inlineStr">
        <is>
          <t xml:space="preserve">Show as optional parallel account.</t>
        </is>
      </c>
      <c r="P219" s="15" t="inlineStr">
        <is>
          <t xml:space="preserve">Yes</t>
        </is>
      </c>
      <c r="Q219" s="15" t="inlineStr">
        <is>
          <t xml:space="preserve">The Life of Solomon; Wisdom</t>
        </is>
      </c>
      <c r="R219" s="15" t="inlineStr">
        <is>
          <t xml:space="preserve">Canon Map v0.2 / 1 Kings 10-11</t>
        </is>
      </c>
      <c r="S219" s="15" t="inlineStr">
        <is>
          <t xml:space="preserve">SRC-CANON-TEXT; SRC-CHRONICLES-OVERVIEW; SRC-KINGS-OVERVIEW</t>
        </is>
      </c>
      <c r="T219" s="15" t="inlineStr">
        <is>
          <t xml:space="preserve">Editorial</t>
        </is>
      </c>
      <c r="U219" s="11" t="inlineStr">
        <is>
          <t xml:space="preserve">Needs Review</t>
        </is>
      </c>
      <c r="V219" s="10" t="inlineStr">
        <is>
          <t xml:space="preserve">Mapped</t>
        </is>
      </c>
      <c r="W219" s="15" t="inlineStr">
        <is>
          <t xml:space="preserve">Chronicles narrates the visit of the Queen of Sheba, wealth, and Solomon's death; it omits much of Kings' negative assessment.</t>
        </is>
      </c>
    </row>
    <row r="220" ht="34" customHeight="1">
      <c r="A220" s="15" t="inlineStr">
        <is>
          <t xml:space="preserve">v0.3</t>
        </is>
      </c>
      <c r="B220" s="15" t="inlineStr">
        <is>
          <t xml:space="preserve">Bible_Journey_Canon_Map_v0_3_2Chronicles_Wisdom_2Kings.xlsx</t>
        </is>
      </c>
      <c r="C220" s="15" t="inlineStr">
        <is>
          <t xml:space="preserve">CRS-BR-2CH-006</t>
        </is>
      </c>
      <c r="D220" s="15">
        <v>1310</v>
      </c>
      <c r="E220" s="15">
        <v>3</v>
      </c>
      <c r="F220" s="15" t="inlineStr">
        <is>
          <t xml:space="preserve">2 Chronicles</t>
        </is>
      </c>
      <c r="G220" s="15" t="inlineStr">
        <is>
          <t xml:space="preserve">Divided Kingdom</t>
        </is>
      </c>
      <c r="H220" s="15" t="inlineStr">
        <is>
          <t xml:space="preserve">Rehoboam and the split</t>
        </is>
      </c>
      <c r="I220" s="15" t="inlineStr">
        <is>
          <t xml:space="preserve">Kingdom division</t>
        </is>
      </c>
      <c r="J220" s="15" t="inlineStr">
        <is>
          <t xml:space="preserve">2 Chronicles 10</t>
        </is>
      </c>
      <c r="K220" s="15" t="inlineStr">
        <is>
          <t xml:space="preserve">High</t>
        </is>
      </c>
      <c r="L220" s="15" t="inlineStr">
        <is>
          <t xml:space="preserve">High</t>
        </is>
      </c>
      <c r="M220" s="15" t="inlineStr">
        <is>
          <t xml:space="preserve">Attach to v0.2 event</t>
        </is>
      </c>
      <c r="N220" s="15" t="inlineStr">
        <is>
          <t xml:space="preserve">Read after 1 Kings 12:1-24 as a parallel account.</t>
        </is>
      </c>
      <c r="O220" s="15" t="inlineStr">
        <is>
          <t xml:space="preserve">Show after primary account; compare available.</t>
        </is>
      </c>
      <c r="P220" s="15" t="inlineStr">
        <is>
          <t xml:space="preserve">Yes</t>
        </is>
      </c>
      <c r="Q220" s="15" t="inlineStr">
        <is>
          <t xml:space="preserve">The Divided Kingdom</t>
        </is>
      </c>
      <c r="R220" s="15" t="inlineStr">
        <is>
          <t xml:space="preserve">Canon Map v0.2 / 1 Kings 12:1-24</t>
        </is>
      </c>
      <c r="S220" s="15" t="inlineStr">
        <is>
          <t xml:space="preserve">SRC-CANON-TEXT; SRC-CHRONICLES-OVERVIEW; SRC-KINGS-OVERVIEW</t>
        </is>
      </c>
      <c r="T220" s="15" t="inlineStr">
        <is>
          <t xml:space="preserve">Editorial</t>
        </is>
      </c>
      <c r="U220" s="11" t="inlineStr">
        <is>
          <t xml:space="preserve">Needs Review</t>
        </is>
      </c>
      <c r="V220" s="10" t="inlineStr">
        <is>
          <t xml:space="preserve">Mapped</t>
        </is>
      </c>
      <c r="W220" s="15" t="inlineStr">
        <is>
          <t xml:space="preserve">Chronicles' division account parallels the early Rehoboam narrative in Kings.</t>
        </is>
      </c>
    </row>
    <row r="221" ht="34" customHeight="1">
      <c r="A221" s="15" t="inlineStr">
        <is>
          <t xml:space="preserve">v0.3</t>
        </is>
      </c>
      <c r="B221" s="15" t="inlineStr">
        <is>
          <t xml:space="preserve">Bible_Journey_Canon_Map_v0_3_2Chronicles_Wisdom_2Kings.xlsx</t>
        </is>
      </c>
      <c r="C221" s="15" t="inlineStr">
        <is>
          <t xml:space="preserve">CRS-BR-2CH-007</t>
        </is>
      </c>
      <c r="D221" s="15">
        <v>1320</v>
      </c>
      <c r="E221" s="15">
        <v>3</v>
      </c>
      <c r="F221" s="15" t="inlineStr">
        <is>
          <t xml:space="preserve">2 Chronicles</t>
        </is>
      </c>
      <c r="G221" s="15" t="inlineStr">
        <is>
          <t xml:space="preserve">Divided Kingdom</t>
        </is>
      </c>
      <c r="H221" s="15" t="inlineStr">
        <is>
          <t xml:space="preserve">Rehoboam and the split</t>
        </is>
      </c>
      <c r="I221" s="15" t="inlineStr">
        <is>
          <t xml:space="preserve">Rehoboam consolidates Judah</t>
        </is>
      </c>
      <c r="J221" s="15" t="inlineStr">
        <is>
          <t xml:space="preserve">2 Chronicles 11</t>
        </is>
      </c>
      <c r="K221" s="15" t="inlineStr">
        <is>
          <t xml:space="preserve">Probable</t>
        </is>
      </c>
      <c r="L221" s="15" t="inlineStr">
        <is>
          <t xml:space="preserve">High</t>
        </is>
      </c>
      <c r="M221" s="15" t="inlineStr">
        <is>
          <t xml:space="preserve">Attach to v0.2 event</t>
        </is>
      </c>
      <c r="N221" s="15" t="inlineStr">
        <is>
          <t xml:space="preserve">Read as complementary material alongside 1 Kings 12:21-24 and Rehoboam's early reign.</t>
        </is>
      </c>
      <c r="O221" s="15" t="inlineStr">
        <is>
          <t xml:space="preserve">Narrative Flow: optional supporting block.</t>
        </is>
      </c>
      <c r="P221" s="15" t="inlineStr">
        <is>
          <t xml:space="preserve">No</t>
        </is>
      </c>
      <c r="Q221" s="15" t="inlineStr">
        <is>
          <t xml:space="preserve">The Divided Kingdom</t>
        </is>
      </c>
      <c r="R221" s="15" t="inlineStr">
        <is>
          <t xml:space="preserve">Canon Map v0.2 / Rehoboam window</t>
        </is>
      </c>
      <c r="S221" s="15" t="inlineStr">
        <is>
          <t xml:space="preserve">SRC-CANON-TEXT; SRC-CHRONICLES-OVERVIEW</t>
        </is>
      </c>
      <c r="T221" s="15" t="inlineStr">
        <is>
          <t xml:space="preserve">Editorial</t>
        </is>
      </c>
      <c r="U221" s="11" t="inlineStr">
        <is>
          <t xml:space="preserve">Needs Review</t>
        </is>
      </c>
      <c r="V221" s="10" t="inlineStr">
        <is>
          <t xml:space="preserve">Mapped</t>
        </is>
      </c>
      <c r="W221" s="15" t="inlineStr">
        <is>
          <t xml:space="preserve">Chronicles adds fortifications, migration, and domestic material not presented in the same way in Kings.</t>
        </is>
      </c>
    </row>
    <row r="222" ht="34" customHeight="1">
      <c r="A222" s="15" t="inlineStr">
        <is>
          <t xml:space="preserve">v0.3</t>
        </is>
      </c>
      <c r="B222" s="15" t="inlineStr">
        <is>
          <t xml:space="preserve">Bible_Journey_Canon_Map_v0_3_2Chronicles_Wisdom_2Kings.xlsx</t>
        </is>
      </c>
      <c r="C222" s="15" t="inlineStr">
        <is>
          <t xml:space="preserve">CRS-BR-2CH-008</t>
        </is>
      </c>
      <c r="D222" s="15">
        <v>1330</v>
      </c>
      <c r="E222" s="15">
        <v>3</v>
      </c>
      <c r="F222" s="15" t="inlineStr">
        <is>
          <t xml:space="preserve">2 Chronicles</t>
        </is>
      </c>
      <c r="G222" s="15" t="inlineStr">
        <is>
          <t xml:space="preserve">Divided Kingdom</t>
        </is>
      </c>
      <c r="H222" s="15" t="inlineStr">
        <is>
          <t xml:space="preserve">Rehoboam and the split</t>
        </is>
      </c>
      <c r="I222" s="15" t="inlineStr">
        <is>
          <t xml:space="preserve">Shishak invades Judah</t>
        </is>
      </c>
      <c r="J222" s="15" t="inlineStr">
        <is>
          <t xml:space="preserve">2 Chronicles 12</t>
        </is>
      </c>
      <c r="K222" s="15" t="inlineStr">
        <is>
          <t xml:space="preserve">High</t>
        </is>
      </c>
      <c r="L222" s="15" t="inlineStr">
        <is>
          <t xml:space="preserve">High</t>
        </is>
      </c>
      <c r="M222" s="15" t="inlineStr">
        <is>
          <t xml:space="preserve">Attach to v0.2 event</t>
        </is>
      </c>
      <c r="N222" s="15" t="inlineStr">
        <is>
          <t xml:space="preserve">Read after 1 Kings 14:25-28.</t>
        </is>
      </c>
      <c r="O222" s="15" t="inlineStr">
        <is>
          <t xml:space="preserve">Show as complementary account.</t>
        </is>
      </c>
      <c r="P222" s="15" t="inlineStr">
        <is>
          <t xml:space="preserve">Yes</t>
        </is>
      </c>
      <c r="Q222" s="15" t="inlineStr">
        <is>
          <t xml:space="preserve">The Divided Kingdom</t>
        </is>
      </c>
      <c r="R222" s="15" t="inlineStr">
        <is>
          <t xml:space="preserve">Canon Map v0.2 / 1 Kings 14:25-28</t>
        </is>
      </c>
      <c r="S222" s="15" t="inlineStr">
        <is>
          <t xml:space="preserve">SRC-CANON-TEXT; SRC-CHRONICLES-OVERVIEW; SRC-KINGS-OVERVIEW</t>
        </is>
      </c>
      <c r="T222" s="15" t="inlineStr">
        <is>
          <t xml:space="preserve">Editorial</t>
        </is>
      </c>
      <c r="U222" s="11" t="inlineStr">
        <is>
          <t xml:space="preserve">Needs Review</t>
        </is>
      </c>
      <c r="V222" s="10" t="inlineStr">
        <is>
          <t xml:space="preserve">Mapped</t>
        </is>
      </c>
      <c r="W222" s="15" t="inlineStr">
        <is>
          <t xml:space="preserve">Chronicles gives a fuller theological and narrative presentation of the Shishak invasion.</t>
        </is>
      </c>
    </row>
    <row r="223" ht="34" customHeight="1">
      <c r="A223" s="15" t="inlineStr">
        <is>
          <t xml:space="preserve">v0.3</t>
        </is>
      </c>
      <c r="B223" s="15" t="inlineStr">
        <is>
          <t xml:space="preserve">Bible_Journey_Canon_Map_v0_3_2Chronicles_Wisdom_2Kings.xlsx</t>
        </is>
      </c>
      <c r="C223" s="15" t="inlineStr">
        <is>
          <t xml:space="preserve">CRS-BR-2CH-009</t>
        </is>
      </c>
      <c r="D223" s="15">
        <v>1340</v>
      </c>
      <c r="E223" s="15">
        <v>3</v>
      </c>
      <c r="F223" s="15" t="inlineStr">
        <is>
          <t xml:space="preserve">2 Chronicles</t>
        </is>
      </c>
      <c r="G223" s="15" t="inlineStr">
        <is>
          <t xml:space="preserve">Divided Kingdom</t>
        </is>
      </c>
      <c r="H223" s="15" t="inlineStr">
        <is>
          <t xml:space="preserve">Judah's early kings</t>
        </is>
      </c>
      <c r="I223" s="15" t="inlineStr">
        <is>
          <t xml:space="preserve">Abijah and the battle at Mount Zemaraim</t>
        </is>
      </c>
      <c r="J223" s="15" t="inlineStr">
        <is>
          <t xml:space="preserve">2 Chronicles 13</t>
        </is>
      </c>
      <c r="K223" s="15" t="inlineStr">
        <is>
          <t xml:space="preserve">Probable</t>
        </is>
      </c>
      <c r="L223" s="15" t="inlineStr">
        <is>
          <t xml:space="preserve">High</t>
        </is>
      </c>
      <c r="M223" s="15" t="inlineStr">
        <is>
          <t xml:space="preserve">Attach to v0.2 event</t>
        </is>
      </c>
      <c r="N223" s="15" t="inlineStr">
        <is>
          <t xml:space="preserve">Read in the Abijah window after 1 Kings 15:1-8.</t>
        </is>
      </c>
      <c r="O223" s="15" t="inlineStr">
        <is>
          <t xml:space="preserve">Narrative Flow: optional supplementary account.</t>
        </is>
      </c>
      <c r="P223" s="15" t="inlineStr">
        <is>
          <t xml:space="preserve">No</t>
        </is>
      </c>
      <c r="Q223" s="15" t="inlineStr">
        <is>
          <t xml:space="preserve">The Divided Kingdom</t>
        </is>
      </c>
      <c r="R223" s="15" t="inlineStr">
        <is>
          <t xml:space="preserve">Canon Map v0.2 / 1 Kings 15:1-8</t>
        </is>
      </c>
      <c r="S223" s="15" t="inlineStr">
        <is>
          <t xml:space="preserve">SRC-CANON-TEXT; SRC-CHRONICLES-OVERVIEW; SRC-KINGS-OVERVIEW</t>
        </is>
      </c>
      <c r="T223" s="15" t="inlineStr">
        <is>
          <t xml:space="preserve">Editorial</t>
        </is>
      </c>
      <c r="U223" s="11" t="inlineStr">
        <is>
          <t xml:space="preserve">Needs Review</t>
        </is>
      </c>
      <c r="V223" s="10" t="inlineStr">
        <is>
          <t xml:space="preserve">Mapped</t>
        </is>
      </c>
      <c r="W223" s="15" t="inlineStr">
        <is>
          <t xml:space="preserve">Chronicles contains extended material about Abijah not preserved in Kings.</t>
        </is>
      </c>
    </row>
    <row r="224" ht="34" customHeight="1">
      <c r="A224" s="15" t="inlineStr">
        <is>
          <t xml:space="preserve">v0.3</t>
        </is>
      </c>
      <c r="B224" s="15" t="inlineStr">
        <is>
          <t xml:space="preserve">Bible_Journey_Canon_Map_v0_3_2Chronicles_Wisdom_2Kings.xlsx</t>
        </is>
      </c>
      <c r="C224" s="15" t="inlineStr">
        <is>
          <t xml:space="preserve">CRS-BR-2CH-010</t>
        </is>
      </c>
      <c r="D224" s="15">
        <v>1350</v>
      </c>
      <c r="E224" s="15">
        <v>3</v>
      </c>
      <c r="F224" s="15" t="inlineStr">
        <is>
          <t xml:space="preserve">2 Chronicles</t>
        </is>
      </c>
      <c r="G224" s="15" t="inlineStr">
        <is>
          <t xml:space="preserve">Divided Kingdom</t>
        </is>
      </c>
      <c r="H224" s="15" t="inlineStr">
        <is>
          <t xml:space="preserve">Judah's early kings</t>
        </is>
      </c>
      <c r="I224" s="15" t="inlineStr">
        <is>
          <t xml:space="preserve">Asa's reforms and covenant</t>
        </is>
      </c>
      <c r="J224" s="15" t="inlineStr">
        <is>
          <t xml:space="preserve">2 Chronicles 14-15</t>
        </is>
      </c>
      <c r="K224" s="15" t="inlineStr">
        <is>
          <t xml:space="preserve">Probable</t>
        </is>
      </c>
      <c r="L224" s="15" t="inlineStr">
        <is>
          <t xml:space="preserve">High</t>
        </is>
      </c>
      <c r="M224" s="15" t="inlineStr">
        <is>
          <t xml:space="preserve">Attach to v0.2 event</t>
        </is>
      </c>
      <c r="N224" s="15" t="inlineStr">
        <is>
          <t xml:space="preserve">Read alongside Asa's reign in 1 Kings 15:9-24.</t>
        </is>
      </c>
      <c r="O224" s="15" t="inlineStr">
        <is>
          <t xml:space="preserve">Narrative Flow: optional supporting block.</t>
        </is>
      </c>
      <c r="P224" s="15" t="inlineStr">
        <is>
          <t xml:space="preserve">No</t>
        </is>
      </c>
      <c r="Q224" s="15" t="inlineStr">
        <is>
          <t xml:space="preserve">The Divided Kingdom</t>
        </is>
      </c>
      <c r="R224" s="15" t="inlineStr">
        <is>
          <t xml:space="preserve">Canon Map v0.2 / 1 Kings 15:9-24</t>
        </is>
      </c>
      <c r="S224" s="15" t="inlineStr">
        <is>
          <t xml:space="preserve">SRC-CANON-TEXT; SRC-CHRONICLES-OVERVIEW</t>
        </is>
      </c>
      <c r="T224" s="15" t="inlineStr">
        <is>
          <t xml:space="preserve">Editorial</t>
        </is>
      </c>
      <c r="U224" s="11" t="inlineStr">
        <is>
          <t xml:space="preserve">Needs Review</t>
        </is>
      </c>
      <c r="V224" s="10" t="inlineStr">
        <is>
          <t xml:space="preserve">Mapped</t>
        </is>
      </c>
      <c r="W224" s="15" t="inlineStr">
        <is>
          <t xml:space="preserve">Chronicles adds reform, covenant, and conflict narratives not mirrored in Kings.</t>
        </is>
      </c>
    </row>
    <row r="225" ht="34" customHeight="1">
      <c r="A225" s="15" t="inlineStr">
        <is>
          <t xml:space="preserve">v0.3</t>
        </is>
      </c>
      <c r="B225" s="15" t="inlineStr">
        <is>
          <t xml:space="preserve">Bible_Journey_Canon_Map_v0_3_2Chronicles_Wisdom_2Kings.xlsx</t>
        </is>
      </c>
      <c r="C225" s="15" t="inlineStr">
        <is>
          <t xml:space="preserve">CRS-BR-2CH-011</t>
        </is>
      </c>
      <c r="D225" s="15">
        <v>1360</v>
      </c>
      <c r="E225" s="15">
        <v>3</v>
      </c>
      <c r="F225" s="15" t="inlineStr">
        <is>
          <t xml:space="preserve">2 Chronicles</t>
        </is>
      </c>
      <c r="G225" s="15" t="inlineStr">
        <is>
          <t xml:space="preserve">Divided Kingdom</t>
        </is>
      </c>
      <c r="H225" s="15" t="inlineStr">
        <is>
          <t xml:space="preserve">Judah's early kings</t>
        </is>
      </c>
      <c r="I225" s="15" t="inlineStr">
        <is>
          <t xml:space="preserve">Asa, Baasha, and Ben-hadad</t>
        </is>
      </c>
      <c r="J225" s="15" t="inlineStr">
        <is>
          <t xml:space="preserve">2 Chronicles 16</t>
        </is>
      </c>
      <c r="K225" s="15" t="inlineStr">
        <is>
          <t xml:space="preserve">High</t>
        </is>
      </c>
      <c r="L225" s="15" t="inlineStr">
        <is>
          <t xml:space="preserve">High</t>
        </is>
      </c>
      <c r="M225" s="15" t="inlineStr">
        <is>
          <t xml:space="preserve">Attach to v0.2 event</t>
        </is>
      </c>
      <c r="N225" s="15" t="inlineStr">
        <is>
          <t xml:space="preserve">Read alongside 1 Kings 15:16-24.</t>
        </is>
      </c>
      <c r="O225" s="15" t="inlineStr">
        <is>
          <t xml:space="preserve">Show as complementary material.</t>
        </is>
      </c>
      <c r="P225" s="15" t="inlineStr">
        <is>
          <t xml:space="preserve">Yes</t>
        </is>
      </c>
      <c r="Q225" s="15" t="inlineStr">
        <is>
          <t xml:space="preserve">The Divided Kingdom</t>
        </is>
      </c>
      <c r="R225" s="15" t="inlineStr">
        <is>
          <t xml:space="preserve">Canon Map v0.2 / 1 Kings 15:16-24</t>
        </is>
      </c>
      <c r="S225" s="15" t="inlineStr">
        <is>
          <t xml:space="preserve">SRC-CANON-TEXT; SRC-CHRONICLES-OVERVIEW; SRC-KINGS-OVERVIEW</t>
        </is>
      </c>
      <c r="T225" s="15" t="inlineStr">
        <is>
          <t xml:space="preserve">Editorial</t>
        </is>
      </c>
      <c r="U225" s="11" t="inlineStr">
        <is>
          <t xml:space="preserve">Needs Review</t>
        </is>
      </c>
      <c r="V225" s="10" t="inlineStr">
        <is>
          <t xml:space="preserve">Mapped</t>
        </is>
      </c>
      <c r="W225" s="15" t="inlineStr">
        <is>
          <t xml:space="preserve">Chronicles closely relates to Kings' account but adds Hanani's rebuke and illness/death detail.</t>
        </is>
      </c>
    </row>
    <row r="226" ht="34" customHeight="1">
      <c r="A226" s="15" t="inlineStr">
        <is>
          <t xml:space="preserve">v0.3</t>
        </is>
      </c>
      <c r="B226" s="15" t="inlineStr">
        <is>
          <t xml:space="preserve">Bible_Journey_Canon_Map_v0_3_2Chronicles_Wisdom_2Kings.xlsx</t>
        </is>
      </c>
      <c r="C226" s="15" t="inlineStr">
        <is>
          <t xml:space="preserve">CRS-BR-2CH-012</t>
        </is>
      </c>
      <c r="D226" s="15">
        <v>1370</v>
      </c>
      <c r="E226" s="15">
        <v>3</v>
      </c>
      <c r="F226" s="15" t="inlineStr">
        <is>
          <t xml:space="preserve">2 Chronicles</t>
        </is>
      </c>
      <c r="G226" s="15" t="inlineStr">
        <is>
          <t xml:space="preserve">Divided Kingdom</t>
        </is>
      </c>
      <c r="H226" s="15" t="inlineStr">
        <is>
          <t xml:space="preserve">Jehoshaphat</t>
        </is>
      </c>
      <c r="I226" s="15" t="inlineStr">
        <is>
          <t xml:space="preserve">Jehoshaphat's teaching and justice reforms</t>
        </is>
      </c>
      <c r="J226" s="15" t="inlineStr">
        <is>
          <t xml:space="preserve">2 Chronicles 17</t>
        </is>
      </c>
      <c r="K226" s="15" t="inlineStr">
        <is>
          <t xml:space="preserve">Probable</t>
        </is>
      </c>
      <c r="L226" s="15" t="inlineStr">
        <is>
          <t xml:space="preserve">High</t>
        </is>
      </c>
      <c r="M226" s="15" t="inlineStr">
        <is>
          <t xml:space="preserve">Attach to v0.2 event</t>
        </is>
      </c>
      <c r="N226" s="15" t="inlineStr">
        <is>
          <t xml:space="preserve">Attach to Jehoshaphat's reign in 1 Kings 22:41-50.</t>
        </is>
      </c>
      <c r="O226" s="15" t="inlineStr">
        <is>
          <t xml:space="preserve">Narrative Flow: optional supporting block.</t>
        </is>
      </c>
      <c r="P226" s="15" t="inlineStr">
        <is>
          <t xml:space="preserve">No</t>
        </is>
      </c>
      <c r="Q226" s="15" t="inlineStr">
        <is>
          <t xml:space="preserve">The Divided Kingdom</t>
        </is>
      </c>
      <c r="R226" s="15" t="inlineStr">
        <is>
          <t xml:space="preserve">Canon Map v0.2 / 1 Kings 22:41-50</t>
        </is>
      </c>
      <c r="S226" s="15" t="inlineStr">
        <is>
          <t xml:space="preserve">SRC-CANON-TEXT; SRC-CHRONICLES-OVERVIEW</t>
        </is>
      </c>
      <c r="T226" s="15" t="inlineStr">
        <is>
          <t xml:space="preserve">Editorial</t>
        </is>
      </c>
      <c r="U226" s="11" t="inlineStr">
        <is>
          <t xml:space="preserve">Needs Review</t>
        </is>
      </c>
      <c r="V226" s="10" t="inlineStr">
        <is>
          <t xml:space="preserve">Mapped</t>
        </is>
      </c>
      <c r="W226" s="15" t="inlineStr">
        <is>
          <t xml:space="preserve">Chronicles adds detailed teaching, judicial, and defensive programs.</t>
        </is>
      </c>
    </row>
    <row r="227" ht="34" customHeight="1">
      <c r="A227" s="15" t="inlineStr">
        <is>
          <t xml:space="preserve">v0.3</t>
        </is>
      </c>
      <c r="B227" s="15" t="inlineStr">
        <is>
          <t xml:space="preserve">Bible_Journey_Canon_Map_v0_3_2Chronicles_Wisdom_2Kings.xlsx</t>
        </is>
      </c>
      <c r="C227" s="15" t="inlineStr">
        <is>
          <t xml:space="preserve">CRS-BR-2CH-013</t>
        </is>
      </c>
      <c r="D227" s="15">
        <v>1380</v>
      </c>
      <c r="E227" s="15">
        <v>3</v>
      </c>
      <c r="F227" s="15" t="inlineStr">
        <is>
          <t xml:space="preserve">2 Chronicles</t>
        </is>
      </c>
      <c r="G227" s="15" t="inlineStr">
        <is>
          <t xml:space="preserve">Divided Kingdom</t>
        </is>
      </c>
      <c r="H227" s="15" t="inlineStr">
        <is>
          <t xml:space="preserve">Jehoshaphat</t>
        </is>
      </c>
      <c r="I227" s="15" t="inlineStr">
        <is>
          <t xml:space="preserve">Ramoth-gilead</t>
        </is>
      </c>
      <c r="J227" s="15" t="inlineStr">
        <is>
          <t xml:space="preserve">2 Chronicles 18</t>
        </is>
      </c>
      <c r="K227" s="15" t="inlineStr">
        <is>
          <t xml:space="preserve">High</t>
        </is>
      </c>
      <c r="L227" s="15" t="inlineStr">
        <is>
          <t xml:space="preserve">High</t>
        </is>
      </c>
      <c r="M227" s="15" t="inlineStr">
        <is>
          <t xml:space="preserve">Attach to v0.2 event</t>
        </is>
      </c>
      <c r="N227" s="15" t="inlineStr">
        <is>
          <t xml:space="preserve">Read after 1 Kings 22:1-40 as a parallel account.</t>
        </is>
      </c>
      <c r="O227" s="15" t="inlineStr">
        <is>
          <t xml:space="preserve">Show after primary account; Compare Accounts eligible.</t>
        </is>
      </c>
      <c r="P227" s="15" t="inlineStr">
        <is>
          <t xml:space="preserve">Yes</t>
        </is>
      </c>
      <c r="Q227" s="15" t="inlineStr">
        <is>
          <t xml:space="preserve">The Divided Kingdom; Prophets and Kings</t>
        </is>
      </c>
      <c r="R227" s="15" t="inlineStr">
        <is>
          <t xml:space="preserve">Canon Map v0.2 / 1 Kings 22:1-40</t>
        </is>
      </c>
      <c r="S227" s="15" t="inlineStr">
        <is>
          <t xml:space="preserve">SRC-CANON-TEXT; SRC-CHRONICLES-OVERVIEW; SRC-KINGS-OVERVIEW</t>
        </is>
      </c>
      <c r="T227" s="15" t="inlineStr">
        <is>
          <t xml:space="preserve">Editorial</t>
        </is>
      </c>
      <c r="U227" s="11" t="inlineStr">
        <is>
          <t xml:space="preserve">Needs Review</t>
        </is>
      </c>
      <c r="V227" s="10" t="inlineStr">
        <is>
          <t xml:space="preserve">Mapped</t>
        </is>
      </c>
      <c r="W227" s="15" t="inlineStr">
        <is>
          <t xml:space="preserve">Chronicles parallels the Micaiah/Ramoth-gilead account with distinct wording and sequence details.</t>
        </is>
      </c>
    </row>
    <row r="228" ht="34" customHeight="1">
      <c r="A228" s="15" t="inlineStr">
        <is>
          <t xml:space="preserve">v0.3</t>
        </is>
      </c>
      <c r="B228" s="15" t="inlineStr">
        <is>
          <t xml:space="preserve">Bible_Journey_Canon_Map_v0_3_2Chronicles_Wisdom_2Kings.xlsx</t>
        </is>
      </c>
      <c r="C228" s="15" t="inlineStr">
        <is>
          <t xml:space="preserve">CRS-BR-2CH-014</t>
        </is>
      </c>
      <c r="D228" s="15">
        <v>1390</v>
      </c>
      <c r="E228" s="15">
        <v>3</v>
      </c>
      <c r="F228" s="15" t="inlineStr">
        <is>
          <t xml:space="preserve">2 Chronicles</t>
        </is>
      </c>
      <c r="G228" s="15" t="inlineStr">
        <is>
          <t xml:space="preserve">Divided Kingdom</t>
        </is>
      </c>
      <c r="H228" s="15" t="inlineStr">
        <is>
          <t xml:space="preserve">Jehoshaphat</t>
        </is>
      </c>
      <c r="I228" s="15" t="inlineStr">
        <is>
          <t xml:space="preserve">Jehoshaphat after Ramoth-gilead</t>
        </is>
      </c>
      <c r="J228" s="15" t="inlineStr">
        <is>
          <t xml:space="preserve">2 Chronicles 19-20</t>
        </is>
      </c>
      <c r="K228" s="15" t="inlineStr">
        <is>
          <t xml:space="preserve">Probable</t>
        </is>
      </c>
      <c r="L228" s="15" t="inlineStr">
        <is>
          <t xml:space="preserve">High</t>
        </is>
      </c>
      <c r="M228" s="15" t="inlineStr">
        <is>
          <t xml:space="preserve">Attach to v0.2 event</t>
        </is>
      </c>
      <c r="N228" s="15" t="inlineStr">
        <is>
          <t xml:space="preserve">Attach to the latter Jehoshaphat reign window after 1 Kings 22:41-50.</t>
        </is>
      </c>
      <c r="O228" s="15" t="inlineStr">
        <is>
          <t xml:space="preserve">Narrative Flow: optional supplementary account.</t>
        </is>
      </c>
      <c r="P228" s="15" t="inlineStr">
        <is>
          <t xml:space="preserve">No</t>
        </is>
      </c>
      <c r="Q228" s="15" t="inlineStr">
        <is>
          <t xml:space="preserve">The Divided Kingdom</t>
        </is>
      </c>
      <c r="R228" s="15" t="inlineStr">
        <is>
          <t xml:space="preserve">Canon Map v0.2 / Jehoshaphat reign</t>
        </is>
      </c>
      <c r="S228" s="15" t="inlineStr">
        <is>
          <t xml:space="preserve">SRC-CANON-TEXT; SRC-CHRONICLES-OVERVIEW</t>
        </is>
      </c>
      <c r="T228" s="15" t="inlineStr">
        <is>
          <t xml:space="preserve">Editorial</t>
        </is>
      </c>
      <c r="U228" s="11" t="inlineStr">
        <is>
          <t xml:space="preserve">Needs Review</t>
        </is>
      </c>
      <c r="V228" s="10" t="inlineStr">
        <is>
          <t xml:space="preserve">Mapped</t>
        </is>
      </c>
      <c r="W228" s="15" t="inlineStr">
        <is>
          <t xml:space="preserve">Chronicles gives unique judicial and military-deliverance material for Jehoshaphat's reign.</t>
        </is>
      </c>
    </row>
    <row r="229" ht="34" customHeight="1">
      <c r="A229" s="15" t="inlineStr">
        <is>
          <t xml:space="preserve">v0.3</t>
        </is>
      </c>
      <c r="B229" s="15" t="inlineStr">
        <is>
          <t xml:space="preserve">Bible_Journey_Canon_Map_v0_3_2Chronicles_Wisdom_2Kings.xlsx</t>
        </is>
      </c>
      <c r="C229" s="15" t="inlineStr">
        <is>
          <t xml:space="preserve">CRS-WIS-001</t>
        </is>
      </c>
      <c r="D229" s="15">
        <v>1260</v>
      </c>
      <c r="E229" s="15">
        <v>3</v>
      </c>
      <c r="F229" s="15" t="inlineStr">
        <is>
          <t xml:space="preserve">Proverbs</t>
        </is>
      </c>
      <c r="G229" s="15" t="inlineStr">
        <is>
          <t xml:space="preserve">Solomonic wisdom tradition</t>
        </is>
      </c>
      <c r="H229" s="15" t="inlineStr">
        <is>
          <t xml:space="preserve">Wisdom interlude</t>
        </is>
      </c>
      <c r="I229" s="15" t="inlineStr">
        <is>
          <t xml:space="preserve">Wisdom invitations</t>
        </is>
      </c>
      <c r="J229" s="15" t="inlineStr">
        <is>
          <t xml:space="preserve">Proverbs 1-9</t>
        </is>
      </c>
      <c r="K229" s="15" t="inlineStr">
        <is>
          <t xml:space="preserve">Probable</t>
        </is>
      </c>
      <c r="L229" s="13" t="inlineStr">
        <is>
          <t xml:space="preserve">Unresolved</t>
        </is>
      </c>
      <c r="M229" s="15" t="inlineStr">
        <is>
          <t xml:space="preserve">Auxiliary collection / broad window</t>
        </is>
      </c>
      <c r="N229" s="15" t="inlineStr">
        <is>
          <t xml:space="preserve">Read this intact collection in the Full Stream's disclosed Wisdom Interlude.</t>
        </is>
      </c>
      <c r="O229" s="15" t="inlineStr">
        <is>
          <t xml:space="preserve">Off by default in Narrative Flow; offer it as 'Explore the wisdom tradition associated with Solomon'.</t>
        </is>
      </c>
      <c r="P229" s="15" t="inlineStr">
        <is>
          <t xml:space="preserve">No</t>
        </is>
      </c>
      <c r="Q229" s="15" t="inlineStr">
        <is>
          <t xml:space="preserve">The Life of Solomon; Wisdom</t>
        </is>
      </c>
      <c r="R229" s="15" t="inlineStr">
        <is>
          <t xml:space="preserve">Solomonic Wisdom Interlude</t>
        </is>
      </c>
      <c r="S229" s="15" t="inlineStr">
        <is>
          <t xml:space="preserve">SRC-CANON-TEXT; SRC-WISDOM-CANON; SRC-WHO-WROTE</t>
        </is>
      </c>
      <c r="T229" s="15" t="inlineStr">
        <is>
          <t xml:space="preserve">Editorial</t>
        </is>
      </c>
      <c r="U229" s="11" t="inlineStr">
        <is>
          <t xml:space="preserve">Needs Review</t>
        </is>
      </c>
      <c r="V229" s="10" t="inlineStr">
        <is>
          <t xml:space="preserve">Mapped</t>
        </is>
      </c>
      <c r="W229" s="15" t="inlineStr">
        <is>
          <t xml:space="preserve">Placed in a disclosed Solomonic wisdom window as a reading arrangement, not as a claim that each section came from one dated event.</t>
        </is>
      </c>
    </row>
    <row r="230" ht="34" customHeight="1">
      <c r="A230" s="15" t="inlineStr">
        <is>
          <t xml:space="preserve">v0.3</t>
        </is>
      </c>
      <c r="B230" s="15" t="inlineStr">
        <is>
          <t xml:space="preserve">Bible_Journey_Canon_Map_v0_3_2Chronicles_Wisdom_2Kings.xlsx</t>
        </is>
      </c>
      <c r="C230" s="15" t="inlineStr">
        <is>
          <t xml:space="preserve">CRS-WIS-002</t>
        </is>
      </c>
      <c r="D230" s="15">
        <v>1270</v>
      </c>
      <c r="E230" s="15">
        <v>3</v>
      </c>
      <c r="F230" s="15" t="inlineStr">
        <is>
          <t xml:space="preserve">Proverbs</t>
        </is>
      </c>
      <c r="G230" s="15" t="inlineStr">
        <is>
          <t xml:space="preserve">Solomonic wisdom tradition</t>
        </is>
      </c>
      <c r="H230" s="15" t="inlineStr">
        <is>
          <t xml:space="preserve">Wisdom interlude</t>
        </is>
      </c>
      <c r="I230" s="15" t="inlineStr">
        <is>
          <t xml:space="preserve">Sayings of Solomon</t>
        </is>
      </c>
      <c r="J230" s="15" t="inlineStr">
        <is>
          <t xml:space="preserve">Proverbs 10-24</t>
        </is>
      </c>
      <c r="K230" s="15" t="inlineStr">
        <is>
          <t xml:space="preserve">Probable</t>
        </is>
      </c>
      <c r="L230" s="13" t="inlineStr">
        <is>
          <t xml:space="preserve">Unresolved</t>
        </is>
      </c>
      <c r="M230" s="15" t="inlineStr">
        <is>
          <t xml:space="preserve">Auxiliary collection / broad window</t>
        </is>
      </c>
      <c r="N230" s="15" t="inlineStr">
        <is>
          <t xml:space="preserve">Read as a complete collection within the disclosed Wisdom Interlude.</t>
        </is>
      </c>
      <c r="O230" s="15" t="inlineStr">
        <is>
          <t xml:space="preserve">Off by default in Narrative Flow; available from the Solomon journey and Bible Stream interlude.</t>
        </is>
      </c>
      <c r="P230" s="15" t="inlineStr">
        <is>
          <t xml:space="preserve">No</t>
        </is>
      </c>
      <c r="Q230" s="15" t="inlineStr">
        <is>
          <t xml:space="preserve">The Life of Solomon; Wisdom</t>
        </is>
      </c>
      <c r="R230" s="15" t="inlineStr">
        <is>
          <t xml:space="preserve">Solomonic Wisdom Interlude</t>
        </is>
      </c>
      <c r="S230" s="15" t="inlineStr">
        <is>
          <t xml:space="preserve">SRC-CANON-TEXT; SRC-WISDOM-CANON; SRC-WHO-WROTE</t>
        </is>
      </c>
      <c r="T230" s="15" t="inlineStr">
        <is>
          <t xml:space="preserve">Editorial</t>
        </is>
      </c>
      <c r="U230" s="11" t="inlineStr">
        <is>
          <t xml:space="preserve">Needs Review</t>
        </is>
      </c>
      <c r="V230" s="10" t="inlineStr">
        <is>
          <t xml:space="preserve">Mapped</t>
        </is>
      </c>
      <c r="W230" s="15" t="inlineStr">
        <is>
          <t xml:space="preserve">The collection is traditionally linked to Solomon but individual sayings should not be treated as datable scenes in his life.</t>
        </is>
      </c>
    </row>
    <row r="231" ht="34" customHeight="1">
      <c r="A231" s="15" t="inlineStr">
        <is>
          <t xml:space="preserve">v0.3</t>
        </is>
      </c>
      <c r="B231" s="15" t="inlineStr">
        <is>
          <t xml:space="preserve">Bible_Journey_Canon_Map_v0_3_2Chronicles_Wisdom_2Kings.xlsx</t>
        </is>
      </c>
      <c r="C231" s="15" t="inlineStr">
        <is>
          <t xml:space="preserve">CRS-WIS-003</t>
        </is>
      </c>
      <c r="D231" s="15">
        <v>1280</v>
      </c>
      <c r="E231" s="15">
        <v>3</v>
      </c>
      <c r="F231" s="15" t="inlineStr">
        <is>
          <t xml:space="preserve">Song of Songs</t>
        </is>
      </c>
      <c r="G231" s="15" t="inlineStr">
        <is>
          <t xml:space="preserve">Solomonic wisdom tradition</t>
        </is>
      </c>
      <c r="H231" s="15" t="inlineStr">
        <is>
          <t xml:space="preserve">Wisdom interlude</t>
        </is>
      </c>
      <c r="I231" s="15" t="inlineStr">
        <is>
          <t xml:space="preserve">Love poetry collection</t>
        </is>
      </c>
      <c r="J231" s="15" t="inlineStr">
        <is>
          <t xml:space="preserve">Song of Songs 1-8</t>
        </is>
      </c>
      <c r="K231" s="15" t="inlineStr">
        <is>
          <t xml:space="preserve">Probable</t>
        </is>
      </c>
      <c r="L231" s="13" t="inlineStr">
        <is>
          <t xml:space="preserve">Unresolved</t>
        </is>
      </c>
      <c r="M231" s="15" t="inlineStr">
        <is>
          <t xml:space="preserve">Auxiliary collection / broad window</t>
        </is>
      </c>
      <c r="N231" s="15" t="inlineStr">
        <is>
          <t xml:space="preserve">Read the full book within the disclosed Wisdom Interlude.</t>
        </is>
      </c>
      <c r="O231" s="15" t="inlineStr">
        <is>
          <t xml:space="preserve">Off by default in Narrative Flow; surface in 'Solomonic tradition' and thematic journeys.</t>
        </is>
      </c>
      <c r="P231" s="15" t="inlineStr">
        <is>
          <t xml:space="preserve">No</t>
        </is>
      </c>
      <c r="Q231" s="15" t="inlineStr">
        <is>
          <t xml:space="preserve">The Life of Solomon; Wisdom and Poetry</t>
        </is>
      </c>
      <c r="R231" s="15" t="inlineStr">
        <is>
          <t xml:space="preserve">Solomonic Wisdom Interlude</t>
        </is>
      </c>
      <c r="S231" s="15" t="inlineStr">
        <is>
          <t xml:space="preserve">SRC-CANON-TEXT; SRC-WISDOM-CANON; SRC-WHO-WROTE; SRC-SONG</t>
        </is>
      </c>
      <c r="T231" s="15" t="inlineStr">
        <is>
          <t xml:space="preserve">Editorial</t>
        </is>
      </c>
      <c r="U231" s="11" t="inlineStr">
        <is>
          <t xml:space="preserve">Needs Review</t>
        </is>
      </c>
      <c r="V231" s="10" t="inlineStr">
        <is>
          <t xml:space="preserve">Mapped</t>
        </is>
      </c>
      <c r="W231" s="15" t="inlineStr">
        <is>
          <t xml:space="preserve">Placed in the traditional Solomonic association window while the app clearly distinguishes tradition from settled historical authorship.</t>
        </is>
      </c>
    </row>
    <row r="232" ht="34" customHeight="1">
      <c r="A232" s="15" t="inlineStr">
        <is>
          <t xml:space="preserve">v0.3</t>
        </is>
      </c>
      <c r="B232" s="15" t="inlineStr">
        <is>
          <t xml:space="preserve">Bible_Journey_Canon_Map_v0_3_2Chronicles_Wisdom_2Kings.xlsx</t>
        </is>
      </c>
      <c r="C232" s="15" t="inlineStr">
        <is>
          <t xml:space="preserve">CRS-WIS-004</t>
        </is>
      </c>
      <c r="D232" s="15">
        <v>1290</v>
      </c>
      <c r="E232" s="15">
        <v>3</v>
      </c>
      <c r="F232" s="15" t="inlineStr">
        <is>
          <t xml:space="preserve">Ecclesiastes</t>
        </is>
      </c>
      <c r="G232" s="15" t="inlineStr">
        <is>
          <t xml:space="preserve">Solomonic wisdom tradition</t>
        </is>
      </c>
      <c r="H232" s="15" t="inlineStr">
        <is>
          <t xml:space="preserve">Wisdom interlude</t>
        </is>
      </c>
      <c r="I232" s="15" t="inlineStr">
        <is>
          <t xml:space="preserve">Reflection on meaning and mortality</t>
        </is>
      </c>
      <c r="J232" s="15" t="inlineStr">
        <is>
          <t xml:space="preserve">Ecclesiastes 1-12</t>
        </is>
      </c>
      <c r="K232" s="15" t="inlineStr">
        <is>
          <t xml:space="preserve">Probable</t>
        </is>
      </c>
      <c r="L232" s="13" t="inlineStr">
        <is>
          <t xml:space="preserve">Unresolved</t>
        </is>
      </c>
      <c r="M232" s="15" t="inlineStr">
        <is>
          <t xml:space="preserve">Auxiliary collection / broad window</t>
        </is>
      </c>
      <c r="N232" s="15" t="inlineStr">
        <is>
          <t xml:space="preserve">Read the full book within the disclosed Wisdom Interlude.</t>
        </is>
      </c>
      <c r="O232" s="15" t="inlineStr">
        <is>
          <t xml:space="preserve">Off by default in Narrative Flow; surface via wisdom journey and reading-plan choice.</t>
        </is>
      </c>
      <c r="P232" s="15" t="inlineStr">
        <is>
          <t xml:space="preserve">No</t>
        </is>
      </c>
      <c r="Q232" s="15" t="inlineStr">
        <is>
          <t xml:space="preserve">The Life of Solomon; Wisdom and Poetry</t>
        </is>
      </c>
      <c r="R232" s="15" t="inlineStr">
        <is>
          <t xml:space="preserve">Solomonic Wisdom Interlude</t>
        </is>
      </c>
      <c r="S232" s="15" t="inlineStr">
        <is>
          <t xml:space="preserve">SRC-CANON-TEXT; SRC-WISDOM-CANON; SRC-WHO-WROTE</t>
        </is>
      </c>
      <c r="T232" s="15" t="inlineStr">
        <is>
          <t xml:space="preserve">Editorial</t>
        </is>
      </c>
      <c r="U232" s="11" t="inlineStr">
        <is>
          <t xml:space="preserve">Needs Review</t>
        </is>
      </c>
      <c r="V232" s="10" t="inlineStr">
        <is>
          <t xml:space="preserve">Mapped</t>
        </is>
      </c>
      <c r="W232" s="15" t="inlineStr">
        <is>
          <t xml:space="preserve">Placed in the traditional Solomonic association window but never labeled as a late-life autobiography without an explicit interpretive note.</t>
        </is>
      </c>
    </row>
    <row r="233" ht="34" customHeight="1">
      <c r="A233" s="15" t="inlineStr">
        <is>
          <t xml:space="preserve">v0.3</t>
        </is>
      </c>
      <c r="B233" s="15" t="inlineStr">
        <is>
          <t xml:space="preserve">Bible_Journey_Canon_Map_v0_3_2Chronicles_Wisdom_2Kings.xlsx</t>
        </is>
      </c>
      <c r="C233" s="15" t="inlineStr">
        <is>
          <t xml:space="preserve">CRS-WIS-005</t>
        </is>
      </c>
      <c r="D233" s="15">
        <v>1405</v>
      </c>
      <c r="E233" s="15">
        <v>3</v>
      </c>
      <c r="F233" s="15" t="inlineStr">
        <is>
          <t xml:space="preserve">Proverbs</t>
        </is>
      </c>
      <c r="G233" s="15" t="inlineStr">
        <is>
          <t xml:space="preserve">Hezekiah's reign / collection note</t>
        </is>
      </c>
      <c r="H233" s="15" t="inlineStr">
        <is>
          <t xml:space="preserve">Wisdom interlude</t>
        </is>
      </c>
      <c r="I233" s="15" t="inlineStr">
        <is>
          <t xml:space="preserve">Hezekiah's scribes and Proverbs</t>
        </is>
      </c>
      <c r="J233" s="15" t="inlineStr">
        <is>
          <t xml:space="preserve">Proverbs 25-29</t>
        </is>
      </c>
      <c r="K233" s="15" t="inlineStr">
        <is>
          <t xml:space="preserve">High</t>
        </is>
      </c>
      <c r="L233" s="15" t="inlineStr">
        <is>
          <t xml:space="preserve">Probable</t>
        </is>
      </c>
      <c r="M233" s="15" t="inlineStr">
        <is>
          <t xml:space="preserve">Attach to v0.3 event</t>
        </is>
      </c>
      <c r="N233" s="15" t="inlineStr">
        <is>
          <t xml:space="preserve">Read after the Hezekiah reform / administration window as a collection note; do not date each saying to Hezekiah.</t>
        </is>
      </c>
      <c r="O233" s="15" t="inlineStr">
        <is>
          <t xml:space="preserve">Optional 'Collection note' after the Hezekiah reading set; retain as pending if skipped.</t>
        </is>
      </c>
      <c r="P233" s="15" t="inlineStr">
        <is>
          <t xml:space="preserve">No</t>
        </is>
      </c>
      <c r="Q233" s="15" t="inlineStr">
        <is>
          <t xml:space="preserve">Hezekiah; Wisdom</t>
        </is>
      </c>
      <c r="R233" s="15" t="inlineStr">
        <is>
          <t xml:space="preserve">CRS-2K-018</t>
        </is>
      </c>
      <c r="S233" s="15" t="inlineStr">
        <is>
          <t xml:space="preserve">SRC-CANON-TEXT; SRC-WISDOM-CANON; SRC-WHO-WROTE</t>
        </is>
      </c>
      <c r="T233" s="15" t="inlineStr">
        <is>
          <t xml:space="preserve">Editorial</t>
        </is>
      </c>
      <c r="U233" s="11" t="inlineStr">
        <is>
          <t xml:space="preserve">Needs Review</t>
        </is>
      </c>
      <c r="V233" s="10" t="inlineStr">
        <is>
          <t xml:space="preserve">Mapped</t>
        </is>
      </c>
      <c r="W233" s="15" t="inlineStr">
        <is>
          <t xml:space="preserve">Proverbs 25:1 explicitly associates this collection with the men of Hezekiah; that supports a collection context, not a composition date for every proverb.</t>
        </is>
      </c>
    </row>
    <row r="234" ht="34" customHeight="1">
      <c r="A234" s="15" t="inlineStr">
        <is>
          <t xml:space="preserve">v0.3</t>
        </is>
      </c>
      <c r="B234" s="15" t="inlineStr">
        <is>
          <t xml:space="preserve">Bible_Journey_Canon_Map_v0_3_2Chronicles_Wisdom_2Kings.xlsx</t>
        </is>
      </c>
      <c r="C234" s="15" t="inlineStr">
        <is>
          <t xml:space="preserve">CRS-WIS-006</t>
        </is>
      </c>
      <c r="D234" s="15">
        <v>1295</v>
      </c>
      <c r="E234" s="15">
        <v>3</v>
      </c>
      <c r="F234" s="15" t="inlineStr">
        <is>
          <t xml:space="preserve">Proverbs</t>
        </is>
      </c>
      <c r="G234" s="15" t="inlineStr">
        <is>
          <t xml:space="preserve">Wisdom collection</t>
        </is>
      </c>
      <c r="H234" s="15" t="inlineStr">
        <is>
          <t xml:space="preserve">Wisdom interlude</t>
        </is>
      </c>
      <c r="I234" s="15" t="inlineStr">
        <is>
          <t xml:space="preserve">Words of Agur</t>
        </is>
      </c>
      <c r="J234" s="15" t="inlineStr">
        <is>
          <t xml:space="preserve">Proverbs 30</t>
        </is>
      </c>
      <c r="K234" s="15" t="inlineStr">
        <is>
          <t xml:space="preserve">High</t>
        </is>
      </c>
      <c r="L234" s="13" t="inlineStr">
        <is>
          <t xml:space="preserve">Unresolved</t>
        </is>
      </c>
      <c r="M234" s="15" t="inlineStr">
        <is>
          <t xml:space="preserve">Auxiliary collection / no fixed event placement</t>
        </is>
      </c>
      <c r="N234" s="15" t="inlineStr">
        <is>
          <t xml:space="preserve">Read as an intact wisdom collection after the disclosed Solomonic Wisdom Interlude.</t>
        </is>
      </c>
      <c r="O234" s="15" t="inlineStr">
        <is>
          <t xml:space="preserve">Off by default in Narrative Flow; accessible through the Wisdom Library.</t>
        </is>
      </c>
      <c r="P234" s="15" t="inlineStr">
        <is>
          <t xml:space="preserve">No</t>
        </is>
      </c>
      <c r="Q234" s="15" t="inlineStr">
        <is>
          <t xml:space="preserve">Wisdom</t>
        </is>
      </c>
      <c r="R234" s="15" t="inlineStr">
        <is>
          <t xml:space="preserve">Wisdom Library</t>
        </is>
      </c>
      <c r="S234" s="15" t="inlineStr">
        <is>
          <t xml:space="preserve">SRC-CANON-TEXT; SRC-WISDOM-CANON; SRC-WHO-WROTE</t>
        </is>
      </c>
      <c r="T234" s="15" t="inlineStr">
        <is>
          <t xml:space="preserve">Editorial</t>
        </is>
      </c>
      <c r="U234" s="11" t="inlineStr">
        <is>
          <t xml:space="preserve">Needs Review</t>
        </is>
      </c>
      <c r="V234" s="10" t="inlineStr">
        <is>
          <t xml:space="preserve">Mapped</t>
        </is>
      </c>
      <c r="W234" s="15" t="inlineStr">
        <is>
          <t xml:space="preserve">The text identifies Agur; the app will not force it into Solomon's biography.</t>
        </is>
      </c>
    </row>
    <row r="235" ht="34" customHeight="1">
      <c r="A235" s="15" t="inlineStr">
        <is>
          <t xml:space="preserve">v0.3</t>
        </is>
      </c>
      <c r="B235" s="15" t="inlineStr">
        <is>
          <t xml:space="preserve">Bible_Journey_Canon_Map_v0_3_2Chronicles_Wisdom_2Kings.xlsx</t>
        </is>
      </c>
      <c r="C235" s="15" t="inlineStr">
        <is>
          <t xml:space="preserve">CRS-WIS-007</t>
        </is>
      </c>
      <c r="D235" s="15">
        <v>1300</v>
      </c>
      <c r="E235" s="15">
        <v>3</v>
      </c>
      <c r="F235" s="15" t="inlineStr">
        <is>
          <t xml:space="preserve">Proverbs</t>
        </is>
      </c>
      <c r="G235" s="15" t="inlineStr">
        <is>
          <t xml:space="preserve">Wisdom collection</t>
        </is>
      </c>
      <c r="H235" s="15" t="inlineStr">
        <is>
          <t xml:space="preserve">Wisdom interlude</t>
        </is>
      </c>
      <c r="I235" s="15" t="inlineStr">
        <is>
          <t xml:space="preserve">Words of King Lemuel</t>
        </is>
      </c>
      <c r="J235" s="15" t="inlineStr">
        <is>
          <t xml:space="preserve">Proverbs 31</t>
        </is>
      </c>
      <c r="K235" s="15" t="inlineStr">
        <is>
          <t xml:space="preserve">High</t>
        </is>
      </c>
      <c r="L235" s="13" t="inlineStr">
        <is>
          <t xml:space="preserve">Unresolved</t>
        </is>
      </c>
      <c r="M235" s="15" t="inlineStr">
        <is>
          <t xml:space="preserve">Auxiliary collection / no fixed event placement</t>
        </is>
      </c>
      <c r="N235" s="15" t="inlineStr">
        <is>
          <t xml:space="preserve">Read as an intact wisdom collection after the disclosed Solomonic Wisdom Interlude.</t>
        </is>
      </c>
      <c r="O235" s="15" t="inlineStr">
        <is>
          <t xml:space="preserve">Off by default in Narrative Flow; accessible through the Wisdom Library.</t>
        </is>
      </c>
      <c r="P235" s="15" t="inlineStr">
        <is>
          <t xml:space="preserve">No</t>
        </is>
      </c>
      <c r="Q235" s="15" t="inlineStr">
        <is>
          <t xml:space="preserve">Wisdom</t>
        </is>
      </c>
      <c r="R235" s="15" t="inlineStr">
        <is>
          <t xml:space="preserve">Wisdom Library</t>
        </is>
      </c>
      <c r="S235" s="15" t="inlineStr">
        <is>
          <t xml:space="preserve">SRC-CANON-TEXT; SRC-WISDOM-CANON; SRC-WHO-WROTE</t>
        </is>
      </c>
      <c r="T235" s="15" t="inlineStr">
        <is>
          <t xml:space="preserve">Editorial</t>
        </is>
      </c>
      <c r="U235" s="11" t="inlineStr">
        <is>
          <t xml:space="preserve">Needs Review</t>
        </is>
      </c>
      <c r="V235" s="10" t="inlineStr">
        <is>
          <t xml:space="preserve">Mapped</t>
        </is>
      </c>
      <c r="W235" s="15" t="inlineStr">
        <is>
          <t xml:space="preserve">The text identifies Lemuel and his mother; the app will not attribute it automatically to Solomon.</t>
        </is>
      </c>
    </row>
    <row r="236" ht="34" customHeight="1">
      <c r="A236" s="15" t="inlineStr">
        <is>
          <t xml:space="preserve">v0.3</t>
        </is>
      </c>
      <c r="B236" s="15" t="inlineStr">
        <is>
          <t xml:space="preserve">Bible_Journey_Canon_Map_v0_3_2Chronicles_Wisdom_2Kings.xlsx</t>
        </is>
      </c>
      <c r="C236" s="15" t="inlineStr">
        <is>
          <t xml:space="preserve">CRS-2K-001</t>
        </is>
      </c>
      <c r="D236" s="15">
        <v>1410</v>
      </c>
      <c r="E236" s="15">
        <v>3</v>
      </c>
      <c r="F236" s="15" t="inlineStr">
        <is>
          <t xml:space="preserve">2 Kings</t>
        </is>
      </c>
      <c r="G236" s="15" t="inlineStr">
        <is>
          <t xml:space="preserve">Divided Kingdom</t>
        </is>
      </c>
      <c r="H236" s="15" t="inlineStr">
        <is>
          <t xml:space="preserve">Elijah's final ministry</t>
        </is>
      </c>
      <c r="I236" s="15" t="inlineStr">
        <is>
          <t xml:space="preserve">Ahaziah and Elijah</t>
        </is>
      </c>
      <c r="J236" s="15" t="inlineStr">
        <is>
          <t xml:space="preserve">2 Kings 1</t>
        </is>
      </c>
      <c r="K236" s="15" t="inlineStr">
        <is>
          <t xml:space="preserve">High</t>
        </is>
      </c>
      <c r="L236" s="15" t="inlineStr">
        <is>
          <t xml:space="preserve">High</t>
        </is>
      </c>
      <c r="M236" s="15" t="inlineStr">
        <is>
          <t xml:space="preserve">New main-spine continuation</t>
        </is>
      </c>
      <c r="N236" s="15" t="inlineStr">
        <is>
          <t xml:space="preserve">Read the primary Kings block and every required linked block before Full Stream completion.</t>
        </is>
      </c>
      <c r="O236" s="15" t="inlineStr">
        <is>
          <t xml:space="preserve">Show the Kings block by default; linked accounts remain visibly pending if skipped.</t>
        </is>
      </c>
      <c r="P236" s="15" t="inlineStr">
        <is>
          <t xml:space="preserve">No</t>
        </is>
      </c>
      <c r="Q236" s="15" t="inlineStr">
        <is>
          <t xml:space="preserve">Elijah and Elisha; The Divided Kingdom</t>
        </is>
      </c>
      <c r="R236" s="15"/>
      <c r="S236" s="15" t="inlineStr">
        <is>
          <t xml:space="preserve">SRC-CANON-TEXT; SRC-KINGS-OVERVIEW</t>
        </is>
      </c>
      <c r="T236" s="15" t="inlineStr">
        <is>
          <t xml:space="preserve">Editorial</t>
        </is>
      </c>
      <c r="U236" s="11" t="inlineStr">
        <is>
          <t xml:space="preserve">Needs Review</t>
        </is>
      </c>
      <c r="V236" s="10" t="inlineStr">
        <is>
          <t xml:space="preserve">Mapped</t>
        </is>
      </c>
      <c r="W236" s="15" t="inlineStr">
        <is>
          <t xml:space="preserve">Ahaziah's inquiry and Elijah's judgment. No Chronicles parallel.</t>
        </is>
      </c>
    </row>
    <row r="237" ht="34" customHeight="1">
      <c r="A237" s="15" t="inlineStr">
        <is>
          <t xml:space="preserve">v0.3</t>
        </is>
      </c>
      <c r="B237" s="15" t="inlineStr">
        <is>
          <t xml:space="preserve">Bible_Journey_Canon_Map_v0_3_2Chronicles_Wisdom_2Kings.xlsx</t>
        </is>
      </c>
      <c r="C237" s="15" t="inlineStr">
        <is>
          <t xml:space="preserve">CRS-2K-002</t>
        </is>
      </c>
      <c r="D237" s="15">
        <v>1420</v>
      </c>
      <c r="E237" s="15">
        <v>3</v>
      </c>
      <c r="F237" s="15" t="inlineStr">
        <is>
          <t xml:space="preserve">2 Kings</t>
        </is>
      </c>
      <c r="G237" s="15" t="inlineStr">
        <is>
          <t xml:space="preserve">Divided Kingdom</t>
        </is>
      </c>
      <c r="H237" s="15" t="inlineStr">
        <is>
          <t xml:space="preserve">Elijah's final ministry</t>
        </is>
      </c>
      <c r="I237" s="15" t="inlineStr">
        <is>
          <t xml:space="preserve">Elijah's departure and Elisha's succession</t>
        </is>
      </c>
      <c r="J237" s="15" t="inlineStr">
        <is>
          <t xml:space="preserve">2 Kings 2</t>
        </is>
      </c>
      <c r="K237" s="15" t="inlineStr">
        <is>
          <t xml:space="preserve">High</t>
        </is>
      </c>
      <c r="L237" s="15" t="inlineStr">
        <is>
          <t xml:space="preserve">High</t>
        </is>
      </c>
      <c r="M237" s="15" t="inlineStr">
        <is>
          <t xml:space="preserve">New main-spine continuation</t>
        </is>
      </c>
      <c r="N237" s="15" t="inlineStr">
        <is>
          <t xml:space="preserve">Read the primary Kings block and every required linked block before Full Stream completion.</t>
        </is>
      </c>
      <c r="O237" s="15" t="inlineStr">
        <is>
          <t xml:space="preserve">Show the Kings block by default; linked accounts remain visibly pending if skipped.</t>
        </is>
      </c>
      <c r="P237" s="15" t="inlineStr">
        <is>
          <t xml:space="preserve">No</t>
        </is>
      </c>
      <c r="Q237" s="15" t="inlineStr">
        <is>
          <t xml:space="preserve">Elijah and Elisha; The Divided Kingdom</t>
        </is>
      </c>
      <c r="R237" s="15"/>
      <c r="S237" s="15" t="inlineStr">
        <is>
          <t xml:space="preserve">SRC-CANON-TEXT; SRC-KINGS-OVERVIEW</t>
        </is>
      </c>
      <c r="T237" s="15" t="inlineStr">
        <is>
          <t xml:space="preserve">Editorial</t>
        </is>
      </c>
      <c r="U237" s="11" t="inlineStr">
        <is>
          <t xml:space="preserve">Needs Review</t>
        </is>
      </c>
      <c r="V237" s="10" t="inlineStr">
        <is>
          <t xml:space="preserve">Mapped</t>
        </is>
      </c>
      <c r="W237" s="15" t="inlineStr">
        <is>
          <t xml:space="preserve">Elijah's departure and the public transition to Elisha.</t>
        </is>
      </c>
    </row>
    <row r="238" ht="34" customHeight="1">
      <c r="A238" s="15" t="inlineStr">
        <is>
          <t xml:space="preserve">v0.3</t>
        </is>
      </c>
      <c r="B238" s="15" t="inlineStr">
        <is>
          <t xml:space="preserve">Bible_Journey_Canon_Map_v0_3_2Chronicles_Wisdom_2Kings.xlsx</t>
        </is>
      </c>
      <c r="C238" s="15" t="inlineStr">
        <is>
          <t xml:space="preserve">CRS-2K-003</t>
        </is>
      </c>
      <c r="D238" s="15">
        <v>1430</v>
      </c>
      <c r="E238" s="15">
        <v>3</v>
      </c>
      <c r="F238" s="15" t="inlineStr">
        <is>
          <t xml:space="preserve">2 Kings</t>
        </is>
      </c>
      <c r="G238" s="15" t="inlineStr">
        <is>
          <t xml:space="preserve">Divided Kingdom</t>
        </is>
      </c>
      <c r="H238" s="15" t="inlineStr">
        <is>
          <t xml:space="preserve">Elisha's ministry</t>
        </is>
      </c>
      <c r="I238" s="15" t="inlineStr">
        <is>
          <t xml:space="preserve">Moab campaign</t>
        </is>
      </c>
      <c r="J238" s="15" t="inlineStr">
        <is>
          <t xml:space="preserve">2 Kings 3</t>
        </is>
      </c>
      <c r="K238" s="15" t="inlineStr">
        <is>
          <t xml:space="preserve">High</t>
        </is>
      </c>
      <c r="L238" s="15" t="inlineStr">
        <is>
          <t xml:space="preserve">High</t>
        </is>
      </c>
      <c r="M238" s="15" t="inlineStr">
        <is>
          <t xml:space="preserve">New main-spine continuation</t>
        </is>
      </c>
      <c r="N238" s="15" t="inlineStr">
        <is>
          <t xml:space="preserve">Read the primary Kings block and every required linked block before Full Stream completion.</t>
        </is>
      </c>
      <c r="O238" s="15" t="inlineStr">
        <is>
          <t xml:space="preserve">Show the Kings block by default; linked accounts remain visibly pending if skipped.</t>
        </is>
      </c>
      <c r="P238" s="15" t="inlineStr">
        <is>
          <t xml:space="preserve">No</t>
        </is>
      </c>
      <c r="Q238" s="15" t="inlineStr">
        <is>
          <t xml:space="preserve">Elijah and Elisha; The Divided Kingdom</t>
        </is>
      </c>
      <c r="R238" s="15"/>
      <c r="S238" s="15" t="inlineStr">
        <is>
          <t xml:space="preserve">SRC-CANON-TEXT; SRC-KINGS-OVERVIEW</t>
        </is>
      </c>
      <c r="T238" s="15" t="inlineStr">
        <is>
          <t xml:space="preserve">Editorial</t>
        </is>
      </c>
      <c r="U238" s="11" t="inlineStr">
        <is>
          <t xml:space="preserve">Needs Review</t>
        </is>
      </c>
      <c r="V238" s="10" t="inlineStr">
        <is>
          <t xml:space="preserve">Mapped</t>
        </is>
      </c>
      <c r="W238" s="15" t="inlineStr">
        <is>
          <t xml:space="preserve">A coalition campaign narrated through the role of Elisha.</t>
        </is>
      </c>
    </row>
    <row r="239" ht="34" customHeight="1">
      <c r="A239" s="15" t="inlineStr">
        <is>
          <t xml:space="preserve">v0.3</t>
        </is>
      </c>
      <c r="B239" s="15" t="inlineStr">
        <is>
          <t xml:space="preserve">Bible_Journey_Canon_Map_v0_3_2Chronicles_Wisdom_2Kings.xlsx</t>
        </is>
      </c>
      <c r="C239" s="15" t="inlineStr">
        <is>
          <t xml:space="preserve">CRS-2K-004</t>
        </is>
      </c>
      <c r="D239" s="15">
        <v>1440</v>
      </c>
      <c r="E239" s="15">
        <v>3</v>
      </c>
      <c r="F239" s="15" t="inlineStr">
        <is>
          <t xml:space="preserve">2 Kings</t>
        </is>
      </c>
      <c r="G239" s="15" t="inlineStr">
        <is>
          <t xml:space="preserve">Divided Kingdom</t>
        </is>
      </c>
      <c r="H239" s="15" t="inlineStr">
        <is>
          <t xml:space="preserve">Elisha's ministry</t>
        </is>
      </c>
      <c r="I239" s="15" t="inlineStr">
        <is>
          <t xml:space="preserve">Elisha's acts</t>
        </is>
      </c>
      <c r="J239" s="15" t="inlineStr">
        <is>
          <t xml:space="preserve">2 Kings 4</t>
        </is>
      </c>
      <c r="K239" s="15" t="inlineStr">
        <is>
          <t xml:space="preserve">High</t>
        </is>
      </c>
      <c r="L239" s="15" t="inlineStr">
        <is>
          <t xml:space="preserve">High</t>
        </is>
      </c>
      <c r="M239" s="15" t="inlineStr">
        <is>
          <t xml:space="preserve">New main-spine continuation</t>
        </is>
      </c>
      <c r="N239" s="15" t="inlineStr">
        <is>
          <t xml:space="preserve">Read the primary Kings block and every required linked block before Full Stream completion.</t>
        </is>
      </c>
      <c r="O239" s="15" t="inlineStr">
        <is>
          <t xml:space="preserve">Show the Kings block by default; linked accounts remain visibly pending if skipped.</t>
        </is>
      </c>
      <c r="P239" s="15" t="inlineStr">
        <is>
          <t xml:space="preserve">No</t>
        </is>
      </c>
      <c r="Q239" s="15" t="inlineStr">
        <is>
          <t xml:space="preserve">Elijah and Elisha</t>
        </is>
      </c>
      <c r="R239" s="15"/>
      <c r="S239" s="15" t="inlineStr">
        <is>
          <t xml:space="preserve">SRC-CANON-TEXT; SRC-KINGS-OVERVIEW</t>
        </is>
      </c>
      <c r="T239" s="15" t="inlineStr">
        <is>
          <t xml:space="preserve">Editorial</t>
        </is>
      </c>
      <c r="U239" s="11" t="inlineStr">
        <is>
          <t xml:space="preserve">Needs Review</t>
        </is>
      </c>
      <c r="V239" s="10" t="inlineStr">
        <is>
          <t xml:space="preserve">Mapped</t>
        </is>
      </c>
      <c r="W239" s="15" t="inlineStr">
        <is>
          <t xml:space="preserve">A linked cycle of Elisha narratives; retain as one canonical chapter for the first mapping pass.</t>
        </is>
      </c>
    </row>
    <row r="240" ht="34" customHeight="1">
      <c r="A240" s="15" t="inlineStr">
        <is>
          <t xml:space="preserve">v0.3</t>
        </is>
      </c>
      <c r="B240" s="15" t="inlineStr">
        <is>
          <t xml:space="preserve">Bible_Journey_Canon_Map_v0_3_2Chronicles_Wisdom_2Kings.xlsx</t>
        </is>
      </c>
      <c r="C240" s="15" t="inlineStr">
        <is>
          <t xml:space="preserve">CRS-2K-005</t>
        </is>
      </c>
      <c r="D240" s="15">
        <v>1450</v>
      </c>
      <c r="E240" s="15">
        <v>3</v>
      </c>
      <c r="F240" s="15" t="inlineStr">
        <is>
          <t xml:space="preserve">2 Kings</t>
        </is>
      </c>
      <c r="G240" s="15" t="inlineStr">
        <is>
          <t xml:space="preserve">Divided Kingdom</t>
        </is>
      </c>
      <c r="H240" s="15" t="inlineStr">
        <is>
          <t xml:space="preserve">Elisha's ministry</t>
        </is>
      </c>
      <c r="I240" s="15" t="inlineStr">
        <is>
          <t xml:space="preserve">Naaman's healing</t>
        </is>
      </c>
      <c r="J240" s="15" t="inlineStr">
        <is>
          <t xml:space="preserve">2 Kings 5</t>
        </is>
      </c>
      <c r="K240" s="15" t="inlineStr">
        <is>
          <t xml:space="preserve">High</t>
        </is>
      </c>
      <c r="L240" s="15" t="inlineStr">
        <is>
          <t xml:space="preserve">High</t>
        </is>
      </c>
      <c r="M240" s="15" t="inlineStr">
        <is>
          <t xml:space="preserve">New main-spine continuation</t>
        </is>
      </c>
      <c r="N240" s="15" t="inlineStr">
        <is>
          <t xml:space="preserve">Read the primary Kings block and every required linked block before Full Stream completion.</t>
        </is>
      </c>
      <c r="O240" s="15" t="inlineStr">
        <is>
          <t xml:space="preserve">Show the Kings block by default; linked accounts remain visibly pending if skipped.</t>
        </is>
      </c>
      <c r="P240" s="15" t="inlineStr">
        <is>
          <t xml:space="preserve">No</t>
        </is>
      </c>
      <c r="Q240" s="15" t="inlineStr">
        <is>
          <t xml:space="preserve">Elijah and Elisha</t>
        </is>
      </c>
      <c r="R240" s="15"/>
      <c r="S240" s="15" t="inlineStr">
        <is>
          <t xml:space="preserve">SRC-CANON-TEXT; SRC-KINGS-OVERVIEW</t>
        </is>
      </c>
      <c r="T240" s="15" t="inlineStr">
        <is>
          <t xml:space="preserve">Editorial</t>
        </is>
      </c>
      <c r="U240" s="11" t="inlineStr">
        <is>
          <t xml:space="preserve">Needs Review</t>
        </is>
      </c>
      <c r="V240" s="10" t="inlineStr">
        <is>
          <t xml:space="preserve">Mapped</t>
        </is>
      </c>
      <c r="W240" s="15" t="inlineStr">
        <is>
          <t xml:space="preserve">A distinct healing and mission-to-Aram narrative.</t>
        </is>
      </c>
    </row>
    <row r="241" ht="34" customHeight="1">
      <c r="A241" s="15" t="inlineStr">
        <is>
          <t xml:space="preserve">v0.3</t>
        </is>
      </c>
      <c r="B241" s="15" t="inlineStr">
        <is>
          <t xml:space="preserve">Bible_Journey_Canon_Map_v0_3_2Chronicles_Wisdom_2Kings.xlsx</t>
        </is>
      </c>
      <c r="C241" s="15" t="inlineStr">
        <is>
          <t xml:space="preserve">CRS-2K-006</t>
        </is>
      </c>
      <c r="D241" s="15">
        <v>1460</v>
      </c>
      <c r="E241" s="15">
        <v>3</v>
      </c>
      <c r="F241" s="15" t="inlineStr">
        <is>
          <t xml:space="preserve">2 Kings</t>
        </is>
      </c>
      <c r="G241" s="15" t="inlineStr">
        <is>
          <t xml:space="preserve">Divided Kingdom</t>
        </is>
      </c>
      <c r="H241" s="15" t="inlineStr">
        <is>
          <t xml:space="preserve">Elisha's ministry</t>
        </is>
      </c>
      <c r="I241" s="15" t="inlineStr">
        <is>
          <t xml:space="preserve">Elisha and Aram</t>
        </is>
      </c>
      <c r="J241" s="15" t="inlineStr">
        <is>
          <t xml:space="preserve">2 Kings 6</t>
        </is>
      </c>
      <c r="K241" s="15" t="inlineStr">
        <is>
          <t xml:space="preserve">High</t>
        </is>
      </c>
      <c r="L241" s="15" t="inlineStr">
        <is>
          <t xml:space="preserve">High</t>
        </is>
      </c>
      <c r="M241" s="15" t="inlineStr">
        <is>
          <t xml:space="preserve">New main-spine continuation</t>
        </is>
      </c>
      <c r="N241" s="15" t="inlineStr">
        <is>
          <t xml:space="preserve">Read the primary Kings block and every required linked block before Full Stream completion.</t>
        </is>
      </c>
      <c r="O241" s="15" t="inlineStr">
        <is>
          <t xml:space="preserve">Show the Kings block by default; linked accounts remain visibly pending if skipped.</t>
        </is>
      </c>
      <c r="P241" s="15" t="inlineStr">
        <is>
          <t xml:space="preserve">No</t>
        </is>
      </c>
      <c r="Q241" s="15" t="inlineStr">
        <is>
          <t xml:space="preserve">Elijah and Elisha; The Divided Kingdom</t>
        </is>
      </c>
      <c r="R241" s="15"/>
      <c r="S241" s="15" t="inlineStr">
        <is>
          <t xml:space="preserve">SRC-CANON-TEXT; SRC-KINGS-OVERVIEW</t>
        </is>
      </c>
      <c r="T241" s="15" t="inlineStr">
        <is>
          <t xml:space="preserve">Editorial</t>
        </is>
      </c>
      <c r="U241" s="11" t="inlineStr">
        <is>
          <t xml:space="preserve">Needs Review</t>
        </is>
      </c>
      <c r="V241" s="10" t="inlineStr">
        <is>
          <t xml:space="preserve">Mapped</t>
        </is>
      </c>
      <c r="W241" s="15" t="inlineStr">
        <is>
          <t xml:space="preserve">Contains multiple scenes; future scene-level splits may refine this chapter.</t>
        </is>
      </c>
    </row>
    <row r="242" ht="34" customHeight="1">
      <c r="A242" s="15" t="inlineStr">
        <is>
          <t xml:space="preserve">v0.3</t>
        </is>
      </c>
      <c r="B242" s="15" t="inlineStr">
        <is>
          <t xml:space="preserve">Bible_Journey_Canon_Map_v0_3_2Chronicles_Wisdom_2Kings.xlsx</t>
        </is>
      </c>
      <c r="C242" s="15" t="inlineStr">
        <is>
          <t xml:space="preserve">CRS-2K-007</t>
        </is>
      </c>
      <c r="D242" s="15">
        <v>1470</v>
      </c>
      <c r="E242" s="15">
        <v>3</v>
      </c>
      <c r="F242" s="15" t="inlineStr">
        <is>
          <t xml:space="preserve">2 Kings</t>
        </is>
      </c>
      <c r="G242" s="15" t="inlineStr">
        <is>
          <t xml:space="preserve">Divided Kingdom</t>
        </is>
      </c>
      <c r="H242" s="15" t="inlineStr">
        <is>
          <t xml:space="preserve">Elisha's ministry</t>
        </is>
      </c>
      <c r="I242" s="15" t="inlineStr">
        <is>
          <t xml:space="preserve">The end of Samaria's siege</t>
        </is>
      </c>
      <c r="J242" s="15" t="inlineStr">
        <is>
          <t xml:space="preserve">2 Kings 7</t>
        </is>
      </c>
      <c r="K242" s="15" t="inlineStr">
        <is>
          <t xml:space="preserve">High</t>
        </is>
      </c>
      <c r="L242" s="15" t="inlineStr">
        <is>
          <t xml:space="preserve">High</t>
        </is>
      </c>
      <c r="M242" s="15" t="inlineStr">
        <is>
          <t xml:space="preserve">New main-spine continuation</t>
        </is>
      </c>
      <c r="N242" s="15" t="inlineStr">
        <is>
          <t xml:space="preserve">Read the primary Kings block and every required linked block before Full Stream completion.</t>
        </is>
      </c>
      <c r="O242" s="15" t="inlineStr">
        <is>
          <t xml:space="preserve">Show the Kings block by default; linked accounts remain visibly pending if skipped.</t>
        </is>
      </c>
      <c r="P242" s="15" t="inlineStr">
        <is>
          <t xml:space="preserve">No</t>
        </is>
      </c>
      <c r="Q242" s="15" t="inlineStr">
        <is>
          <t xml:space="preserve">Elijah and Elisha; The Divided Kingdom</t>
        </is>
      </c>
      <c r="R242" s="15"/>
      <c r="S242" s="15" t="inlineStr">
        <is>
          <t xml:space="preserve">SRC-CANON-TEXT; SRC-KINGS-OVERVIEW</t>
        </is>
      </c>
      <c r="T242" s="15" t="inlineStr">
        <is>
          <t xml:space="preserve">Editorial</t>
        </is>
      </c>
      <c r="U242" s="11" t="inlineStr">
        <is>
          <t xml:space="preserve">Needs Review</t>
        </is>
      </c>
      <c r="V242" s="10" t="inlineStr">
        <is>
          <t xml:space="preserve">Mapped</t>
        </is>
      </c>
      <c r="W242" s="15" t="inlineStr">
        <is>
          <t xml:space="preserve">A discrete narrative continuation of the siege introduced in 2 Kings 6.</t>
        </is>
      </c>
    </row>
    <row r="243" ht="34" customHeight="1">
      <c r="A243" s="15" t="inlineStr">
        <is>
          <t xml:space="preserve">v0.3</t>
        </is>
      </c>
      <c r="B243" s="15" t="inlineStr">
        <is>
          <t xml:space="preserve">Bible_Journey_Canon_Map_v0_3_2Chronicles_Wisdom_2Kings.xlsx</t>
        </is>
      </c>
      <c r="C243" s="15" t="inlineStr">
        <is>
          <t xml:space="preserve">CRS-2K-008A</t>
        </is>
      </c>
      <c r="D243" s="15">
        <v>1480</v>
      </c>
      <c r="E243" s="15">
        <v>3</v>
      </c>
      <c r="F243" s="15" t="inlineStr">
        <is>
          <t xml:space="preserve">2 Kings</t>
        </is>
      </c>
      <c r="G243" s="15" t="inlineStr">
        <is>
          <t xml:space="preserve">Divided Kingdom</t>
        </is>
      </c>
      <c r="H243" s="15" t="inlineStr">
        <is>
          <t xml:space="preserve">Elisha's ministry</t>
        </is>
      </c>
      <c r="I243" s="15" t="inlineStr">
        <is>
          <t xml:space="preserve">Elisha and Hazael</t>
        </is>
      </c>
      <c r="J243" s="15" t="inlineStr">
        <is>
          <t xml:space="preserve">2 Kings 8:1-15</t>
        </is>
      </c>
      <c r="K243" s="15" t="inlineStr">
        <is>
          <t xml:space="preserve">High</t>
        </is>
      </c>
      <c r="L243" s="15" t="inlineStr">
        <is>
          <t xml:space="preserve">High</t>
        </is>
      </c>
      <c r="M243" s="15" t="inlineStr">
        <is>
          <t xml:space="preserve">New main-spine continuation</t>
        </is>
      </c>
      <c r="N243" s="15" t="inlineStr">
        <is>
          <t xml:space="preserve">Read the primary Kings block and every required linked block before Full Stream completion.</t>
        </is>
      </c>
      <c r="O243" s="15" t="inlineStr">
        <is>
          <t xml:space="preserve">Show the Kings block by default; linked accounts remain visibly pending if skipped.</t>
        </is>
      </c>
      <c r="P243" s="15" t="inlineStr">
        <is>
          <t xml:space="preserve">No</t>
        </is>
      </c>
      <c r="Q243" s="15" t="inlineStr">
        <is>
          <t xml:space="preserve">Elijah and Elisha; The Divided Kingdom</t>
        </is>
      </c>
      <c r="R243" s="15"/>
      <c r="S243" s="15" t="inlineStr">
        <is>
          <t xml:space="preserve">SRC-CANON-TEXT; SRC-KINGS-OVERVIEW</t>
        </is>
      </c>
      <c r="T243" s="15" t="inlineStr">
        <is>
          <t xml:space="preserve">Editorial</t>
        </is>
      </c>
      <c r="U243" s="11" t="inlineStr">
        <is>
          <t xml:space="preserve">Needs Review</t>
        </is>
      </c>
      <c r="V243" s="10" t="inlineStr">
        <is>
          <t xml:space="preserve">Mapped</t>
        </is>
      </c>
      <c r="W243" s="15" t="inlineStr">
        <is>
          <t xml:space="preserve">First scene of 2 Kings 8. It must remain separate from the royal succession material in verses 16-29.</t>
        </is>
      </c>
    </row>
    <row r="244" ht="34" customHeight="1">
      <c r="A244" s="15" t="inlineStr">
        <is>
          <t xml:space="preserve">v0.3</t>
        </is>
      </c>
      <c r="B244" s="15" t="inlineStr">
        <is>
          <t xml:space="preserve">Bible_Journey_Canon_Map_v0_3_2Chronicles_Wisdom_2Kings.xlsx</t>
        </is>
      </c>
      <c r="C244" s="15" t="inlineStr">
        <is>
          <t xml:space="preserve">CRS-2K-008B</t>
        </is>
      </c>
      <c r="D244" s="15">
        <v>1490</v>
      </c>
      <c r="E244" s="15">
        <v>3</v>
      </c>
      <c r="F244" s="15" t="inlineStr">
        <is>
          <t xml:space="preserve">2 Kings</t>
        </is>
      </c>
      <c r="G244" s="15" t="inlineStr">
        <is>
          <t xml:space="preserve">Divided Kingdom</t>
        </is>
      </c>
      <c r="H244" s="15" t="inlineStr">
        <is>
          <t xml:space="preserve">Judah's royal succession</t>
        </is>
      </c>
      <c r="I244" s="15" t="inlineStr">
        <is>
          <t xml:space="preserve">Jehoram and Ahaziah of Judah</t>
        </is>
      </c>
      <c r="J244" s="15" t="inlineStr">
        <is>
          <t xml:space="preserve">2 Kings 8:16-29</t>
        </is>
      </c>
      <c r="K244" s="15" t="inlineStr">
        <is>
          <t xml:space="preserve">High</t>
        </is>
      </c>
      <c r="L244" s="15" t="inlineStr">
        <is>
          <t xml:space="preserve">High</t>
        </is>
      </c>
      <c r="M244" s="15" t="inlineStr">
        <is>
          <t xml:space="preserve">New main-spine continuation</t>
        </is>
      </c>
      <c r="N244" s="15" t="inlineStr">
        <is>
          <t xml:space="preserve">Read the primary Kings block and every required linked block before Full Stream completion.</t>
        </is>
      </c>
      <c r="O244" s="15" t="inlineStr">
        <is>
          <t xml:space="preserve">Show the Kings block by default; linked accounts remain visibly pending if skipped.</t>
        </is>
      </c>
      <c r="P244" s="15" t="inlineStr">
        <is>
          <t xml:space="preserve">Yes</t>
        </is>
      </c>
      <c r="Q244" s="15" t="inlineStr">
        <is>
          <t xml:space="preserve">The Divided Kingdom</t>
        </is>
      </c>
      <c r="R244" s="15"/>
      <c r="S244" s="15" t="inlineStr">
        <is>
          <t xml:space="preserve">SRC-CANON-TEXT; SRC-KINGS-OVERVIEW; SRC-CHRONICLES-OVERVIEW</t>
        </is>
      </c>
      <c r="T244" s="15" t="inlineStr">
        <is>
          <t xml:space="preserve">Editorial</t>
        </is>
      </c>
      <c r="U244" s="11" t="inlineStr">
        <is>
          <t xml:space="preserve">Needs Review</t>
        </is>
      </c>
      <c r="V244" s="10" t="inlineStr">
        <is>
          <t xml:space="preserve">Mapped</t>
        </is>
      </c>
      <c r="W244" s="15" t="inlineStr">
        <is>
          <t xml:space="preserve">Joram and Ahaziah of Judah with linked Chronicles material; 2 Chronicles 22 requires a scene-level split.</t>
        </is>
      </c>
    </row>
    <row r="245" ht="34" customHeight="1">
      <c r="A245" s="15" t="inlineStr">
        <is>
          <t xml:space="preserve">v0.3</t>
        </is>
      </c>
      <c r="B245" s="15" t="inlineStr">
        <is>
          <t xml:space="preserve">Bible_Journey_Canon_Map_v0_3_2Chronicles_Wisdom_2Kings.xlsx</t>
        </is>
      </c>
      <c r="C245" s="15" t="inlineStr">
        <is>
          <t xml:space="preserve">CRS-2K-009</t>
        </is>
      </c>
      <c r="D245" s="15">
        <v>1500</v>
      </c>
      <c r="E245" s="15">
        <v>3</v>
      </c>
      <c r="F245" s="15" t="inlineStr">
        <is>
          <t xml:space="preserve">2 Kings</t>
        </is>
      </c>
      <c r="G245" s="15" t="inlineStr">
        <is>
          <t xml:space="preserve">Divided Kingdom</t>
        </is>
      </c>
      <c r="H245" s="15" t="inlineStr">
        <is>
          <t xml:space="preserve">Jehu's revolution</t>
        </is>
      </c>
      <c r="I245" s="15" t="inlineStr">
        <is>
          <t xml:space="preserve">Jehu is anointed</t>
        </is>
      </c>
      <c r="J245" s="15" t="inlineStr">
        <is>
          <t xml:space="preserve">2 Kings 9</t>
        </is>
      </c>
      <c r="K245" s="15" t="inlineStr">
        <is>
          <t xml:space="preserve">High</t>
        </is>
      </c>
      <c r="L245" s="15" t="inlineStr">
        <is>
          <t xml:space="preserve">High</t>
        </is>
      </c>
      <c r="M245" s="15" t="inlineStr">
        <is>
          <t xml:space="preserve">New main-spine continuation</t>
        </is>
      </c>
      <c r="N245" s="15" t="inlineStr">
        <is>
          <t xml:space="preserve">Read the primary Kings block and every required linked block before Full Stream completion.</t>
        </is>
      </c>
      <c r="O245" s="15" t="inlineStr">
        <is>
          <t xml:space="preserve">Show the Kings block by default; linked accounts remain visibly pending if skipped.</t>
        </is>
      </c>
      <c r="P245" s="15" t="inlineStr">
        <is>
          <t xml:space="preserve">No</t>
        </is>
      </c>
      <c r="Q245" s="15" t="inlineStr">
        <is>
          <t xml:space="preserve">The Divided Kingdom; Prophets and Kings</t>
        </is>
      </c>
      <c r="R245" s="15"/>
      <c r="S245" s="15" t="inlineStr">
        <is>
          <t xml:space="preserve">SRC-CANON-TEXT; SRC-KINGS-OVERVIEW</t>
        </is>
      </c>
      <c r="T245" s="15" t="inlineStr">
        <is>
          <t xml:space="preserve">Editorial</t>
        </is>
      </c>
      <c r="U245" s="11" t="inlineStr">
        <is>
          <t xml:space="preserve">Needs Review</t>
        </is>
      </c>
      <c r="V245" s="10" t="inlineStr">
        <is>
          <t xml:space="preserve">Mapped</t>
        </is>
      </c>
      <c r="W245" s="15" t="inlineStr">
        <is>
          <t xml:space="preserve">Jehu's anointing and overthrow of Joram / Jezebel sequence.</t>
        </is>
      </c>
    </row>
    <row r="246" ht="34" customHeight="1">
      <c r="A246" s="15" t="inlineStr">
        <is>
          <t xml:space="preserve">v0.3</t>
        </is>
      </c>
      <c r="B246" s="15" t="inlineStr">
        <is>
          <t xml:space="preserve">Bible_Journey_Canon_Map_v0_3_2Chronicles_Wisdom_2Kings.xlsx</t>
        </is>
      </c>
      <c r="C246" s="15" t="inlineStr">
        <is>
          <t xml:space="preserve">CRS-2K-010</t>
        </is>
      </c>
      <c r="D246" s="15">
        <v>1510</v>
      </c>
      <c r="E246" s="15">
        <v>3</v>
      </c>
      <c r="F246" s="15" t="inlineStr">
        <is>
          <t xml:space="preserve">2 Kings</t>
        </is>
      </c>
      <c r="G246" s="15" t="inlineStr">
        <is>
          <t xml:space="preserve">Divided Kingdom</t>
        </is>
      </c>
      <c r="H246" s="15" t="inlineStr">
        <is>
          <t xml:space="preserve">Jehu's revolution</t>
        </is>
      </c>
      <c r="I246" s="15" t="inlineStr">
        <is>
          <t xml:space="preserve">Jehu's reign</t>
        </is>
      </c>
      <c r="J246" s="15" t="inlineStr">
        <is>
          <t xml:space="preserve">2 Kings 10</t>
        </is>
      </c>
      <c r="K246" s="15" t="inlineStr">
        <is>
          <t xml:space="preserve">High</t>
        </is>
      </c>
      <c r="L246" s="15" t="inlineStr">
        <is>
          <t xml:space="preserve">High</t>
        </is>
      </c>
      <c r="M246" s="15" t="inlineStr">
        <is>
          <t xml:space="preserve">New main-spine continuation</t>
        </is>
      </c>
      <c r="N246" s="15" t="inlineStr">
        <is>
          <t xml:space="preserve">Read the primary Kings block and every required linked block before Full Stream completion.</t>
        </is>
      </c>
      <c r="O246" s="15" t="inlineStr">
        <is>
          <t xml:space="preserve">Show the Kings block by default; linked accounts remain visibly pending if skipped.</t>
        </is>
      </c>
      <c r="P246" s="15" t="inlineStr">
        <is>
          <t xml:space="preserve">No</t>
        </is>
      </c>
      <c r="Q246" s="15" t="inlineStr">
        <is>
          <t xml:space="preserve">The Divided Kingdom; Prophets and Kings</t>
        </is>
      </c>
      <c r="R246" s="15"/>
      <c r="S246" s="15" t="inlineStr">
        <is>
          <t xml:space="preserve">SRC-CANON-TEXT; SRC-KINGS-OVERVIEW</t>
        </is>
      </c>
      <c r="T246" s="15" t="inlineStr">
        <is>
          <t xml:space="preserve">Editorial</t>
        </is>
      </c>
      <c r="U246" s="11" t="inlineStr">
        <is>
          <t xml:space="preserve">Needs Review</t>
        </is>
      </c>
      <c r="V246" s="10" t="inlineStr">
        <is>
          <t xml:space="preserve">Mapped</t>
        </is>
      </c>
      <c r="W246" s="15" t="inlineStr">
        <is>
          <t xml:space="preserve">Jehu's purge, cultic reforms, and northern reign assessment.</t>
        </is>
      </c>
    </row>
    <row r="247" ht="34" customHeight="1">
      <c r="A247" s="15" t="inlineStr">
        <is>
          <t xml:space="preserve">v0.3</t>
        </is>
      </c>
      <c r="B247" s="15" t="inlineStr">
        <is>
          <t xml:space="preserve">Bible_Journey_Canon_Map_v0_3_2Chronicles_Wisdom_2Kings.xlsx</t>
        </is>
      </c>
      <c r="C247" s="15" t="inlineStr">
        <is>
          <t xml:space="preserve">CRS-2K-011</t>
        </is>
      </c>
      <c r="D247" s="15">
        <v>1520</v>
      </c>
      <c r="E247" s="15">
        <v>3</v>
      </c>
      <c r="F247" s="15" t="inlineStr">
        <is>
          <t xml:space="preserve">2 Kings</t>
        </is>
      </c>
      <c r="G247" s="15" t="inlineStr">
        <is>
          <t xml:space="preserve">Divided Kingdom</t>
        </is>
      </c>
      <c r="H247" s="15" t="inlineStr">
        <is>
          <t xml:space="preserve">Davidic line preserved</t>
        </is>
      </c>
      <c r="I247" s="15" t="inlineStr">
        <is>
          <t xml:space="preserve">Joash enthroned</t>
        </is>
      </c>
      <c r="J247" s="15" t="inlineStr">
        <is>
          <t xml:space="preserve">2 Kings 11</t>
        </is>
      </c>
      <c r="K247" s="15" t="inlineStr">
        <is>
          <t xml:space="preserve">High</t>
        </is>
      </c>
      <c r="L247" s="15" t="inlineStr">
        <is>
          <t xml:space="preserve">High</t>
        </is>
      </c>
      <c r="M247" s="15" t="inlineStr">
        <is>
          <t xml:space="preserve">New main-spine continuation</t>
        </is>
      </c>
      <c r="N247" s="15" t="inlineStr">
        <is>
          <t xml:space="preserve">Read the primary Kings block and every required linked block before Full Stream completion.</t>
        </is>
      </c>
      <c r="O247" s="15" t="inlineStr">
        <is>
          <t xml:space="preserve">Show the Kings block by default; linked accounts remain visibly pending if skipped.</t>
        </is>
      </c>
      <c r="P247" s="15" t="inlineStr">
        <is>
          <t xml:space="preserve">Yes</t>
        </is>
      </c>
      <c r="Q247" s="15" t="inlineStr">
        <is>
          <t xml:space="preserve">The Divided Kingdom; Temple</t>
        </is>
      </c>
      <c r="R247" s="15"/>
      <c r="S247" s="15" t="inlineStr">
        <is>
          <t xml:space="preserve">SRC-CANON-TEXT; SRC-KINGS-OVERVIEW; SRC-CHRONICLES-OVERVIEW</t>
        </is>
      </c>
      <c r="T247" s="15" t="inlineStr">
        <is>
          <t xml:space="preserve">Editorial</t>
        </is>
      </c>
      <c r="U247" s="11" t="inlineStr">
        <is>
          <t xml:space="preserve">Needs Review</t>
        </is>
      </c>
      <c r="V247" s="10" t="inlineStr">
        <is>
          <t xml:space="preserve">Mapped</t>
        </is>
      </c>
      <c r="W247" s="15" t="inlineStr">
        <is>
          <t xml:space="preserve">Linked to 2 Chronicles 22:10-12 and 23; preserve all accounts as distinct blocks.</t>
        </is>
      </c>
    </row>
    <row r="248" ht="34" customHeight="1">
      <c r="A248" s="15" t="inlineStr">
        <is>
          <t xml:space="preserve">v0.3</t>
        </is>
      </c>
      <c r="B248" s="15" t="inlineStr">
        <is>
          <t xml:space="preserve">Bible_Journey_Canon_Map_v0_3_2Chronicles_Wisdom_2Kings.xlsx</t>
        </is>
      </c>
      <c r="C248" s="15" t="inlineStr">
        <is>
          <t xml:space="preserve">CRS-2K-012</t>
        </is>
      </c>
      <c r="D248" s="15">
        <v>1530</v>
      </c>
      <c r="E248" s="15">
        <v>3</v>
      </c>
      <c r="F248" s="15" t="inlineStr">
        <is>
          <t xml:space="preserve">2 Kings</t>
        </is>
      </c>
      <c r="G248" s="15" t="inlineStr">
        <is>
          <t xml:space="preserve">Divided Kingdom</t>
        </is>
      </c>
      <c r="H248" s="15" t="inlineStr">
        <is>
          <t xml:space="preserve">Temple restoration and royal decline</t>
        </is>
      </c>
      <c r="I248" s="15" t="inlineStr">
        <is>
          <t xml:space="preserve">Joash's reign and temple repair</t>
        </is>
      </c>
      <c r="J248" s="15" t="inlineStr">
        <is>
          <t xml:space="preserve">2 Kings 12</t>
        </is>
      </c>
      <c r="K248" s="15" t="inlineStr">
        <is>
          <t xml:space="preserve">High</t>
        </is>
      </c>
      <c r="L248" s="15" t="inlineStr">
        <is>
          <t xml:space="preserve">High</t>
        </is>
      </c>
      <c r="M248" s="15" t="inlineStr">
        <is>
          <t xml:space="preserve">New main-spine continuation</t>
        </is>
      </c>
      <c r="N248" s="15" t="inlineStr">
        <is>
          <t xml:space="preserve">Read the primary Kings block and every required linked block before Full Stream completion.</t>
        </is>
      </c>
      <c r="O248" s="15" t="inlineStr">
        <is>
          <t xml:space="preserve">Show the Kings block by default; linked accounts remain visibly pending if skipped.</t>
        </is>
      </c>
      <c r="P248" s="15" t="inlineStr">
        <is>
          <t xml:space="preserve">Yes</t>
        </is>
      </c>
      <c r="Q248" s="15" t="inlineStr">
        <is>
          <t xml:space="preserve">The Divided Kingdom; Temple</t>
        </is>
      </c>
      <c r="R248" s="15"/>
      <c r="S248" s="15" t="inlineStr">
        <is>
          <t xml:space="preserve">SRC-CANON-TEXT; SRC-KINGS-OVERVIEW; SRC-CHRONICLES-OVERVIEW</t>
        </is>
      </c>
      <c r="T248" s="15" t="inlineStr">
        <is>
          <t xml:space="preserve">Editorial</t>
        </is>
      </c>
      <c r="U248" s="11" t="inlineStr">
        <is>
          <t xml:space="preserve">Needs Review</t>
        </is>
      </c>
      <c r="V248" s="10" t="inlineStr">
        <is>
          <t xml:space="preserve">Mapped</t>
        </is>
      </c>
      <c r="W248" s="15" t="inlineStr">
        <is>
          <t xml:space="preserve">Kings' account of Joash and temple repair, paired with Chronicles' extended narrative.</t>
        </is>
      </c>
    </row>
    <row r="249" ht="34" customHeight="1">
      <c r="A249" s="15" t="inlineStr">
        <is>
          <t xml:space="preserve">v0.3</t>
        </is>
      </c>
      <c r="B249" s="15" t="inlineStr">
        <is>
          <t xml:space="preserve">Bible_Journey_Canon_Map_v0_3_2Chronicles_Wisdom_2Kings.xlsx</t>
        </is>
      </c>
      <c r="C249" s="15" t="inlineStr">
        <is>
          <t xml:space="preserve">CRS-2K-013</t>
        </is>
      </c>
      <c r="D249" s="15">
        <v>1540</v>
      </c>
      <c r="E249" s="15">
        <v>3</v>
      </c>
      <c r="F249" s="15" t="inlineStr">
        <is>
          <t xml:space="preserve">2 Kings</t>
        </is>
      </c>
      <c r="G249" s="15" t="inlineStr">
        <is>
          <t xml:space="preserve">Divided Kingdom</t>
        </is>
      </c>
      <c r="H249" s="15" t="inlineStr">
        <is>
          <t xml:space="preserve">Northern decline</t>
        </is>
      </c>
      <c r="I249" s="15" t="inlineStr">
        <is>
          <t xml:space="preserve">Elisha's final acts</t>
        </is>
      </c>
      <c r="J249" s="15" t="inlineStr">
        <is>
          <t xml:space="preserve">2 Kings 13</t>
        </is>
      </c>
      <c r="K249" s="15" t="inlineStr">
        <is>
          <t xml:space="preserve">High</t>
        </is>
      </c>
      <c r="L249" s="15" t="inlineStr">
        <is>
          <t xml:space="preserve">High</t>
        </is>
      </c>
      <c r="M249" s="15" t="inlineStr">
        <is>
          <t xml:space="preserve">New main-spine continuation</t>
        </is>
      </c>
      <c r="N249" s="15" t="inlineStr">
        <is>
          <t xml:space="preserve">Read the primary Kings block and every required linked block before Full Stream completion.</t>
        </is>
      </c>
      <c r="O249" s="15" t="inlineStr">
        <is>
          <t xml:space="preserve">Show the Kings block by default; linked accounts remain visibly pending if skipped.</t>
        </is>
      </c>
      <c r="P249" s="15" t="inlineStr">
        <is>
          <t xml:space="preserve">No</t>
        </is>
      </c>
      <c r="Q249" s="15" t="inlineStr">
        <is>
          <t xml:space="preserve">Elijah and Elisha; The Divided Kingdom</t>
        </is>
      </c>
      <c r="R249" s="15"/>
      <c r="S249" s="15" t="inlineStr">
        <is>
          <t xml:space="preserve">SRC-CANON-TEXT; SRC-KINGS-OVERVIEW</t>
        </is>
      </c>
      <c r="T249" s="15" t="inlineStr">
        <is>
          <t xml:space="preserve">Editorial</t>
        </is>
      </c>
      <c r="U249" s="11" t="inlineStr">
        <is>
          <t xml:space="preserve">Needs Review</t>
        </is>
      </c>
      <c r="V249" s="10" t="inlineStr">
        <is>
          <t xml:space="preserve">Mapped</t>
        </is>
      </c>
      <c r="W249" s="15" t="inlineStr">
        <is>
          <t xml:space="preserve">Northern reigns with Elisha's final prophecy and death.</t>
        </is>
      </c>
    </row>
    <row r="250" ht="34" customHeight="1">
      <c r="A250" s="15" t="inlineStr">
        <is>
          <t xml:space="preserve">v0.3</t>
        </is>
      </c>
      <c r="B250" s="15" t="inlineStr">
        <is>
          <t xml:space="preserve">Bible_Journey_Canon_Map_v0_3_2Chronicles_Wisdom_2Kings.xlsx</t>
        </is>
      </c>
      <c r="C250" s="15" t="inlineStr">
        <is>
          <t xml:space="preserve">CRS-2K-014</t>
        </is>
      </c>
      <c r="D250" s="15">
        <v>1550</v>
      </c>
      <c r="E250" s="15">
        <v>3</v>
      </c>
      <c r="F250" s="15" t="inlineStr">
        <is>
          <t xml:space="preserve">2 Kings</t>
        </is>
      </c>
      <c r="G250" s="15" t="inlineStr">
        <is>
          <t xml:space="preserve">Divided Kingdom</t>
        </is>
      </c>
      <c r="H250" s="15" t="inlineStr">
        <is>
          <t xml:space="preserve">Judah and Israel in tension</t>
        </is>
      </c>
      <c r="I250" s="15" t="inlineStr">
        <is>
          <t xml:space="preserve">Amaziah and Jeroboam II</t>
        </is>
      </c>
      <c r="J250" s="15" t="inlineStr">
        <is>
          <t xml:space="preserve">2 Kings 14</t>
        </is>
      </c>
      <c r="K250" s="15" t="inlineStr">
        <is>
          <t xml:space="preserve">High</t>
        </is>
      </c>
      <c r="L250" s="15" t="inlineStr">
        <is>
          <t xml:space="preserve">High</t>
        </is>
      </c>
      <c r="M250" s="15" t="inlineStr">
        <is>
          <t xml:space="preserve">New main-spine continuation</t>
        </is>
      </c>
      <c r="N250" s="15" t="inlineStr">
        <is>
          <t xml:space="preserve">Read the primary Kings block and every required linked block before Full Stream completion.</t>
        </is>
      </c>
      <c r="O250" s="15" t="inlineStr">
        <is>
          <t xml:space="preserve">Show the Kings block by default; linked accounts remain visibly pending if skipped.</t>
        </is>
      </c>
      <c r="P250" s="15" t="inlineStr">
        <is>
          <t xml:space="preserve">Yes</t>
        </is>
      </c>
      <c r="Q250" s="15" t="inlineStr">
        <is>
          <t xml:space="preserve">The Divided Kingdom</t>
        </is>
      </c>
      <c r="R250" s="15"/>
      <c r="S250" s="15" t="inlineStr">
        <is>
          <t xml:space="preserve">SRC-CANON-TEXT; SRC-KINGS-OVERVIEW; SRC-CHRONICLES-OVERVIEW</t>
        </is>
      </c>
      <c r="T250" s="15" t="inlineStr">
        <is>
          <t xml:space="preserve">Editorial</t>
        </is>
      </c>
      <c r="U250" s="11" t="inlineStr">
        <is>
          <t xml:space="preserve">Needs Review</t>
        </is>
      </c>
      <c r="V250" s="10" t="inlineStr">
        <is>
          <t xml:space="preserve">Mapped</t>
        </is>
      </c>
      <c r="W250" s="15" t="inlineStr">
        <is>
          <t xml:space="preserve">Amaziah's reign, conflict with Israel, and Jeroboam II's restoration; paired with Chronicles for Amaziah.</t>
        </is>
      </c>
    </row>
    <row r="251" ht="34" customHeight="1">
      <c r="A251" s="15" t="inlineStr">
        <is>
          <t xml:space="preserve">v0.3</t>
        </is>
      </c>
      <c r="B251" s="15" t="inlineStr">
        <is>
          <t xml:space="preserve">Bible_Journey_Canon_Map_v0_3_2Chronicles_Wisdom_2Kings.xlsx</t>
        </is>
      </c>
      <c r="C251" s="15" t="inlineStr">
        <is>
          <t xml:space="preserve">CRS-2K-015</t>
        </is>
      </c>
      <c r="D251" s="15">
        <v>1560</v>
      </c>
      <c r="E251" s="15">
        <v>3</v>
      </c>
      <c r="F251" s="15" t="inlineStr">
        <is>
          <t xml:space="preserve">2 Kings</t>
        </is>
      </c>
      <c r="G251" s="15" t="inlineStr">
        <is>
          <t xml:space="preserve">Divided Kingdom</t>
        </is>
      </c>
      <c r="H251" s="15" t="inlineStr">
        <is>
          <t xml:space="preserve">Assyrian pressure rises</t>
        </is>
      </c>
      <c r="I251" s="15" t="inlineStr">
        <is>
          <t xml:space="preserve">Uzziah, Jotham, and northern kings</t>
        </is>
      </c>
      <c r="J251" s="15" t="inlineStr">
        <is>
          <t xml:space="preserve">2 Kings 15</t>
        </is>
      </c>
      <c r="K251" s="15" t="inlineStr">
        <is>
          <t xml:space="preserve">High</t>
        </is>
      </c>
      <c r="L251" s="15" t="inlineStr">
        <is>
          <t xml:space="preserve">High</t>
        </is>
      </c>
      <c r="M251" s="15" t="inlineStr">
        <is>
          <t xml:space="preserve">New main-spine continuation</t>
        </is>
      </c>
      <c r="N251" s="15" t="inlineStr">
        <is>
          <t xml:space="preserve">Read the primary Kings block and every required linked block before Full Stream completion.</t>
        </is>
      </c>
      <c r="O251" s="15" t="inlineStr">
        <is>
          <t xml:space="preserve">Show the Kings block by default; linked accounts remain visibly pending if skipped.</t>
        </is>
      </c>
      <c r="P251" s="15" t="inlineStr">
        <is>
          <t xml:space="preserve">Yes</t>
        </is>
      </c>
      <c r="Q251" s="15" t="inlineStr">
        <is>
          <t xml:space="preserve">The Divided Kingdom; Prophets and Kings</t>
        </is>
      </c>
      <c r="R251" s="15"/>
      <c r="S251" s="15" t="inlineStr">
        <is>
          <t xml:space="preserve">SRC-CANON-TEXT; SRC-KINGS-OVERVIEW; SRC-CHRONICLES-OVERVIEW</t>
        </is>
      </c>
      <c r="T251" s="15" t="inlineStr">
        <is>
          <t xml:space="preserve">Editorial</t>
        </is>
      </c>
      <c r="U251" s="11" t="inlineStr">
        <is>
          <t xml:space="preserve">Needs Review</t>
        </is>
      </c>
      <c r="V251" s="10" t="inlineStr">
        <is>
          <t xml:space="preserve">Mapped</t>
        </is>
      </c>
      <c r="W251" s="15" t="inlineStr">
        <is>
          <t xml:space="preserve">Kings' succession account with separate Chronicles accounts of Uzziah and Jotham.</t>
        </is>
      </c>
    </row>
    <row r="252" ht="34" customHeight="1">
      <c r="A252" s="15" t="inlineStr">
        <is>
          <t xml:space="preserve">v0.3</t>
        </is>
      </c>
      <c r="B252" s="15" t="inlineStr">
        <is>
          <t xml:space="preserve">Bible_Journey_Canon_Map_v0_3_2Chronicles_Wisdom_2Kings.xlsx</t>
        </is>
      </c>
      <c r="C252" s="15" t="inlineStr">
        <is>
          <t xml:space="preserve">CRS-2K-016</t>
        </is>
      </c>
      <c r="D252" s="15">
        <v>1570</v>
      </c>
      <c r="E252" s="15">
        <v>3</v>
      </c>
      <c r="F252" s="15" t="inlineStr">
        <is>
          <t xml:space="preserve">2 Kings</t>
        </is>
      </c>
      <c r="G252" s="15" t="inlineStr">
        <is>
          <t xml:space="preserve">Divided Kingdom</t>
        </is>
      </c>
      <c r="H252" s="15" t="inlineStr">
        <is>
          <t xml:space="preserve">Assyrian pressure rises</t>
        </is>
      </c>
      <c r="I252" s="15" t="inlineStr">
        <is>
          <t xml:space="preserve">Ahaz's reign</t>
        </is>
      </c>
      <c r="J252" s="15" t="inlineStr">
        <is>
          <t xml:space="preserve">2 Kings 16</t>
        </is>
      </c>
      <c r="K252" s="15" t="inlineStr">
        <is>
          <t xml:space="preserve">High</t>
        </is>
      </c>
      <c r="L252" s="15" t="inlineStr">
        <is>
          <t xml:space="preserve">High</t>
        </is>
      </c>
      <c r="M252" s="15" t="inlineStr">
        <is>
          <t xml:space="preserve">New main-spine continuation</t>
        </is>
      </c>
      <c r="N252" s="15" t="inlineStr">
        <is>
          <t xml:space="preserve">Read the primary Kings block and every required linked block before Full Stream completion.</t>
        </is>
      </c>
      <c r="O252" s="15" t="inlineStr">
        <is>
          <t xml:space="preserve">Show the Kings block by default; linked accounts remain visibly pending if skipped.</t>
        </is>
      </c>
      <c r="P252" s="15" t="inlineStr">
        <is>
          <t xml:space="preserve">Yes</t>
        </is>
      </c>
      <c r="Q252" s="15" t="inlineStr">
        <is>
          <t xml:space="preserve">The Divided Kingdom; Prophets and Kings</t>
        </is>
      </c>
      <c r="R252" s="15"/>
      <c r="S252" s="15" t="inlineStr">
        <is>
          <t xml:space="preserve">SRC-CANON-TEXT; SRC-KINGS-OVERVIEW; SRC-CHRONICLES-OVERVIEW; SRC-AHAZ</t>
        </is>
      </c>
      <c r="T252" s="15" t="inlineStr">
        <is>
          <t xml:space="preserve">Editorial</t>
        </is>
      </c>
      <c r="U252" s="11" t="inlineStr">
        <is>
          <t xml:space="preserve">Needs Review</t>
        </is>
      </c>
      <c r="V252" s="10" t="inlineStr">
        <is>
          <t xml:space="preserve">Mapped</t>
        </is>
      </c>
      <c r="W252" s="15" t="inlineStr">
        <is>
          <t xml:space="preserve">Ahaz's reign and cultic alignment, paired with 2 Chronicles 28.</t>
        </is>
      </c>
    </row>
    <row r="253" ht="34" customHeight="1">
      <c r="A253" s="15" t="inlineStr">
        <is>
          <t xml:space="preserve">v0.3</t>
        </is>
      </c>
      <c r="B253" s="15" t="inlineStr">
        <is>
          <t xml:space="preserve">Bible_Journey_Canon_Map_v0_3_2Chronicles_Wisdom_2Kings.xlsx</t>
        </is>
      </c>
      <c r="C253" s="15" t="inlineStr">
        <is>
          <t xml:space="preserve">CRS-2K-017</t>
        </is>
      </c>
      <c r="D253" s="15">
        <v>1580</v>
      </c>
      <c r="E253" s="15">
        <v>3</v>
      </c>
      <c r="F253" s="15" t="inlineStr">
        <is>
          <t xml:space="preserve">2 Kings</t>
        </is>
      </c>
      <c r="G253" s="15" t="inlineStr">
        <is>
          <t xml:space="preserve">Divided Kingdom</t>
        </is>
      </c>
      <c r="H253" s="15" t="inlineStr">
        <is>
          <t xml:space="preserve">Fall of the northern kingdom</t>
        </is>
      </c>
      <c r="I253" s="15" t="inlineStr">
        <is>
          <t xml:space="preserve">Israel falls to Assyria</t>
        </is>
      </c>
      <c r="J253" s="15" t="inlineStr">
        <is>
          <t xml:space="preserve">2 Kings 17</t>
        </is>
      </c>
      <c r="K253" s="15" t="inlineStr">
        <is>
          <t xml:space="preserve">High</t>
        </is>
      </c>
      <c r="L253" s="15" t="inlineStr">
        <is>
          <t xml:space="preserve">High</t>
        </is>
      </c>
      <c r="M253" s="15" t="inlineStr">
        <is>
          <t xml:space="preserve">New main-spine continuation</t>
        </is>
      </c>
      <c r="N253" s="15" t="inlineStr">
        <is>
          <t xml:space="preserve">Read the primary Kings block and every required linked block before Full Stream completion.</t>
        </is>
      </c>
      <c r="O253" s="15" t="inlineStr">
        <is>
          <t xml:space="preserve">Show the Kings block by default; linked accounts remain visibly pending if skipped.</t>
        </is>
      </c>
      <c r="P253" s="15" t="inlineStr">
        <is>
          <t xml:space="preserve">No</t>
        </is>
      </c>
      <c r="Q253" s="15" t="inlineStr">
        <is>
          <t xml:space="preserve">The Divided Kingdom; Exile and Return</t>
        </is>
      </c>
      <c r="R253" s="15"/>
      <c r="S253" s="15" t="inlineStr">
        <is>
          <t xml:space="preserve">SRC-CANON-TEXT; SRC-KINGS-OVERVIEW; SRC-JUDAH</t>
        </is>
      </c>
      <c r="T253" s="15" t="inlineStr">
        <is>
          <t xml:space="preserve">Editorial</t>
        </is>
      </c>
      <c r="U253" s="11" t="inlineStr">
        <is>
          <t xml:space="preserve">Needs Review</t>
        </is>
      </c>
      <c r="V253" s="10" t="inlineStr">
        <is>
          <t xml:space="preserve">Mapped</t>
        </is>
      </c>
      <c r="W253" s="15" t="inlineStr">
        <is>
          <t xml:space="preserve">Narrative of Samaria's fall plus theological retrospective; do not treat the retrospective as a single dated scene.</t>
        </is>
      </c>
    </row>
    <row r="254" ht="34" customHeight="1">
      <c r="A254" s="15" t="inlineStr">
        <is>
          <t xml:space="preserve">v0.3</t>
        </is>
      </c>
      <c r="B254" s="15" t="inlineStr">
        <is>
          <t xml:space="preserve">Bible_Journey_Canon_Map_v0_3_2Chronicles_Wisdom_2Kings.xlsx</t>
        </is>
      </c>
      <c r="C254" s="15" t="inlineStr">
        <is>
          <t xml:space="preserve">CRS-2K-018</t>
        </is>
      </c>
      <c r="D254" s="15">
        <v>1590</v>
      </c>
      <c r="E254" s="15">
        <v>3</v>
      </c>
      <c r="F254" s="15" t="inlineStr">
        <is>
          <t xml:space="preserve">2 Kings</t>
        </is>
      </c>
      <c r="G254" s="15" t="inlineStr">
        <is>
          <t xml:space="preserve">Judah under Assyria</t>
        </is>
      </c>
      <c r="H254" s="15" t="inlineStr">
        <is>
          <t xml:space="preserve">Hezekiah's reforms</t>
        </is>
      </c>
      <c r="I254" s="15" t="inlineStr">
        <is>
          <t xml:space="preserve">Hezekiah reforms Judah</t>
        </is>
      </c>
      <c r="J254" s="15" t="inlineStr">
        <is>
          <t xml:space="preserve">2 Kings 18:1-12</t>
        </is>
      </c>
      <c r="K254" s="15" t="inlineStr">
        <is>
          <t xml:space="preserve">High</t>
        </is>
      </c>
      <c r="L254" s="15" t="inlineStr">
        <is>
          <t xml:space="preserve">High</t>
        </is>
      </c>
      <c r="M254" s="15" t="inlineStr">
        <is>
          <t xml:space="preserve">New main-spine continuation</t>
        </is>
      </c>
      <c r="N254" s="15" t="inlineStr">
        <is>
          <t xml:space="preserve">Read the primary Kings block and every required linked block before Full Stream completion.</t>
        </is>
      </c>
      <c r="O254" s="15" t="inlineStr">
        <is>
          <t xml:space="preserve">Show the Kings block by default; linked accounts remain visibly pending if skipped.</t>
        </is>
      </c>
      <c r="P254" s="15" t="inlineStr">
        <is>
          <t xml:space="preserve">Yes</t>
        </is>
      </c>
      <c r="Q254" s="15" t="inlineStr">
        <is>
          <t xml:space="preserve">Hezekiah; The Divided Kingdom; Temple</t>
        </is>
      </c>
      <c r="R254" s="15"/>
      <c r="S254" s="15" t="inlineStr">
        <is>
          <t xml:space="preserve">SRC-CANON-TEXT; SRC-KINGS-OVERVIEW; SRC-CHRONICLES-OVERVIEW; SRC-HEZEKIAH; SRC-WISDOM-CANON</t>
        </is>
      </c>
      <c r="T254" s="15" t="inlineStr">
        <is>
          <t xml:space="preserve">Editorial</t>
        </is>
      </c>
      <c r="U254" s="11" t="inlineStr">
        <is>
          <t xml:space="preserve">Needs Review</t>
        </is>
      </c>
      <c r="V254" s="10" t="inlineStr">
        <is>
          <t xml:space="preserve">Mapped</t>
        </is>
      </c>
      <c r="W254" s="15" t="inlineStr">
        <is>
          <t xml:space="preserve">Use 2 Kings 18:1-12 as primary and 2 Chronicles 29-31 as complementary reform/liturgy material. Proverbs 25-29 is a collection note, not a dated biographical scene.</t>
        </is>
      </c>
    </row>
    <row r="255" ht="34" customHeight="1">
      <c r="A255" s="15" t="inlineStr">
        <is>
          <t xml:space="preserve">v0.3</t>
        </is>
      </c>
      <c r="B255" s="15" t="inlineStr">
        <is>
          <t xml:space="preserve">Bible_Journey_Canon_Map_v0_3_2Chronicles_Wisdom_2Kings.xlsx</t>
        </is>
      </c>
      <c r="C255" s="15" t="inlineStr">
        <is>
          <t xml:space="preserve">CRS-2K-019</t>
        </is>
      </c>
      <c r="D255" s="15">
        <v>1600</v>
      </c>
      <c r="E255" s="15">
        <v>3</v>
      </c>
      <c r="F255" s="15" t="inlineStr">
        <is>
          <t xml:space="preserve">2 Kings</t>
        </is>
      </c>
      <c r="G255" s="15" t="inlineStr">
        <is>
          <t xml:space="preserve">Judah under Assyria</t>
        </is>
      </c>
      <c r="H255" s="15" t="inlineStr">
        <is>
          <t xml:space="preserve">Hezekiah and Assyria</t>
        </is>
      </c>
      <c r="I255" s="15" t="inlineStr">
        <is>
          <t xml:space="preserve">The Assyrian crisis</t>
        </is>
      </c>
      <c r="J255" s="15" t="inlineStr">
        <is>
          <t xml:space="preserve">2 Kings 18:13-19:37</t>
        </is>
      </c>
      <c r="K255" s="15" t="inlineStr">
        <is>
          <t xml:space="preserve">High</t>
        </is>
      </c>
      <c r="L255" s="15" t="inlineStr">
        <is>
          <t xml:space="preserve">High</t>
        </is>
      </c>
      <c r="M255" s="15" t="inlineStr">
        <is>
          <t xml:space="preserve">New main-spine continuation</t>
        </is>
      </c>
      <c r="N255" s="15" t="inlineStr">
        <is>
          <t xml:space="preserve">Read the primary Kings block and every required linked block before Full Stream completion.</t>
        </is>
      </c>
      <c r="O255" s="15" t="inlineStr">
        <is>
          <t xml:space="preserve">Show the Kings block by default; linked accounts remain visibly pending if skipped.</t>
        </is>
      </c>
      <c r="P255" s="15" t="inlineStr">
        <is>
          <t xml:space="preserve">Yes</t>
        </is>
      </c>
      <c r="Q255" s="15" t="inlineStr">
        <is>
          <t xml:space="preserve">Hezekiah; The Divided Kingdom; Prophets and Kings</t>
        </is>
      </c>
      <c r="R255" s="15"/>
      <c r="S255" s="15" t="inlineStr">
        <is>
          <t xml:space="preserve">SRC-CANON-TEXT; SRC-KINGS-OVERVIEW; SRC-CHRONICLES-OVERVIEW; SRC-HEZEKIAH; SRC-JUDAH; SRC-ARCHAEOLOGY-JUDAH</t>
        </is>
      </c>
      <c r="T255" s="15" t="inlineStr">
        <is>
          <t xml:space="preserve">Editorial</t>
        </is>
      </c>
      <c r="U255" s="11" t="inlineStr">
        <is>
          <t xml:space="preserve">Needs Review</t>
        </is>
      </c>
      <c r="V255" s="10" t="inlineStr">
        <is>
          <t xml:space="preserve">Mapped</t>
        </is>
      </c>
      <c r="W255" s="15" t="inlineStr">
        <is>
          <t xml:space="preserve">Primary Kings account of the Assyrian crisis; Chronicles and later Isaiah map are linked intact accounts.</t>
        </is>
      </c>
    </row>
    <row r="256" ht="34" customHeight="1">
      <c r="A256" s="15" t="inlineStr">
        <is>
          <t xml:space="preserve">v0.3</t>
        </is>
      </c>
      <c r="B256" s="15" t="inlineStr">
        <is>
          <t xml:space="preserve">Bible_Journey_Canon_Map_v0_3_2Chronicles_Wisdom_2Kings.xlsx</t>
        </is>
      </c>
      <c r="C256" s="15" t="inlineStr">
        <is>
          <t xml:space="preserve">CRS-2K-020</t>
        </is>
      </c>
      <c r="D256" s="15">
        <v>1610</v>
      </c>
      <c r="E256" s="15">
        <v>3</v>
      </c>
      <c r="F256" s="15" t="inlineStr">
        <is>
          <t xml:space="preserve">2 Kings</t>
        </is>
      </c>
      <c r="G256" s="15" t="inlineStr">
        <is>
          <t xml:space="preserve">Judah under Assyria</t>
        </is>
      </c>
      <c r="H256" s="15" t="inlineStr">
        <is>
          <t xml:space="preserve">Hezekiah and Assyria</t>
        </is>
      </c>
      <c r="I256" s="15" t="inlineStr">
        <is>
          <t xml:space="preserve">Illness, recovery, and envoys</t>
        </is>
      </c>
      <c r="J256" s="15" t="inlineStr">
        <is>
          <t xml:space="preserve">2 Kings 20</t>
        </is>
      </c>
      <c r="K256" s="15" t="inlineStr">
        <is>
          <t xml:space="preserve">High</t>
        </is>
      </c>
      <c r="L256" s="15" t="inlineStr">
        <is>
          <t xml:space="preserve">Debated</t>
        </is>
      </c>
      <c r="M256" s="15" t="inlineStr">
        <is>
          <t xml:space="preserve">New main-spine continuation</t>
        </is>
      </c>
      <c r="N256" s="15" t="inlineStr">
        <is>
          <t xml:space="preserve">Read the primary Kings block and every required linked block before Full Stream completion.</t>
        </is>
      </c>
      <c r="O256" s="15" t="inlineStr">
        <is>
          <t xml:space="preserve">Show the Kings block by default; linked accounts remain visibly pending if skipped.</t>
        </is>
      </c>
      <c r="P256" s="15" t="inlineStr">
        <is>
          <t xml:space="preserve">Yes</t>
        </is>
      </c>
      <c r="Q256" s="15" t="inlineStr">
        <is>
          <t xml:space="preserve">Hezekiah; The Divided Kingdom; Prophets and Kings</t>
        </is>
      </c>
      <c r="R256" s="15"/>
      <c r="S256" s="15" t="inlineStr">
        <is>
          <t xml:space="preserve">SRC-CANON-TEXT; SRC-KINGS-OVERVIEW; SRC-CHRONICLES-OVERVIEW; SRC-HEZEKIAH; SRC-ISAIAH</t>
        </is>
      </c>
      <c r="T256" s="15" t="inlineStr">
        <is>
          <t xml:space="preserve">Editorial</t>
        </is>
      </c>
      <c r="U256" s="11" t="inlineStr">
        <is>
          <t xml:space="preserve">Needs Review</t>
        </is>
      </c>
      <c r="V256" s="10" t="inlineStr">
        <is>
          <t xml:space="preserve">Mapped</t>
        </is>
      </c>
      <c r="W256" s="15" t="inlineStr">
        <is>
          <t xml:space="preserve">2 Chronicles 32:24-31 is related material. Position relative to the Assyrian crisis and Isaiah 38-39 must remain transparent.</t>
        </is>
      </c>
    </row>
    <row r="257" ht="34" customHeight="1">
      <c r="A257" s="15" t="inlineStr">
        <is>
          <t xml:space="preserve">v0.3</t>
        </is>
      </c>
      <c r="B257" s="15" t="inlineStr">
        <is>
          <t xml:space="preserve">Bible_Journey_Canon_Map_v0_3_2Chronicles_Wisdom_2Kings.xlsx</t>
        </is>
      </c>
      <c r="C257" s="15" t="inlineStr">
        <is>
          <t xml:space="preserve">CRS-2K-021</t>
        </is>
      </c>
      <c r="D257" s="15">
        <v>1620</v>
      </c>
      <c r="E257" s="15">
        <v>3</v>
      </c>
      <c r="F257" s="15" t="inlineStr">
        <is>
          <t xml:space="preserve">2 Kings</t>
        </is>
      </c>
      <c r="G257" s="15" t="inlineStr">
        <is>
          <t xml:space="preserve">Judah under Assyria</t>
        </is>
      </c>
      <c r="H257" s="15" t="inlineStr">
        <is>
          <t xml:space="preserve">After Hezekiah</t>
        </is>
      </c>
      <c r="I257" s="15" t="inlineStr">
        <is>
          <t xml:space="preserve">Manasseh and Amon</t>
        </is>
      </c>
      <c r="J257" s="15" t="inlineStr">
        <is>
          <t xml:space="preserve">2 Kings 21</t>
        </is>
      </c>
      <c r="K257" s="15" t="inlineStr">
        <is>
          <t xml:space="preserve">High</t>
        </is>
      </c>
      <c r="L257" s="15" t="inlineStr">
        <is>
          <t xml:space="preserve">High</t>
        </is>
      </c>
      <c r="M257" s="15" t="inlineStr">
        <is>
          <t xml:space="preserve">New main-spine continuation</t>
        </is>
      </c>
      <c r="N257" s="15" t="inlineStr">
        <is>
          <t xml:space="preserve">Read the primary Kings block and every required linked block before Full Stream completion.</t>
        </is>
      </c>
      <c r="O257" s="15" t="inlineStr">
        <is>
          <t xml:space="preserve">Show the Kings block by default; linked accounts remain visibly pending if skipped.</t>
        </is>
      </c>
      <c r="P257" s="15" t="inlineStr">
        <is>
          <t xml:space="preserve">Yes</t>
        </is>
      </c>
      <c r="Q257" s="15" t="inlineStr">
        <is>
          <t xml:space="preserve">The Divided Kingdom; Exile and Return</t>
        </is>
      </c>
      <c r="R257" s="15"/>
      <c r="S257" s="15" t="inlineStr">
        <is>
          <t xml:space="preserve">SRC-CANON-TEXT; SRC-KINGS-OVERVIEW; SRC-CHRONICLES-OVERVIEW; SRC-MANASSEH</t>
        </is>
      </c>
      <c r="T257" s="15" t="inlineStr">
        <is>
          <t xml:space="preserve">Editorial</t>
        </is>
      </c>
      <c r="U257" s="11" t="inlineStr">
        <is>
          <t xml:space="preserve">Needs Review</t>
        </is>
      </c>
      <c r="V257" s="10" t="inlineStr">
        <is>
          <t xml:space="preserve">Mapped</t>
        </is>
      </c>
      <c r="W257" s="15" t="inlineStr">
        <is>
          <t xml:space="preserve">Kings' account paired with Chronicles' separate Manasseh narrative; preserve the distinct portrayal.</t>
        </is>
      </c>
    </row>
    <row r="258" ht="34" customHeight="1">
      <c r="A258" s="15" t="inlineStr">
        <is>
          <t xml:space="preserve">v0.3</t>
        </is>
      </c>
      <c r="B258" s="15" t="inlineStr">
        <is>
          <t xml:space="preserve">Bible_Journey_Canon_Map_v0_3_2Chronicles_Wisdom_2Kings.xlsx</t>
        </is>
      </c>
      <c r="C258" s="15" t="inlineStr">
        <is>
          <t xml:space="preserve">CRS-2K-022</t>
        </is>
      </c>
      <c r="D258" s="15">
        <v>1630</v>
      </c>
      <c r="E258" s="15">
        <v>3</v>
      </c>
      <c r="F258" s="15" t="inlineStr">
        <is>
          <t xml:space="preserve">2 Kings</t>
        </is>
      </c>
      <c r="G258" s="15" t="inlineStr">
        <is>
          <t xml:space="preserve">Judah's final reforms</t>
        </is>
      </c>
      <c r="H258" s="15" t="inlineStr">
        <is>
          <t xml:space="preserve">Josiah</t>
        </is>
      </c>
      <c r="I258" s="15" t="inlineStr">
        <is>
          <t xml:space="preserve">Josiah begins reform</t>
        </is>
      </c>
      <c r="J258" s="15" t="inlineStr">
        <is>
          <t xml:space="preserve">2 Kings 22</t>
        </is>
      </c>
      <c r="K258" s="15" t="inlineStr">
        <is>
          <t xml:space="preserve">High</t>
        </is>
      </c>
      <c r="L258" s="15" t="inlineStr">
        <is>
          <t xml:space="preserve">High</t>
        </is>
      </c>
      <c r="M258" s="15" t="inlineStr">
        <is>
          <t xml:space="preserve">New main-spine continuation</t>
        </is>
      </c>
      <c r="N258" s="15" t="inlineStr">
        <is>
          <t xml:space="preserve">Read the primary Kings block and every required linked block before Full Stream completion.</t>
        </is>
      </c>
      <c r="O258" s="15" t="inlineStr">
        <is>
          <t xml:space="preserve">Show the Kings block by default; linked accounts remain visibly pending if skipped.</t>
        </is>
      </c>
      <c r="P258" s="15" t="inlineStr">
        <is>
          <t xml:space="preserve">Yes</t>
        </is>
      </c>
      <c r="Q258" s="15" t="inlineStr">
        <is>
          <t xml:space="preserve">Josiah; Temple; Exile and Return</t>
        </is>
      </c>
      <c r="R258" s="15"/>
      <c r="S258" s="15" t="inlineStr">
        <is>
          <t xml:space="preserve">SRC-CANON-TEXT; SRC-KINGS-OVERVIEW; SRC-CHRONICLES-OVERVIEW; SRC-JUDAH</t>
        </is>
      </c>
      <c r="T258" s="15" t="inlineStr">
        <is>
          <t xml:space="preserve">Editorial</t>
        </is>
      </c>
      <c r="U258" s="11" t="inlineStr">
        <is>
          <t xml:space="preserve">Needs Review</t>
        </is>
      </c>
      <c r="V258" s="10" t="inlineStr">
        <is>
          <t xml:space="preserve">Mapped</t>
        </is>
      </c>
      <c r="W258" s="15" t="inlineStr">
        <is>
          <t xml:space="preserve">Pair with 2 Chronicles 34; retain account-level distinctions.</t>
        </is>
      </c>
    </row>
    <row r="259" ht="34" customHeight="1">
      <c r="A259" s="15" t="inlineStr">
        <is>
          <t xml:space="preserve">v0.3</t>
        </is>
      </c>
      <c r="B259" s="15" t="inlineStr">
        <is>
          <t xml:space="preserve">Bible_Journey_Canon_Map_v0_3_2Chronicles_Wisdom_2Kings.xlsx</t>
        </is>
      </c>
      <c r="C259" s="15" t="inlineStr">
        <is>
          <t xml:space="preserve">CRS-2K-023</t>
        </is>
      </c>
      <c r="D259" s="15">
        <v>1640</v>
      </c>
      <c r="E259" s="15">
        <v>3</v>
      </c>
      <c r="F259" s="15" t="inlineStr">
        <is>
          <t xml:space="preserve">2 Kings</t>
        </is>
      </c>
      <c r="G259" s="15" t="inlineStr">
        <is>
          <t xml:space="preserve">Judah's final reforms</t>
        </is>
      </c>
      <c r="H259" s="15" t="inlineStr">
        <is>
          <t xml:space="preserve">Josiah</t>
        </is>
      </c>
      <c r="I259" s="15" t="inlineStr">
        <is>
          <t xml:space="preserve">Josiah's covenant and Passover</t>
        </is>
      </c>
      <c r="J259" s="15" t="inlineStr">
        <is>
          <t xml:space="preserve">2 Kings 23:1-30</t>
        </is>
      </c>
      <c r="K259" s="15" t="inlineStr">
        <is>
          <t xml:space="preserve">High</t>
        </is>
      </c>
      <c r="L259" s="15" t="inlineStr">
        <is>
          <t xml:space="preserve">High</t>
        </is>
      </c>
      <c r="M259" s="15" t="inlineStr">
        <is>
          <t xml:space="preserve">New main-spine continuation</t>
        </is>
      </c>
      <c r="N259" s="15" t="inlineStr">
        <is>
          <t xml:space="preserve">Read the primary Kings block and every required linked block before Full Stream completion.</t>
        </is>
      </c>
      <c r="O259" s="15" t="inlineStr">
        <is>
          <t xml:space="preserve">Show the Kings block by default; linked accounts remain visibly pending if skipped.</t>
        </is>
      </c>
      <c r="P259" s="15" t="inlineStr">
        <is>
          <t xml:space="preserve">Yes</t>
        </is>
      </c>
      <c r="Q259" s="15" t="inlineStr">
        <is>
          <t xml:space="preserve">Josiah; Temple; Exile and Return</t>
        </is>
      </c>
      <c r="R259" s="15"/>
      <c r="S259" s="15" t="inlineStr">
        <is>
          <t xml:space="preserve">SRC-CANON-TEXT; SRC-KINGS-OVERVIEW; SRC-CHRONICLES-OVERVIEW; SRC-JUDAH</t>
        </is>
      </c>
      <c r="T259" s="15" t="inlineStr">
        <is>
          <t xml:space="preserve">Editorial</t>
        </is>
      </c>
      <c r="U259" s="11" t="inlineStr">
        <is>
          <t xml:space="preserve">Needs Review</t>
        </is>
      </c>
      <c r="V259" s="10" t="inlineStr">
        <is>
          <t xml:space="preserve">Mapped</t>
        </is>
      </c>
      <c r="W259" s="15" t="inlineStr">
        <is>
          <t xml:space="preserve">Pair with 2 Chronicles 35, including its distinctive Passover details and Josiah's death.</t>
        </is>
      </c>
    </row>
    <row r="260" ht="34" customHeight="1">
      <c r="A260" s="15" t="inlineStr">
        <is>
          <t xml:space="preserve">v0.3</t>
        </is>
      </c>
      <c r="B260" s="15" t="inlineStr">
        <is>
          <t xml:space="preserve">Bible_Journey_Canon_Map_v0_3_2Chronicles_Wisdom_2Kings.xlsx</t>
        </is>
      </c>
      <c r="C260" s="15" t="inlineStr">
        <is>
          <t xml:space="preserve">CRS-2K-024</t>
        </is>
      </c>
      <c r="D260" s="15">
        <v>1650</v>
      </c>
      <c r="E260" s="15">
        <v>3</v>
      </c>
      <c r="F260" s="15" t="inlineStr">
        <is>
          <t xml:space="preserve">2 Kings</t>
        </is>
      </c>
      <c r="G260" s="15" t="inlineStr">
        <is>
          <t xml:space="preserve">Babylonian ascent</t>
        </is>
      </c>
      <c r="H260" s="15" t="inlineStr">
        <is>
          <t xml:space="preserve">The road to exile</t>
        </is>
      </c>
      <c r="I260" s="15" t="inlineStr">
        <is>
          <t xml:space="preserve">Jehoahaz, Jehoiakim, and Jehoiachin</t>
        </is>
      </c>
      <c r="J260" s="15" t="inlineStr">
        <is>
          <t xml:space="preserve">2 Kings 23:31-24:20</t>
        </is>
      </c>
      <c r="K260" s="15" t="inlineStr">
        <is>
          <t xml:space="preserve">High</t>
        </is>
      </c>
      <c r="L260" s="15" t="inlineStr">
        <is>
          <t xml:space="preserve">High</t>
        </is>
      </c>
      <c r="M260" s="15" t="inlineStr">
        <is>
          <t xml:space="preserve">New main-spine continuation</t>
        </is>
      </c>
      <c r="N260" s="15" t="inlineStr">
        <is>
          <t xml:space="preserve">Read the primary Kings block and every required linked block before Full Stream completion.</t>
        </is>
      </c>
      <c r="O260" s="15" t="inlineStr">
        <is>
          <t xml:space="preserve">Show the Kings block by default; linked accounts remain visibly pending if skipped.</t>
        </is>
      </c>
      <c r="P260" s="15" t="inlineStr">
        <is>
          <t xml:space="preserve">Yes</t>
        </is>
      </c>
      <c r="Q260" s="15" t="inlineStr">
        <is>
          <t xml:space="preserve">Exile and Return; The Divided Kingdom</t>
        </is>
      </c>
      <c r="R260" s="15"/>
      <c r="S260" s="15" t="inlineStr">
        <is>
          <t xml:space="preserve">SRC-CANON-TEXT; SRC-KINGS-OVERVIEW; SRC-CHRONICLES-OVERVIEW; SRC-JUDAH; SRC-KINGS-TIMELINE</t>
        </is>
      </c>
      <c r="T260" s="15" t="inlineStr">
        <is>
          <t xml:space="preserve">Editorial</t>
        </is>
      </c>
      <c r="U260" s="11" t="inlineStr">
        <is>
          <t xml:space="preserve">Needs Review</t>
        </is>
      </c>
      <c r="V260" s="10" t="inlineStr">
        <is>
          <t xml:space="preserve">Mapped</t>
        </is>
      </c>
      <c r="W260" s="15" t="inlineStr">
        <is>
          <t xml:space="preserve">Pair with 2 Chronicles 36:1-21. Keep Cyrus material in a separate bridge set.</t>
        </is>
      </c>
    </row>
    <row r="261" ht="34" customHeight="1">
      <c r="A261" s="15" t="inlineStr">
        <is>
          <t xml:space="preserve">v0.3</t>
        </is>
      </c>
      <c r="B261" s="15" t="inlineStr">
        <is>
          <t xml:space="preserve">Bible_Journey_Canon_Map_v0_3_2Chronicles_Wisdom_2Kings.xlsx</t>
        </is>
      </c>
      <c r="C261" s="15" t="inlineStr">
        <is>
          <t xml:space="preserve">CRS-2K-025</t>
        </is>
      </c>
      <c r="D261" s="15">
        <v>1660</v>
      </c>
      <c r="E261" s="15">
        <v>3</v>
      </c>
      <c r="F261" s="15" t="inlineStr">
        <is>
          <t xml:space="preserve">2 Kings</t>
        </is>
      </c>
      <c r="G261" s="15" t="inlineStr">
        <is>
          <t xml:space="preserve">Babylonian exile</t>
        </is>
      </c>
      <c r="H261" s="15" t="inlineStr">
        <is>
          <t xml:space="preserve">Jerusalem falls</t>
        </is>
      </c>
      <c r="I261" s="15" t="inlineStr">
        <is>
          <t xml:space="preserve">Destruction, exile, and Jehoiachin's release</t>
        </is>
      </c>
      <c r="J261" s="15" t="inlineStr">
        <is>
          <t xml:space="preserve">2 Kings 25</t>
        </is>
      </c>
      <c r="K261" s="15" t="inlineStr">
        <is>
          <t xml:space="preserve">High</t>
        </is>
      </c>
      <c r="L261" s="15" t="inlineStr">
        <is>
          <t xml:space="preserve">High</t>
        </is>
      </c>
      <c r="M261" s="15" t="inlineStr">
        <is>
          <t xml:space="preserve">New main-spine continuation</t>
        </is>
      </c>
      <c r="N261" s="15" t="inlineStr">
        <is>
          <t xml:space="preserve">Read the primary Kings block and every required linked block before Full Stream completion.</t>
        </is>
      </c>
      <c r="O261" s="15" t="inlineStr">
        <is>
          <t xml:space="preserve">Show the Kings block by default; linked accounts remain visibly pending if skipped.</t>
        </is>
      </c>
      <c r="P261" s="15" t="inlineStr">
        <is>
          <t xml:space="preserve">Yes</t>
        </is>
      </c>
      <c r="Q261" s="15" t="inlineStr">
        <is>
          <t xml:space="preserve">Exile and Return</t>
        </is>
      </c>
      <c r="R261" s="15"/>
      <c r="S261" s="15" t="inlineStr">
        <is>
          <t xml:space="preserve">SRC-CANON-TEXT; SRC-KINGS-OVERVIEW; SRC-CHRONICLES-OVERVIEW; SRC-JUDAH; SRC-KINGS-TIMELINE</t>
        </is>
      </c>
      <c r="T261" s="15" t="inlineStr">
        <is>
          <t xml:space="preserve">Editorial</t>
        </is>
      </c>
      <c r="U261" s="11" t="inlineStr">
        <is>
          <t xml:space="preserve">Needs Review</t>
        </is>
      </c>
      <c r="V261" s="10" t="inlineStr">
        <is>
          <t xml:space="preserve">Mapped</t>
        </is>
      </c>
      <c r="W261" s="15" t="inlineStr">
        <is>
          <t xml:space="preserve">Final 2 Kings account; 2 Chronicles 36:22-23 creates a canonical bridge to Cyrus / Ezra.</t>
        </is>
      </c>
    </row>
    <row r="262" ht="34" customHeight="1">
      <c r="A262" s="15" t="inlineStr">
        <is>
          <t xml:space="preserve">v0.4</t>
        </is>
      </c>
      <c r="B262" s="15" t="inlineStr">
        <is>
          <t xml:space="preserve">Bible_Journey_Canon_Map_v0_4_Prophets_Exile.xlsx</t>
        </is>
      </c>
      <c r="C262" s="15" t="inlineStr">
        <is>
          <t xml:space="preserve">CRS-04-001</t>
        </is>
      </c>
      <c r="D262" s="15">
        <v>1</v>
      </c>
      <c r="E262" s="15">
        <v>4</v>
      </c>
      <c r="F262" s="15"/>
      <c r="G262" s="15" t="inlineStr">
        <is>
          <t xml:space="preserve">Northern prosperity and early Assyrian horizon</t>
        </is>
      </c>
      <c r="H262" s="15" t="inlineStr">
        <is>
          <t xml:space="preserve">Jeroboam II / 2 Kings 14:23-29</t>
        </is>
      </c>
      <c r="I262" s="15" t="inlineStr">
        <is>
          <t xml:space="preserve">Jonah and the expansion of Israel</t>
        </is>
      </c>
      <c r="J262" s="15" t="inlineStr">
        <is>
          <t xml:space="preserve">Jonah 1-4</t>
        </is>
      </c>
      <c r="K262" s="15" t="inlineStr">
        <is>
          <t xml:space="preserve">High</t>
        </is>
      </c>
      <c r="L262" s="15" t="inlineStr">
        <is>
          <t xml:space="preserve">Probable</t>
        </is>
      </c>
      <c r="M262" s="15" t="inlineStr">
        <is>
          <t xml:space="preserve">v0.3: 2 Kings 14:23-29</t>
        </is>
      </c>
      <c r="N262" s="15" t="inlineStr">
        <is>
          <t xml:space="preserve">Complete + Narrative</t>
        </is>
      </c>
      <c r="O262" s="15"/>
      <c r="P262" s="15" t="inlineStr">
        <is>
          <t xml:space="preserve">No</t>
        </is>
      </c>
      <c r="Q262" s="15" t="inlineStr">
        <is>
          <t xml:space="preserve">Northern Kingdom and the Prophets</t>
        </is>
      </c>
      <c r="R262" s="15" t="inlineStr">
        <is>
          <t xml:space="preserve">v0.3: 2 Kings 14:23-29</t>
        </is>
      </c>
      <c r="S262" s="15" t="inlineStr">
        <is>
          <t xml:space="preserve">S1; S8; S7</t>
        </is>
      </c>
      <c r="T262" s="15"/>
      <c r="U262" s="13" t="inlineStr">
        <is>
          <t xml:space="preserve">Draft</t>
        </is>
      </c>
      <c r="V262" s="15"/>
      <c r="W262" s="15" t="inlineStr">
        <is>
          <t xml:space="preserve">Identity link is explicit in Kings; compositional dating of the book is not treated as settled.</t>
        </is>
      </c>
    </row>
    <row r="263" ht="34" customHeight="1">
      <c r="A263" s="15" t="inlineStr">
        <is>
          <t xml:space="preserve">v0.4</t>
        </is>
      </c>
      <c r="B263" s="15" t="inlineStr">
        <is>
          <t xml:space="preserve">Bible_Journey_Canon_Map_v0_4_Prophets_Exile.xlsx</t>
        </is>
      </c>
      <c r="C263" s="15" t="inlineStr">
        <is>
          <t xml:space="preserve">CRS-04-002</t>
        </is>
      </c>
      <c r="D263" s="15">
        <v>2</v>
      </c>
      <c r="E263" s="15">
        <v>4</v>
      </c>
      <c r="F263" s="15"/>
      <c r="G263" s="15" t="inlineStr">
        <is>
          <t xml:space="preserve">Northern prosperity and early Assyrian horizon</t>
        </is>
      </c>
      <c r="H263" s="15" t="inlineStr">
        <is>
          <t xml:space="preserve">Jeroboam II / Uzziah</t>
        </is>
      </c>
      <c r="I263" s="15" t="inlineStr">
        <is>
          <t xml:space="preserve">Amos: nations and covenant accountability</t>
        </is>
      </c>
      <c r="J263" s="15" t="inlineStr">
        <is>
          <t xml:space="preserve">Amos 1-2</t>
        </is>
      </c>
      <c r="K263" s="15" t="inlineStr">
        <is>
          <t xml:space="preserve">High</t>
        </is>
      </c>
      <c r="L263" s="15" t="inlineStr">
        <is>
          <t xml:space="preserve">High</t>
        </is>
      </c>
      <c r="M263" s="15" t="inlineStr">
        <is>
          <t xml:space="preserve">v0.3: 2 Kings 14:23-29; 2 Chronicles 26</t>
        </is>
      </c>
      <c r="N263" s="15" t="inlineStr">
        <is>
          <t xml:space="preserve">Complete + Narrative</t>
        </is>
      </c>
      <c r="O263" s="15"/>
      <c r="P263" s="15" t="inlineStr">
        <is>
          <t xml:space="preserve">No</t>
        </is>
      </c>
      <c r="Q263" s="15" t="inlineStr">
        <is>
          <t xml:space="preserve">Northern Kingdom and the Prophets</t>
        </is>
      </c>
      <c r="R263" s="15" t="inlineStr">
        <is>
          <t xml:space="preserve">v0.3: 2 Kings 14:23-29; 2 Chronicles 26</t>
        </is>
      </c>
      <c r="S263" s="15" t="inlineStr">
        <is>
          <t xml:space="preserve">S1; S8; S9</t>
        </is>
      </c>
      <c r="T263" s="15"/>
      <c r="U263" s="13" t="inlineStr">
        <is>
          <t xml:space="preserve">Draft</t>
        </is>
      </c>
      <c r="V263" s="15"/>
      <c r="W263" s="15" t="inlineStr">
        <is>
          <t xml:space="preserve">Book heading provides the broad historical anchor.</t>
        </is>
      </c>
    </row>
    <row r="264" ht="34" customHeight="1">
      <c r="A264" s="15" t="inlineStr">
        <is>
          <t xml:space="preserve">v0.4</t>
        </is>
      </c>
      <c r="B264" s="15" t="inlineStr">
        <is>
          <t xml:space="preserve">Bible_Journey_Canon_Map_v0_4_Prophets_Exile.xlsx</t>
        </is>
      </c>
      <c r="C264" s="15" t="inlineStr">
        <is>
          <t xml:space="preserve">CRS-04-003</t>
        </is>
      </c>
      <c r="D264" s="15">
        <v>3</v>
      </c>
      <c r="E264" s="15">
        <v>4</v>
      </c>
      <c r="F264" s="15"/>
      <c r="G264" s="15" t="inlineStr">
        <is>
          <t xml:space="preserve">Northern prosperity and early Assyrian horizon</t>
        </is>
      </c>
      <c r="H264" s="15" t="inlineStr">
        <is>
          <t xml:space="preserve">Jeroboam II / Uzziah</t>
        </is>
      </c>
      <c r="I264" s="15" t="inlineStr">
        <is>
          <t xml:space="preserve">Amos: injustice in prosperous Israel</t>
        </is>
      </c>
      <c r="J264" s="15" t="inlineStr">
        <is>
          <t xml:space="preserve">Amos 3-6</t>
        </is>
      </c>
      <c r="K264" s="15" t="inlineStr">
        <is>
          <t xml:space="preserve">Probable</t>
        </is>
      </c>
      <c r="L264" s="15" t="inlineStr">
        <is>
          <t xml:space="preserve">High</t>
        </is>
      </c>
      <c r="M264" s="15" t="inlineStr">
        <is>
          <t xml:space="preserve">v0.3: 2 Kings 14:23-29</t>
        </is>
      </c>
      <c r="N264" s="15" t="inlineStr">
        <is>
          <t xml:space="preserve">Complete + Narrative</t>
        </is>
      </c>
      <c r="O264" s="15"/>
      <c r="P264" s="15" t="inlineStr">
        <is>
          <t xml:space="preserve">No</t>
        </is>
      </c>
      <c r="Q264" s="15" t="inlineStr">
        <is>
          <t xml:space="preserve">Northern Kingdom and the Prophets</t>
        </is>
      </c>
      <c r="R264" s="15" t="inlineStr">
        <is>
          <t xml:space="preserve">v0.3: 2 Kings 14:23-29</t>
        </is>
      </c>
      <c r="S264" s="15" t="inlineStr">
        <is>
          <t xml:space="preserve">S8; S9; S7</t>
        </is>
      </c>
      <c r="T264" s="15"/>
      <c r="U264" s="13" t="inlineStr">
        <is>
          <t xml:space="preserve">Draft</t>
        </is>
      </c>
      <c r="V264" s="15"/>
      <c r="W264" s="15" t="inlineStr">
        <is>
          <t xml:space="preserve">Narrative anchor is broad; intra-book order remains canonical rather than reconstructed.</t>
        </is>
      </c>
    </row>
    <row r="265" ht="34" customHeight="1">
      <c r="A265" s="15" t="inlineStr">
        <is>
          <t xml:space="preserve">v0.4</t>
        </is>
      </c>
      <c r="B265" s="15" t="inlineStr">
        <is>
          <t xml:space="preserve">Bible_Journey_Canon_Map_v0_4_Prophets_Exile.xlsx</t>
        </is>
      </c>
      <c r="C265" s="15" t="inlineStr">
        <is>
          <t xml:space="preserve">CRS-04-004</t>
        </is>
      </c>
      <c r="D265" s="15">
        <v>4</v>
      </c>
      <c r="E265" s="15">
        <v>4</v>
      </c>
      <c r="F265" s="15"/>
      <c r="G265" s="15" t="inlineStr">
        <is>
          <t xml:space="preserve">Northern prosperity and early Assyrian horizon</t>
        </is>
      </c>
      <c r="H265" s="15" t="inlineStr">
        <is>
          <t xml:space="preserve">Jeroboam II / Uzziah</t>
        </is>
      </c>
      <c r="I265" s="15" t="inlineStr">
        <is>
          <t xml:space="preserve">Amos: visions, Amaziah, and restoration</t>
        </is>
      </c>
      <c r="J265" s="15" t="inlineStr">
        <is>
          <t xml:space="preserve">Amos 7-9</t>
        </is>
      </c>
      <c r="K265" s="15" t="inlineStr">
        <is>
          <t xml:space="preserve">Probable</t>
        </is>
      </c>
      <c r="L265" s="15" t="inlineStr">
        <is>
          <t xml:space="preserve">High</t>
        </is>
      </c>
      <c r="M265" s="15" t="inlineStr">
        <is>
          <t xml:space="preserve">v0.3: 2 Kings 14:23-29</t>
        </is>
      </c>
      <c r="N265" s="15" t="inlineStr">
        <is>
          <t xml:space="preserve">Complete + Narrative</t>
        </is>
      </c>
      <c r="O265" s="15"/>
      <c r="P265" s="15" t="inlineStr">
        <is>
          <t xml:space="preserve">No</t>
        </is>
      </c>
      <c r="Q265" s="15" t="inlineStr">
        <is>
          <t xml:space="preserve">Northern Kingdom and the Prophets</t>
        </is>
      </c>
      <c r="R265" s="15" t="inlineStr">
        <is>
          <t xml:space="preserve">v0.3: 2 Kings 14:23-29</t>
        </is>
      </c>
      <c r="S265" s="15" t="inlineStr">
        <is>
          <t xml:space="preserve">S1; S8; S9; S7</t>
        </is>
      </c>
      <c r="T265" s="15"/>
      <c r="U265" s="13" t="inlineStr">
        <is>
          <t xml:space="preserve">Draft</t>
        </is>
      </c>
      <c r="V265" s="15"/>
      <c r="W265" s="15" t="inlineStr">
        <is>
          <t xml:space="preserve">Do not infer an exact chronology for each vision without a documented editorial decision.</t>
        </is>
      </c>
    </row>
    <row r="266" ht="34" customHeight="1">
      <c r="A266" s="15" t="inlineStr">
        <is>
          <t xml:space="preserve">v0.4</t>
        </is>
      </c>
      <c r="B266" s="15" t="inlineStr">
        <is>
          <t xml:space="preserve">Bible_Journey_Canon_Map_v0_4_Prophets_Exile.xlsx</t>
        </is>
      </c>
      <c r="C266" s="15" t="inlineStr">
        <is>
          <t xml:space="preserve">CRS-04-005</t>
        </is>
      </c>
      <c r="D266" s="15">
        <v>5</v>
      </c>
      <c r="E266" s="15">
        <v>4</v>
      </c>
      <c r="F266" s="15"/>
      <c r="G266" s="15" t="inlineStr">
        <is>
          <t xml:space="preserve">Northern Kingdom's final decades</t>
        </is>
      </c>
      <c r="H266" s="15" t="inlineStr">
        <is>
          <t xml:space="preserve">Hosea 1:1; Jeroboam II through Hezekiah</t>
        </is>
      </c>
      <c r="I266" s="15" t="inlineStr">
        <is>
          <t xml:space="preserve">Hosea: symbolic family and covenant rupture</t>
        </is>
      </c>
      <c r="J266" s="15" t="inlineStr">
        <is>
          <t xml:space="preserve">Hosea 1-3</t>
        </is>
      </c>
      <c r="K266" s="15" t="inlineStr">
        <is>
          <t xml:space="preserve">Probable</t>
        </is>
      </c>
      <c r="L266" s="15" t="inlineStr">
        <is>
          <t xml:space="preserve">High</t>
        </is>
      </c>
      <c r="M266" s="15" t="inlineStr">
        <is>
          <t xml:space="preserve">v0.3: 2 Kings 14-18</t>
        </is>
      </c>
      <c r="N266" s="15" t="inlineStr">
        <is>
          <t xml:space="preserve">Complete + Narrative</t>
        </is>
      </c>
      <c r="O266" s="15"/>
      <c r="P266" s="15" t="inlineStr">
        <is>
          <t xml:space="preserve">No</t>
        </is>
      </c>
      <c r="Q266" s="15" t="inlineStr">
        <is>
          <t xml:space="preserve">Northern Kingdom and the Prophets</t>
        </is>
      </c>
      <c r="R266" s="15" t="inlineStr">
        <is>
          <t xml:space="preserve">v0.3: 2 Kings 14-18</t>
        </is>
      </c>
      <c r="S266" s="15" t="inlineStr">
        <is>
          <t xml:space="preserve">S1; S7; S8</t>
        </is>
      </c>
      <c r="T266" s="15"/>
      <c r="U266" s="13" t="inlineStr">
        <is>
          <t xml:space="preserve">Draft</t>
        </is>
      </c>
      <c r="V266" s="15"/>
      <c r="W266" s="15" t="inlineStr">
        <is>
          <t xml:space="preserve">Placement is broad by design; no single event date is asserted.</t>
        </is>
      </c>
    </row>
    <row r="267" ht="34" customHeight="1">
      <c r="A267" s="15" t="inlineStr">
        <is>
          <t xml:space="preserve">v0.4</t>
        </is>
      </c>
      <c r="B267" s="15" t="inlineStr">
        <is>
          <t xml:space="preserve">Bible_Journey_Canon_Map_v0_4_Prophets_Exile.xlsx</t>
        </is>
      </c>
      <c r="C267" s="15" t="inlineStr">
        <is>
          <t xml:space="preserve">CRS-04-006</t>
        </is>
      </c>
      <c r="D267" s="15">
        <v>6</v>
      </c>
      <c r="E267" s="15">
        <v>4</v>
      </c>
      <c r="F267" s="15"/>
      <c r="G267" s="15" t="inlineStr">
        <is>
          <t xml:space="preserve">Northern Kingdom's final decades</t>
        </is>
      </c>
      <c r="H267" s="15" t="inlineStr">
        <is>
          <t xml:space="preserve">Hosea 1:1; Jeroboam II through Hezekiah</t>
        </is>
      </c>
      <c r="I267" s="15" t="inlineStr">
        <is>
          <t xml:space="preserve">Hosea: accusations against Israel</t>
        </is>
      </c>
      <c r="J267" s="15" t="inlineStr">
        <is>
          <t xml:space="preserve">Hosea 4-8</t>
        </is>
      </c>
      <c r="K267" s="15" t="inlineStr">
        <is>
          <t xml:space="preserve">Probable</t>
        </is>
      </c>
      <c r="L267" s="15" t="inlineStr">
        <is>
          <t xml:space="preserve">High</t>
        </is>
      </c>
      <c r="M267" s="15" t="inlineStr">
        <is>
          <t xml:space="preserve">v0.3: 2 Kings 14-18</t>
        </is>
      </c>
      <c r="N267" s="15" t="inlineStr">
        <is>
          <t xml:space="preserve">Complete + Narrative</t>
        </is>
      </c>
      <c r="O267" s="15"/>
      <c r="P267" s="15" t="inlineStr">
        <is>
          <t xml:space="preserve">No</t>
        </is>
      </c>
      <c r="Q267" s="15" t="inlineStr">
        <is>
          <t xml:space="preserve">Northern Kingdom and the Prophets</t>
        </is>
      </c>
      <c r="R267" s="15" t="inlineStr">
        <is>
          <t xml:space="preserve">v0.3: 2 Kings 14-18</t>
        </is>
      </c>
      <c r="S267" s="15" t="inlineStr">
        <is>
          <t xml:space="preserve">S1; S7</t>
        </is>
      </c>
      <c r="T267" s="15"/>
      <c r="U267" s="13" t="inlineStr">
        <is>
          <t xml:space="preserve">Draft</t>
        </is>
      </c>
      <c r="V267" s="15"/>
      <c r="W267" s="15" t="inlineStr">
        <is>
          <t xml:space="preserve">This is not a claim that chapters 4-8 were delivered in immediate sequence.</t>
        </is>
      </c>
    </row>
    <row r="268" ht="34" customHeight="1">
      <c r="A268" s="15" t="inlineStr">
        <is>
          <t xml:space="preserve">v0.4</t>
        </is>
      </c>
      <c r="B268" s="15" t="inlineStr">
        <is>
          <t xml:space="preserve">Bible_Journey_Canon_Map_v0_4_Prophets_Exile.xlsx</t>
        </is>
      </c>
      <c r="C268" s="15" t="inlineStr">
        <is>
          <t xml:space="preserve">CRS-04-007</t>
        </is>
      </c>
      <c r="D268" s="15">
        <v>7</v>
      </c>
      <c r="E268" s="15">
        <v>4</v>
      </c>
      <c r="F268" s="15"/>
      <c r="G268" s="15" t="inlineStr">
        <is>
          <t xml:space="preserve">Northern Kingdom's final decades</t>
        </is>
      </c>
      <c r="H268" s="15" t="inlineStr">
        <is>
          <t xml:space="preserve">Hosea 1:1; Jeroboam II through Hezekiah</t>
        </is>
      </c>
      <c r="I268" s="15" t="inlineStr">
        <is>
          <t xml:space="preserve">Hosea: judgment and restoration</t>
        </is>
      </c>
      <c r="J268" s="15" t="inlineStr">
        <is>
          <t xml:space="preserve">Hosea 9-14</t>
        </is>
      </c>
      <c r="K268" s="15" t="inlineStr">
        <is>
          <t xml:space="preserve">Probable</t>
        </is>
      </c>
      <c r="L268" s="15" t="inlineStr">
        <is>
          <t xml:space="preserve">High</t>
        </is>
      </c>
      <c r="M268" s="15" t="inlineStr">
        <is>
          <t xml:space="preserve">v0.3: 2 Kings 14-18</t>
        </is>
      </c>
      <c r="N268" s="15" t="inlineStr">
        <is>
          <t xml:space="preserve">Complete + Narrative</t>
        </is>
      </c>
      <c r="O268" s="15"/>
      <c r="P268" s="15" t="inlineStr">
        <is>
          <t xml:space="preserve">No</t>
        </is>
      </c>
      <c r="Q268" s="15" t="inlineStr">
        <is>
          <t xml:space="preserve">Northern Kingdom and the Prophets</t>
        </is>
      </c>
      <c r="R268" s="15" t="inlineStr">
        <is>
          <t xml:space="preserve">v0.3: 2 Kings 14-18</t>
        </is>
      </c>
      <c r="S268" s="15" t="inlineStr">
        <is>
          <t xml:space="preserve">S1; S7</t>
        </is>
      </c>
      <c r="T268" s="15"/>
      <c r="U268" s="13" t="inlineStr">
        <is>
          <t xml:space="preserve">Draft</t>
        </is>
      </c>
      <c r="V268" s="15"/>
      <c r="W268" s="15" t="inlineStr">
        <is>
          <t xml:space="preserve">Placed before Samaria's fall; precise oracle sequence remains uncertain.</t>
        </is>
      </c>
    </row>
    <row r="269" ht="34" customHeight="1">
      <c r="A269" s="15" t="inlineStr">
        <is>
          <t xml:space="preserve">v0.4</t>
        </is>
      </c>
      <c r="B269" s="15" t="inlineStr">
        <is>
          <t xml:space="preserve">Bible_Journey_Canon_Map_v0_4_Prophets_Exile.xlsx</t>
        </is>
      </c>
      <c r="C269" s="15" t="inlineStr">
        <is>
          <t xml:space="preserve">CRS-04-008</t>
        </is>
      </c>
      <c r="D269" s="15">
        <v>8</v>
      </c>
      <c r="E269" s="15">
        <v>4</v>
      </c>
      <c r="F269" s="15"/>
      <c r="G269" s="15" t="inlineStr">
        <is>
          <t xml:space="preserve">Judah before the Syro-Ephraimite crisis</t>
        </is>
      </c>
      <c r="H269" s="15" t="inlineStr">
        <is>
          <t xml:space="preserve">Uzziah / Jotham</t>
        </is>
      </c>
      <c r="I269" s="15" t="inlineStr">
        <is>
          <t xml:space="preserve">Isaiah: early Judah oracles</t>
        </is>
      </c>
      <c r="J269" s="15" t="inlineStr">
        <is>
          <t xml:space="preserve">Isaiah 1-5</t>
        </is>
      </c>
      <c r="K269" s="15" t="inlineStr">
        <is>
          <t xml:space="preserve">Probable</t>
        </is>
      </c>
      <c r="L269" s="15" t="inlineStr">
        <is>
          <t xml:space="preserve">High</t>
        </is>
      </c>
      <c r="M269" s="15" t="inlineStr">
        <is>
          <t xml:space="preserve">v0.3: 2 Kings 15; 2 Chronicles 26-27</t>
        </is>
      </c>
      <c r="N269" s="15" t="inlineStr">
        <is>
          <t xml:space="preserve">Complete + Narrative</t>
        </is>
      </c>
      <c r="O269" s="15"/>
      <c r="P269" s="15" t="inlineStr">
        <is>
          <t xml:space="preserve">No</t>
        </is>
      </c>
      <c r="Q269" s="15" t="inlineStr">
        <is>
          <t xml:space="preserve">Isaiah and the Assyrian Crisis</t>
        </is>
      </c>
      <c r="R269" s="15" t="inlineStr">
        <is>
          <t xml:space="preserve">v0.3: 2 Kings 15; 2 Chronicles 26-27</t>
        </is>
      </c>
      <c r="S269" s="15" t="inlineStr">
        <is>
          <t xml:space="preserve">S1; S2; S3; S7</t>
        </is>
      </c>
      <c r="T269" s="15"/>
      <c r="U269" s="13" t="inlineStr">
        <is>
          <t xml:space="preserve">Draft</t>
        </is>
      </c>
      <c r="V269" s="15"/>
      <c r="W269" s="15" t="inlineStr">
        <is>
          <t xml:space="preserve">Use a broad reign anchor, not a false day-by-day reconstruction.</t>
        </is>
      </c>
    </row>
    <row r="270" ht="34" customHeight="1">
      <c r="A270" s="15" t="inlineStr">
        <is>
          <t xml:space="preserve">v0.4</t>
        </is>
      </c>
      <c r="B270" s="15" t="inlineStr">
        <is>
          <t xml:space="preserve">Bible_Journey_Canon_Map_v0_4_Prophets_Exile.xlsx</t>
        </is>
      </c>
      <c r="C270" s="15" t="inlineStr">
        <is>
          <t xml:space="preserve">CRS-04-009</t>
        </is>
      </c>
      <c r="D270" s="15">
        <v>9</v>
      </c>
      <c r="E270" s="15">
        <v>4</v>
      </c>
      <c r="F270" s="15"/>
      <c r="G270" s="15" t="inlineStr">
        <is>
          <t xml:space="preserve">Judah before the Syro-Ephraimite crisis</t>
        </is>
      </c>
      <c r="H270" s="15" t="inlineStr">
        <is>
          <t xml:space="preserve">Year of Uzziah's death / Isaiah 6</t>
        </is>
      </c>
      <c r="I270" s="15" t="inlineStr">
        <is>
          <t xml:space="preserve">Isaiah's call</t>
        </is>
      </c>
      <c r="J270" s="15" t="inlineStr">
        <is>
          <t xml:space="preserve">Isaiah 6</t>
        </is>
      </c>
      <c r="K270" s="15" t="inlineStr">
        <is>
          <t xml:space="preserve">High</t>
        </is>
      </c>
      <c r="L270" s="15" t="inlineStr">
        <is>
          <t xml:space="preserve">High</t>
        </is>
      </c>
      <c r="M270" s="15" t="inlineStr">
        <is>
          <t xml:space="preserve">v0.3: 2 Chronicles 26; 2 Kings 15</t>
        </is>
      </c>
      <c r="N270" s="15" t="inlineStr">
        <is>
          <t xml:space="preserve">Complete + Narrative</t>
        </is>
      </c>
      <c r="O270" s="15"/>
      <c r="P270" s="15" t="inlineStr">
        <is>
          <t xml:space="preserve">No</t>
        </is>
      </c>
      <c r="Q270" s="15" t="inlineStr">
        <is>
          <t xml:space="preserve">Isaiah and the Assyrian Crisis</t>
        </is>
      </c>
      <c r="R270" s="15" t="inlineStr">
        <is>
          <t xml:space="preserve">v0.3: 2 Chronicles 26; 2 Kings 15</t>
        </is>
      </c>
      <c r="S270" s="15" t="inlineStr">
        <is>
          <t xml:space="preserve">S1; S2; S3</t>
        </is>
      </c>
      <c r="T270" s="15"/>
      <c r="U270" s="13" t="inlineStr">
        <is>
          <t xml:space="preserve">Draft</t>
        </is>
      </c>
      <c r="V270" s="15"/>
      <c r="W270" s="15" t="inlineStr">
        <is>
          <t xml:space="preserve">The chapter's literary placement in Isaiah does not force a claim that it occurred after chapters 1-5 in every editorial model.</t>
        </is>
      </c>
    </row>
    <row r="271" ht="34" customHeight="1">
      <c r="A271" s="15" t="inlineStr">
        <is>
          <t xml:space="preserve">v0.4</t>
        </is>
      </c>
      <c r="B271" s="15" t="inlineStr">
        <is>
          <t xml:space="preserve">Bible_Journey_Canon_Map_v0_4_Prophets_Exile.xlsx</t>
        </is>
      </c>
      <c r="C271" s="15" t="inlineStr">
        <is>
          <t xml:space="preserve">CRS-04-010</t>
        </is>
      </c>
      <c r="D271" s="15">
        <v>10</v>
      </c>
      <c r="E271" s="15">
        <v>4</v>
      </c>
      <c r="F271" s="15"/>
      <c r="G271" s="15" t="inlineStr">
        <is>
          <t xml:space="preserve">Assyrian horizon in Judah</t>
        </is>
      </c>
      <c r="H271" s="15" t="inlineStr">
        <is>
          <t xml:space="preserve">Jotham / Ahaz / Hezekiah</t>
        </is>
      </c>
      <c r="I271" s="15" t="inlineStr">
        <is>
          <t xml:space="preserve">Micah: judgment on Samaria and Jerusalem</t>
        </is>
      </c>
      <c r="J271" s="15" t="inlineStr">
        <is>
          <t xml:space="preserve">Micah 1-3</t>
        </is>
      </c>
      <c r="K271" s="15" t="inlineStr">
        <is>
          <t xml:space="preserve">Probable</t>
        </is>
      </c>
      <c r="L271" s="15" t="inlineStr">
        <is>
          <t xml:space="preserve">High</t>
        </is>
      </c>
      <c r="M271" s="15" t="inlineStr">
        <is>
          <t xml:space="preserve">v0.3: 2 Kings 15-18; 2 Chronicles 27-29</t>
        </is>
      </c>
      <c r="N271" s="15" t="inlineStr">
        <is>
          <t xml:space="preserve">Complete + Narrative</t>
        </is>
      </c>
      <c r="O271" s="15"/>
      <c r="P271" s="15" t="inlineStr">
        <is>
          <t xml:space="preserve">No</t>
        </is>
      </c>
      <c r="Q271" s="15" t="inlineStr">
        <is>
          <t xml:space="preserve">Assyrian Judah and Jerusalem</t>
        </is>
      </c>
      <c r="R271" s="15" t="inlineStr">
        <is>
          <t xml:space="preserve">v0.3: 2 Kings 15-18; 2 Chronicles 27-29</t>
        </is>
      </c>
      <c r="S271" s="15" t="inlineStr">
        <is>
          <t xml:space="preserve">S1; S7</t>
        </is>
      </c>
      <c r="T271" s="15"/>
      <c r="U271" s="13" t="inlineStr">
        <is>
          <t xml:space="preserve">Draft</t>
        </is>
      </c>
      <c r="V271" s="15"/>
      <c r="W271" s="15" t="inlineStr">
        <is>
          <t xml:space="preserve">Treat internal sequence as literary unless documented otherwise.</t>
        </is>
      </c>
    </row>
    <row r="272" ht="34" customHeight="1">
      <c r="A272" s="15" t="inlineStr">
        <is>
          <t xml:space="preserve">v0.4</t>
        </is>
      </c>
      <c r="B272" s="15" t="inlineStr">
        <is>
          <t xml:space="preserve">Bible_Journey_Canon_Map_v0_4_Prophets_Exile.xlsx</t>
        </is>
      </c>
      <c r="C272" s="15" t="inlineStr">
        <is>
          <t xml:space="preserve">CRS-04-011</t>
        </is>
      </c>
      <c r="D272" s="15">
        <v>11</v>
      </c>
      <c r="E272" s="15">
        <v>4</v>
      </c>
      <c r="F272" s="15"/>
      <c r="G272" s="15" t="inlineStr">
        <is>
          <t xml:space="preserve">Assyrian horizon in Judah</t>
        </is>
      </c>
      <c r="H272" s="15" t="inlineStr">
        <is>
          <t xml:space="preserve">Jotham / Ahaz / Hezekiah</t>
        </is>
      </c>
      <c r="I272" s="15" t="inlineStr">
        <is>
          <t xml:space="preserve">Micah: hope for Zion and a future ruler</t>
        </is>
      </c>
      <c r="J272" s="15" t="inlineStr">
        <is>
          <t xml:space="preserve">Micah 4-5</t>
        </is>
      </c>
      <c r="K272" s="15" t="inlineStr">
        <is>
          <t xml:space="preserve">Debated</t>
        </is>
      </c>
      <c r="L272" s="15" t="inlineStr">
        <is>
          <t xml:space="preserve">High</t>
        </is>
      </c>
      <c r="M272" s="15" t="inlineStr">
        <is>
          <t xml:space="preserve">v0.3: 2 Kings 15-18; 2 Chronicles 27-29</t>
        </is>
      </c>
      <c r="N272" s="15" t="inlineStr">
        <is>
          <t xml:space="preserve">Complete + Narrative</t>
        </is>
      </c>
      <c r="O272" s="15"/>
      <c r="P272" s="15" t="inlineStr">
        <is>
          <t xml:space="preserve">No</t>
        </is>
      </c>
      <c r="Q272" s="15" t="inlineStr">
        <is>
          <t xml:space="preserve">Assyrian Judah and Jerusalem</t>
        </is>
      </c>
      <c r="R272" s="15" t="inlineStr">
        <is>
          <t xml:space="preserve">v0.3: 2 Kings 15-18; 2 Chronicles 27-29</t>
        </is>
      </c>
      <c r="S272" s="15" t="inlineStr">
        <is>
          <t xml:space="preserve">S1; S7</t>
        </is>
      </c>
      <c r="T272" s="15"/>
      <c r="U272" s="13" t="inlineStr">
        <is>
          <t xml:space="preserve">Draft</t>
        </is>
      </c>
      <c r="V272" s="15"/>
      <c r="W272" s="15" t="inlineStr">
        <is>
          <t xml:space="preserve">The reading order preserves canonical continuity while signaling that individual oracle dates are unresolved.</t>
        </is>
      </c>
    </row>
    <row r="273" ht="34" customHeight="1">
      <c r="A273" s="15" t="inlineStr">
        <is>
          <t xml:space="preserve">v0.4</t>
        </is>
      </c>
      <c r="B273" s="15" t="inlineStr">
        <is>
          <t xml:space="preserve">Bible_Journey_Canon_Map_v0_4_Prophets_Exile.xlsx</t>
        </is>
      </c>
      <c r="C273" s="15" t="inlineStr">
        <is>
          <t xml:space="preserve">CRS-04-012</t>
        </is>
      </c>
      <c r="D273" s="15">
        <v>12</v>
      </c>
      <c r="E273" s="15">
        <v>4</v>
      </c>
      <c r="F273" s="15"/>
      <c r="G273" s="15" t="inlineStr">
        <is>
          <t xml:space="preserve">Assyrian horizon in Judah</t>
        </is>
      </c>
      <c r="H273" s="15" t="inlineStr">
        <is>
          <t xml:space="preserve">Jotham / Ahaz / Hezekiah</t>
        </is>
      </c>
      <c r="I273" s="15" t="inlineStr">
        <is>
          <t xml:space="preserve">Micah: covenant lawsuit and final hope</t>
        </is>
      </c>
      <c r="J273" s="15" t="inlineStr">
        <is>
          <t xml:space="preserve">Micah 6-7</t>
        </is>
      </c>
      <c r="K273" s="15" t="inlineStr">
        <is>
          <t xml:space="preserve">Debated</t>
        </is>
      </c>
      <c r="L273" s="15" t="inlineStr">
        <is>
          <t xml:space="preserve">High</t>
        </is>
      </c>
      <c r="M273" s="15" t="inlineStr">
        <is>
          <t xml:space="preserve">v0.3: 2 Kings 15-18; 2 Chronicles 27-29</t>
        </is>
      </c>
      <c r="N273" s="15" t="inlineStr">
        <is>
          <t xml:space="preserve">Complete + Narrative</t>
        </is>
      </c>
      <c r="O273" s="15"/>
      <c r="P273" s="15" t="inlineStr">
        <is>
          <t xml:space="preserve">No</t>
        </is>
      </c>
      <c r="Q273" s="15" t="inlineStr">
        <is>
          <t xml:space="preserve">Assyrian Judah and Jerusalem</t>
        </is>
      </c>
      <c r="R273" s="15" t="inlineStr">
        <is>
          <t xml:space="preserve">v0.3: 2 Kings 15-18; 2 Chronicles 27-29</t>
        </is>
      </c>
      <c r="S273" s="15" t="inlineStr">
        <is>
          <t xml:space="preserve">S1; S7</t>
        </is>
      </c>
      <c r="T273" s="15"/>
      <c r="U273" s="13" t="inlineStr">
        <is>
          <t xml:space="preserve">Draft</t>
        </is>
      </c>
      <c r="V273" s="15"/>
      <c r="W273" s="15" t="inlineStr">
        <is>
          <t xml:space="preserve">Use 'broad historical horizon' in user-facing context.</t>
        </is>
      </c>
    </row>
    <row r="274" ht="34" customHeight="1">
      <c r="A274" s="15" t="inlineStr">
        <is>
          <t xml:space="preserve">v0.4</t>
        </is>
      </c>
      <c r="B274" s="15" t="inlineStr">
        <is>
          <t xml:space="preserve">Bible_Journey_Canon_Map_v0_4_Prophets_Exile.xlsx</t>
        </is>
      </c>
      <c r="C274" s="15" t="inlineStr">
        <is>
          <t xml:space="preserve">CRS-04-013</t>
        </is>
      </c>
      <c r="D274" s="15">
        <v>13</v>
      </c>
      <c r="E274" s="15">
        <v>4</v>
      </c>
      <c r="F274" s="15"/>
      <c r="G274" s="15" t="inlineStr">
        <is>
          <t xml:space="preserve">Syro-Ephraimite crisis</t>
        </is>
      </c>
      <c r="H274" s="15" t="inlineStr">
        <is>
          <t xml:space="preserve">Ahaz / 2 Kings 16; 2 Chronicles 28</t>
        </is>
      </c>
      <c r="I274" s="15" t="inlineStr">
        <is>
          <t xml:space="preserve">Isaiah: Ahaz, Immanuel, and the crisis in Judah</t>
        </is>
      </c>
      <c r="J274" s="15" t="inlineStr">
        <is>
          <t xml:space="preserve">Isaiah 7-12</t>
        </is>
      </c>
      <c r="K274" s="15" t="inlineStr">
        <is>
          <t xml:space="preserve">High</t>
        </is>
      </c>
      <c r="L274" s="15" t="inlineStr">
        <is>
          <t xml:space="preserve">High</t>
        </is>
      </c>
      <c r="M274" s="15" t="inlineStr">
        <is>
          <t xml:space="preserve">v0.3: 2 Kings 16; 2 Chronicles 28</t>
        </is>
      </c>
      <c r="N274" s="15" t="inlineStr">
        <is>
          <t xml:space="preserve">Complete + Narrative</t>
        </is>
      </c>
      <c r="O274" s="15"/>
      <c r="P274" s="15" t="inlineStr">
        <is>
          <t xml:space="preserve">Compare</t>
        </is>
      </c>
      <c r="Q274" s="15" t="inlineStr">
        <is>
          <t xml:space="preserve">Isaiah and the Assyrian Crisis</t>
        </is>
      </c>
      <c r="R274" s="15" t="inlineStr">
        <is>
          <t xml:space="preserve">v0.3: 2 Kings 16; 2 Chronicles 28</t>
        </is>
      </c>
      <c r="S274" s="15" t="inlineStr">
        <is>
          <t xml:space="preserve">S1; S3; S11</t>
        </is>
      </c>
      <c r="T274" s="15"/>
      <c r="U274" s="13" t="inlineStr">
        <is>
          <t xml:space="preserve">Draft</t>
        </is>
      </c>
      <c r="V274" s="15"/>
      <c r="W274" s="15" t="inlineStr">
        <is>
          <t xml:space="preserve">Comparison should preserve separate biblical blocks rather than blend them into a new narrative.</t>
        </is>
      </c>
    </row>
    <row r="275" ht="34" customHeight="1">
      <c r="A275" s="15" t="inlineStr">
        <is>
          <t xml:space="preserve">v0.4</t>
        </is>
      </c>
      <c r="B275" s="15" t="inlineStr">
        <is>
          <t xml:space="preserve">Bible_Journey_Canon_Map_v0_4_Prophets_Exile.xlsx</t>
        </is>
      </c>
      <c r="C275" s="15" t="inlineStr">
        <is>
          <t xml:space="preserve">CRS-04-014</t>
        </is>
      </c>
      <c r="D275" s="15">
        <v>14</v>
      </c>
      <c r="E275" s="15">
        <v>4</v>
      </c>
      <c r="F275" s="15"/>
      <c r="G275" s="15" t="inlineStr">
        <is>
          <t xml:space="preserve">Assyrian horizon in Judah</t>
        </is>
      </c>
      <c r="H275" s="15" t="inlineStr">
        <is>
          <t xml:space="preserve">Late eighth century BCE</t>
        </is>
      </c>
      <c r="I275" s="15" t="inlineStr">
        <is>
          <t xml:space="preserve">Isaiah: oracles against the nations</t>
        </is>
      </c>
      <c r="J275" s="15" t="inlineStr">
        <is>
          <t xml:space="preserve">Isaiah 13-23</t>
        </is>
      </c>
      <c r="K275" s="15" t="inlineStr">
        <is>
          <t xml:space="preserve">Debated</t>
        </is>
      </c>
      <c r="L275" s="15" t="inlineStr">
        <is>
          <t xml:space="preserve">High</t>
        </is>
      </c>
      <c r="M275" s="15" t="inlineStr">
        <is>
          <t xml:space="preserve">v0.3: 2 Kings 16-20</t>
        </is>
      </c>
      <c r="N275" s="15" t="inlineStr">
        <is>
          <t xml:space="preserve">Complete + Narrative</t>
        </is>
      </c>
      <c r="O275" s="15"/>
      <c r="P275" s="15" t="inlineStr">
        <is>
          <t xml:space="preserve">No</t>
        </is>
      </c>
      <c r="Q275" s="15" t="inlineStr">
        <is>
          <t xml:space="preserve">Isaiah and the Assyrian Crisis</t>
        </is>
      </c>
      <c r="R275" s="15" t="inlineStr">
        <is>
          <t xml:space="preserve">v0.3: 2 Kings 16-20</t>
        </is>
      </c>
      <c r="S275" s="15" t="inlineStr">
        <is>
          <t xml:space="preserve">S2; S3; S7</t>
        </is>
      </c>
      <c r="T275" s="15"/>
      <c r="U275" s="13" t="inlineStr">
        <is>
          <t xml:space="preserve">Draft</t>
        </is>
      </c>
      <c r="V275" s="15"/>
      <c r="W275" s="15" t="inlineStr">
        <is>
          <t xml:space="preserve">Do not portray all foreign-nation oracles as a single dated speech.</t>
        </is>
      </c>
    </row>
    <row r="276" ht="34" customHeight="1">
      <c r="A276" s="15" t="inlineStr">
        <is>
          <t xml:space="preserve">v0.4</t>
        </is>
      </c>
      <c r="B276" s="15" t="inlineStr">
        <is>
          <t xml:space="preserve">Bible_Journey_Canon_Map_v0_4_Prophets_Exile.xlsx</t>
        </is>
      </c>
      <c r="C276" s="15" t="inlineStr">
        <is>
          <t xml:space="preserve">CRS-04-015</t>
        </is>
      </c>
      <c r="D276" s="15">
        <v>15</v>
      </c>
      <c r="E276" s="15">
        <v>4</v>
      </c>
      <c r="F276" s="15"/>
      <c r="G276" s="15" t="inlineStr">
        <is>
          <t xml:space="preserve">Assyrian horizon in Judah</t>
        </is>
      </c>
      <c r="H276" s="15" t="inlineStr">
        <is>
          <t xml:space="preserve">Late eighth century BCE</t>
        </is>
      </c>
      <c r="I276" s="15" t="inlineStr">
        <is>
          <t xml:space="preserve">Isaiah: judgment and Zion's future</t>
        </is>
      </c>
      <c r="J276" s="15" t="inlineStr">
        <is>
          <t xml:space="preserve">Isaiah 24-27</t>
        </is>
      </c>
      <c r="K276" s="15" t="inlineStr">
        <is>
          <t xml:space="preserve">Debated</t>
        </is>
      </c>
      <c r="L276" s="15" t="inlineStr">
        <is>
          <t xml:space="preserve">Probable</t>
        </is>
      </c>
      <c r="M276" s="15" t="inlineStr">
        <is>
          <t xml:space="preserve">v0.3: 2 Kings 16-20</t>
        </is>
      </c>
      <c r="N276" s="15" t="inlineStr">
        <is>
          <t xml:space="preserve">Complete + Narrative</t>
        </is>
      </c>
      <c r="O276" s="15"/>
      <c r="P276" s="15" t="inlineStr">
        <is>
          <t xml:space="preserve">No</t>
        </is>
      </c>
      <c r="Q276" s="15" t="inlineStr">
        <is>
          <t xml:space="preserve">Isaiah and the Assyrian Crisis</t>
        </is>
      </c>
      <c r="R276" s="15" t="inlineStr">
        <is>
          <t xml:space="preserve">v0.3: 2 Kings 16-20</t>
        </is>
      </c>
      <c r="S276" s="15" t="inlineStr">
        <is>
          <t xml:space="preserve">S2; S7</t>
        </is>
      </c>
      <c r="T276" s="15"/>
      <c r="U276" s="13" t="inlineStr">
        <is>
          <t xml:space="preserve">Draft</t>
        </is>
      </c>
      <c r="V276" s="15"/>
      <c r="W276" s="15" t="inlineStr">
        <is>
          <t xml:space="preserve">This is a deliberate transparency point for the product.</t>
        </is>
      </c>
    </row>
    <row r="277" ht="34" customHeight="1">
      <c r="A277" s="15" t="inlineStr">
        <is>
          <t xml:space="preserve">v0.4</t>
        </is>
      </c>
      <c r="B277" s="15" t="inlineStr">
        <is>
          <t xml:space="preserve">Bible_Journey_Canon_Map_v0_4_Prophets_Exile.xlsx</t>
        </is>
      </c>
      <c r="C277" s="15" t="inlineStr">
        <is>
          <t xml:space="preserve">CRS-04-016</t>
        </is>
      </c>
      <c r="D277" s="15">
        <v>16</v>
      </c>
      <c r="E277" s="15">
        <v>4</v>
      </c>
      <c r="F277" s="15"/>
      <c r="G277" s="15" t="inlineStr">
        <is>
          <t xml:space="preserve">Hezekiah and the Assyrian crisis</t>
        </is>
      </c>
      <c r="H277" s="15" t="inlineStr">
        <is>
          <t xml:space="preserve">Hezekiah / 2 Kings 18-20; 2 Chronicles 29-32</t>
        </is>
      </c>
      <c r="I277" s="15" t="inlineStr">
        <is>
          <t xml:space="preserve">Isaiah: woe oracles and Assyrian pressure</t>
        </is>
      </c>
      <c r="J277" s="15" t="inlineStr">
        <is>
          <t xml:space="preserve">Isaiah 28-35</t>
        </is>
      </c>
      <c r="K277" s="15" t="inlineStr">
        <is>
          <t xml:space="preserve">Probable</t>
        </is>
      </c>
      <c r="L277" s="15" t="inlineStr">
        <is>
          <t xml:space="preserve">Probable</t>
        </is>
      </c>
      <c r="M277" s="15" t="inlineStr">
        <is>
          <t xml:space="preserve">v0.3: 2 Kings 18-20; 2 Chronicles 29-32</t>
        </is>
      </c>
      <c r="N277" s="15" t="inlineStr">
        <is>
          <t xml:space="preserve">Complete + Narrative</t>
        </is>
      </c>
      <c r="O277" s="15"/>
      <c r="P277" s="15" t="inlineStr">
        <is>
          <t xml:space="preserve">Compare</t>
        </is>
      </c>
      <c r="Q277" s="15" t="inlineStr">
        <is>
          <t xml:space="preserve">Isaiah and the Assyrian Crisis</t>
        </is>
      </c>
      <c r="R277" s="15" t="inlineStr">
        <is>
          <t xml:space="preserve">v0.3: 2 Kings 18-20; 2 Chronicles 29-32</t>
        </is>
      </c>
      <c r="S277" s="15" t="inlineStr">
        <is>
          <t xml:space="preserve">S2; S3; S7</t>
        </is>
      </c>
      <c r="T277" s="15"/>
      <c r="U277" s="13" t="inlineStr">
        <is>
          <t xml:space="preserve">Draft</t>
        </is>
      </c>
      <c r="V277" s="15"/>
      <c r="W277" s="15" t="inlineStr">
        <is>
          <t xml:space="preserve">Use contextual link cards rather than interrupting the continuous reading with full Kings/Chronicles repeats.</t>
        </is>
      </c>
    </row>
    <row r="278" ht="34" customHeight="1">
      <c r="A278" s="15" t="inlineStr">
        <is>
          <t xml:space="preserve">v0.4</t>
        </is>
      </c>
      <c r="B278" s="15" t="inlineStr">
        <is>
          <t xml:space="preserve">Bible_Journey_Canon_Map_v0_4_Prophets_Exile.xlsx</t>
        </is>
      </c>
      <c r="C278" s="15" t="inlineStr">
        <is>
          <t xml:space="preserve">CRS-04-017</t>
        </is>
      </c>
      <c r="D278" s="15">
        <v>17</v>
      </c>
      <c r="E278" s="15">
        <v>4</v>
      </c>
      <c r="F278" s="15"/>
      <c r="G278" s="15" t="inlineStr">
        <is>
          <t xml:space="preserve">Hezekiah and the Assyrian crisis</t>
        </is>
      </c>
      <c r="H278" s="15" t="inlineStr">
        <is>
          <t xml:space="preserve">Sennacherib campaign / 701 BCE</t>
        </is>
      </c>
      <c r="I278" s="15" t="inlineStr">
        <is>
          <t xml:space="preserve">Isaiah's account of the Assyrian crisis</t>
        </is>
      </c>
      <c r="J278" s="15" t="inlineStr">
        <is>
          <t xml:space="preserve">Isaiah 36-37</t>
        </is>
      </c>
      <c r="K278" s="15" t="inlineStr">
        <is>
          <t xml:space="preserve">High</t>
        </is>
      </c>
      <c r="L278" s="15" t="inlineStr">
        <is>
          <t xml:space="preserve">High</t>
        </is>
      </c>
      <c r="M278" s="15" t="inlineStr">
        <is>
          <t xml:space="preserve">v0.3: CRS-03-? Hezekiah crisis / 2 Kings 18-19; 2 Chronicles 32</t>
        </is>
      </c>
      <c r="N278" s="15" t="inlineStr">
        <is>
          <t xml:space="preserve">Complete + Narrative</t>
        </is>
      </c>
      <c r="O278" s="15"/>
      <c r="P278" s="15" t="inlineStr">
        <is>
          <t xml:space="preserve">Compare</t>
        </is>
      </c>
      <c r="Q278" s="15" t="inlineStr">
        <is>
          <t xml:space="preserve">Isaiah and the Assyrian Crisis</t>
        </is>
      </c>
      <c r="R278" s="15" t="inlineStr">
        <is>
          <t xml:space="preserve">v0.3: CRS-03-? Hezekiah crisis / 2 Kings 18-19; 2 Chronicles 32</t>
        </is>
      </c>
      <c r="S278" s="15" t="inlineStr">
        <is>
          <t xml:space="preserve">S1; S2; S3</t>
        </is>
      </c>
      <c r="T278" s="15"/>
      <c r="U278" s="13" t="inlineStr">
        <is>
          <t xml:space="preserve">Draft</t>
        </is>
      </c>
      <c r="V278" s="15"/>
      <c r="W278" s="15" t="inlineStr">
        <is>
          <t xml:space="preserve">Compare Accounts should offer Kings / Isaiah / Chronicles as intact texts.</t>
        </is>
      </c>
    </row>
    <row r="279" ht="34" customHeight="1">
      <c r="A279" s="15" t="inlineStr">
        <is>
          <t xml:space="preserve">v0.4</t>
        </is>
      </c>
      <c r="B279" s="15" t="inlineStr">
        <is>
          <t xml:space="preserve">Bible_Journey_Canon_Map_v0_4_Prophets_Exile.xlsx</t>
        </is>
      </c>
      <c r="C279" s="15" t="inlineStr">
        <is>
          <t xml:space="preserve">CRS-04-018</t>
        </is>
      </c>
      <c r="D279" s="15">
        <v>18</v>
      </c>
      <c r="E279" s="15">
        <v>4</v>
      </c>
      <c r="F279" s="15"/>
      <c r="G279" s="15" t="inlineStr">
        <is>
          <t xml:space="preserve">Hezekiah and the Assyrian crisis</t>
        </is>
      </c>
      <c r="H279" s="15" t="inlineStr">
        <is>
          <t xml:space="preserve">Hezekiah / 2 Kings 20; 2 Chronicles 32</t>
        </is>
      </c>
      <c r="I279" s="15" t="inlineStr">
        <is>
          <t xml:space="preserve">Hezekiah's illness and Babylonian envoys in Isaiah</t>
        </is>
      </c>
      <c r="J279" s="15" t="inlineStr">
        <is>
          <t xml:space="preserve">Isaiah 38-39</t>
        </is>
      </c>
      <c r="K279" s="15" t="inlineStr">
        <is>
          <t xml:space="preserve">Debated</t>
        </is>
      </c>
      <c r="L279" s="15" t="inlineStr">
        <is>
          <t xml:space="preserve">High</t>
        </is>
      </c>
      <c r="M279" s="15" t="inlineStr">
        <is>
          <t xml:space="preserve">v0.3: 2 Kings 20; 2 Chronicles 32</t>
        </is>
      </c>
      <c r="N279" s="15" t="inlineStr">
        <is>
          <t xml:space="preserve">Complete + Narrative</t>
        </is>
      </c>
      <c r="O279" s="15"/>
      <c r="P279" s="15" t="inlineStr">
        <is>
          <t xml:space="preserve">Compare</t>
        </is>
      </c>
      <c r="Q279" s="15" t="inlineStr">
        <is>
          <t xml:space="preserve">Isaiah and the Assyrian Crisis</t>
        </is>
      </c>
      <c r="R279" s="15" t="inlineStr">
        <is>
          <t xml:space="preserve">v0.3: 2 Kings 20; 2 Chronicles 32</t>
        </is>
      </c>
      <c r="S279" s="15" t="inlineStr">
        <is>
          <t xml:space="preserve">S1; S2; S3; S7</t>
        </is>
      </c>
      <c r="T279" s="15"/>
      <c r="U279" s="13" t="inlineStr">
        <is>
          <t xml:space="preserve">Draft</t>
        </is>
      </c>
      <c r="V279" s="15"/>
      <c r="W279" s="15" t="inlineStr">
        <is>
          <t xml:space="preserve">User-facing note: 'The order of these episodes is debated among interpreters.'</t>
        </is>
      </c>
    </row>
    <row r="280" ht="34" customHeight="1">
      <c r="A280" s="15" t="inlineStr">
        <is>
          <t xml:space="preserve">v0.4</t>
        </is>
      </c>
      <c r="B280" s="15" t="inlineStr">
        <is>
          <t xml:space="preserve">Bible_Journey_Canon_Map_v0_4_Prophets_Exile.xlsx</t>
        </is>
      </c>
      <c r="C280" s="15" t="inlineStr">
        <is>
          <t xml:space="preserve">CRS-04-019</t>
        </is>
      </c>
      <c r="D280" s="15">
        <v>19</v>
      </c>
      <c r="E280" s="15">
        <v>4</v>
      </c>
      <c r="F280" s="15"/>
      <c r="G280" s="15" t="inlineStr">
        <is>
          <t xml:space="preserve">Late Assyrian collapse</t>
        </is>
      </c>
      <c r="H280" s="15" t="inlineStr">
        <is>
          <t xml:space="preserve">After Thebes / before Nineveh's fall</t>
        </is>
      </c>
      <c r="I280" s="15" t="inlineStr">
        <is>
          <t xml:space="preserve">Nahum: oracle against Nineveh</t>
        </is>
      </c>
      <c r="J280" s="15" t="inlineStr">
        <is>
          <t xml:space="preserve">Nahum 1-3</t>
        </is>
      </c>
      <c r="K280" s="15" t="inlineStr">
        <is>
          <t xml:space="preserve">Debated</t>
        </is>
      </c>
      <c r="L280" s="15" t="inlineStr">
        <is>
          <t xml:space="preserve">Probable</t>
        </is>
      </c>
      <c r="M280" s="15" t="inlineStr">
        <is>
          <t xml:space="preserve">v0.3: 2 Kings 21-23; 2 Chronicles 33-35</t>
        </is>
      </c>
      <c r="N280" s="15" t="inlineStr">
        <is>
          <t xml:space="preserve">Complete + Narrative</t>
        </is>
      </c>
      <c r="O280" s="15"/>
      <c r="P280" s="15" t="inlineStr">
        <is>
          <t xml:space="preserve">No</t>
        </is>
      </c>
      <c r="Q280" s="15" t="inlineStr">
        <is>
          <t xml:space="preserve">Fall of Assyria and Judah</t>
        </is>
      </c>
      <c r="R280" s="15" t="inlineStr">
        <is>
          <t xml:space="preserve">v0.3: 2 Kings 21-23; 2 Chronicles 33-35</t>
        </is>
      </c>
      <c r="S280" s="15" t="inlineStr">
        <is>
          <t xml:space="preserve">S7</t>
        </is>
      </c>
      <c r="T280" s="15"/>
      <c r="U280" s="13" t="inlineStr">
        <is>
          <t xml:space="preserve">Draft</t>
        </is>
      </c>
      <c r="V280" s="15"/>
      <c r="W280" s="15" t="inlineStr">
        <is>
          <t xml:space="preserve">Placement uses the book's Nineveh focus and historical boundaries, with no asserted exact year.</t>
        </is>
      </c>
    </row>
    <row r="281" ht="34" customHeight="1">
      <c r="A281" s="15" t="inlineStr">
        <is>
          <t xml:space="preserve">v0.4</t>
        </is>
      </c>
      <c r="B281" s="15" t="inlineStr">
        <is>
          <t xml:space="preserve">Bible_Journey_Canon_Map_v0_4_Prophets_Exile.xlsx</t>
        </is>
      </c>
      <c r="C281" s="15" t="inlineStr">
        <is>
          <t xml:space="preserve">CRS-04-020</t>
        </is>
      </c>
      <c r="D281" s="15">
        <v>20</v>
      </c>
      <c r="E281" s="15">
        <v>4</v>
      </c>
      <c r="F281" s="15"/>
      <c r="G281" s="15" t="inlineStr">
        <is>
          <t xml:space="preserve">Josiah's reign</t>
        </is>
      </c>
      <c r="H281" s="15" t="inlineStr">
        <is>
          <t xml:space="preserve">Zephaniah 1:1 / Josiah</t>
        </is>
      </c>
      <c r="I281" s="15" t="inlineStr">
        <is>
          <t xml:space="preserve">Zephaniah: judgment and the day of the Lord</t>
        </is>
      </c>
      <c r="J281" s="15" t="inlineStr">
        <is>
          <t xml:space="preserve">Zephaniah 1-3</t>
        </is>
      </c>
      <c r="K281" s="15" t="inlineStr">
        <is>
          <t xml:space="preserve">High</t>
        </is>
      </c>
      <c r="L281" s="15" t="inlineStr">
        <is>
          <t xml:space="preserve">High</t>
        </is>
      </c>
      <c r="M281" s="15" t="inlineStr">
        <is>
          <t xml:space="preserve">v0.3: 2 Kings 22-23; 2 Chronicles 34-35</t>
        </is>
      </c>
      <c r="N281" s="15" t="inlineStr">
        <is>
          <t xml:space="preserve">Complete + Narrative</t>
        </is>
      </c>
      <c r="O281" s="15"/>
      <c r="P281" s="15" t="inlineStr">
        <is>
          <t xml:space="preserve">No</t>
        </is>
      </c>
      <c r="Q281" s="15" t="inlineStr">
        <is>
          <t xml:space="preserve">Josiah and Covenant Renewal</t>
        </is>
      </c>
      <c r="R281" s="15" t="inlineStr">
        <is>
          <t xml:space="preserve">v0.3: 2 Kings 22-23; 2 Chronicles 34-35</t>
        </is>
      </c>
      <c r="S281" s="15" t="inlineStr">
        <is>
          <t xml:space="preserve">S1; S7</t>
        </is>
      </c>
      <c r="T281" s="15"/>
      <c r="U281" s="13" t="inlineStr">
        <is>
          <t xml:space="preserve">Draft</t>
        </is>
      </c>
      <c r="V281" s="15"/>
      <c r="W281" s="15" t="inlineStr">
        <is>
          <t xml:space="preserve">The book's internal order remains canonical; only its broad reign placement is claimed.</t>
        </is>
      </c>
    </row>
    <row r="282" ht="34" customHeight="1">
      <c r="A282" s="15" t="inlineStr">
        <is>
          <t xml:space="preserve">v0.4</t>
        </is>
      </c>
      <c r="B282" s="15" t="inlineStr">
        <is>
          <t xml:space="preserve">Bible_Journey_Canon_Map_v0_4_Prophets_Exile.xlsx</t>
        </is>
      </c>
      <c r="C282" s="15" t="inlineStr">
        <is>
          <t xml:space="preserve">CRS-04-021</t>
        </is>
      </c>
      <c r="D282" s="15">
        <v>21</v>
      </c>
      <c r="E282" s="15">
        <v>4</v>
      </c>
      <c r="F282" s="15"/>
      <c r="G282" s="15" t="inlineStr">
        <is>
          <t xml:space="preserve">Josiah's reign</t>
        </is>
      </c>
      <c r="H282" s="15" t="inlineStr">
        <is>
          <t xml:space="preserve">13th year of Josiah / Jeremiah 1:2</t>
        </is>
      </c>
      <c r="I282" s="15" t="inlineStr">
        <is>
          <t xml:space="preserve">Jeremiah's call</t>
        </is>
      </c>
      <c r="J282" s="15" t="inlineStr">
        <is>
          <t xml:space="preserve">Jeremiah 1</t>
        </is>
      </c>
      <c r="K282" s="15" t="inlineStr">
        <is>
          <t xml:space="preserve">High</t>
        </is>
      </c>
      <c r="L282" s="15" t="inlineStr">
        <is>
          <t xml:space="preserve">High</t>
        </is>
      </c>
      <c r="M282" s="15" t="inlineStr">
        <is>
          <t xml:space="preserve">v0.3: 2 Kings 22; 2 Chronicles 34</t>
        </is>
      </c>
      <c r="N282" s="15" t="inlineStr">
        <is>
          <t xml:space="preserve">Complete + Narrative</t>
        </is>
      </c>
      <c r="O282" s="15"/>
      <c r="P282" s="15" t="inlineStr">
        <is>
          <t xml:space="preserve">No</t>
        </is>
      </c>
      <c r="Q282" s="15" t="inlineStr">
        <is>
          <t xml:space="preserve">Jeremiah: From Reform to Exile</t>
        </is>
      </c>
      <c r="R282" s="15" t="inlineStr">
        <is>
          <t xml:space="preserve">v0.3: 2 Kings 22; 2 Chronicles 34</t>
        </is>
      </c>
      <c r="S282" s="15" t="inlineStr">
        <is>
          <t xml:space="preserve">S1; S5</t>
        </is>
      </c>
      <c r="T282" s="15"/>
      <c r="U282" s="13" t="inlineStr">
        <is>
          <t xml:space="preserve">Draft</t>
        </is>
      </c>
      <c r="V282" s="15"/>
      <c r="W282" s="15" t="inlineStr">
        <is>
          <t xml:space="preserve">Stable anchor for all later Jeremiah placement notes.</t>
        </is>
      </c>
    </row>
    <row r="283" ht="34" customHeight="1">
      <c r="A283" s="15" t="inlineStr">
        <is>
          <t xml:space="preserve">v0.4</t>
        </is>
      </c>
      <c r="B283" s="15" t="inlineStr">
        <is>
          <t xml:space="preserve">Bible_Journey_Canon_Map_v0_4_Prophets_Exile.xlsx</t>
        </is>
      </c>
      <c r="C283" s="15" t="inlineStr">
        <is>
          <t xml:space="preserve">CRS-04-022</t>
        </is>
      </c>
      <c r="D283" s="15">
        <v>22</v>
      </c>
      <c r="E283" s="15">
        <v>4</v>
      </c>
      <c r="F283" s="15"/>
      <c r="G283" s="15" t="inlineStr">
        <is>
          <t xml:space="preserve">Josiah's reign</t>
        </is>
      </c>
      <c r="H283" s="15" t="inlineStr">
        <is>
          <t xml:space="preserve">Early ministry / pre-exilic Judah</t>
        </is>
      </c>
      <c r="I283" s="15" t="inlineStr">
        <is>
          <t xml:space="preserve">Jeremiah's early indictment of Judah</t>
        </is>
      </c>
      <c r="J283" s="15" t="inlineStr">
        <is>
          <t xml:space="preserve">Jeremiah 2-6</t>
        </is>
      </c>
      <c r="K283" s="15" t="inlineStr">
        <is>
          <t xml:space="preserve">Debated</t>
        </is>
      </c>
      <c r="L283" s="15" t="inlineStr">
        <is>
          <t xml:space="preserve">Probable</t>
        </is>
      </c>
      <c r="M283" s="15" t="inlineStr">
        <is>
          <t xml:space="preserve">v0.3: 2 Kings 22-23; 2 Chronicles 34-35</t>
        </is>
      </c>
      <c r="N283" s="15" t="inlineStr">
        <is>
          <t xml:space="preserve">Complete + Narrative</t>
        </is>
      </c>
      <c r="O283" s="15"/>
      <c r="P283" s="15" t="inlineStr">
        <is>
          <t xml:space="preserve">No</t>
        </is>
      </c>
      <c r="Q283" s="15" t="inlineStr">
        <is>
          <t xml:space="preserve">Jeremiah: From Reform to Exile</t>
        </is>
      </c>
      <c r="R283" s="15" t="inlineStr">
        <is>
          <t xml:space="preserve">v0.3: 2 Kings 22-23; 2 Chronicles 34-35</t>
        </is>
      </c>
      <c r="S283" s="15" t="inlineStr">
        <is>
          <t xml:space="preserve">S1; S5; S7</t>
        </is>
      </c>
      <c r="T283" s="15"/>
      <c r="U283" s="13" t="inlineStr">
        <is>
          <t xml:space="preserve">Draft</t>
        </is>
      </c>
      <c r="V283" s="15"/>
      <c r="W283" s="15" t="inlineStr">
        <is>
          <t xml:space="preserve">This is deliberately marked 'Probable' at collection level.</t>
        </is>
      </c>
    </row>
    <row r="284" ht="34" customHeight="1">
      <c r="A284" s="15" t="inlineStr">
        <is>
          <t xml:space="preserve">v0.4</t>
        </is>
      </c>
      <c r="B284" s="15" t="inlineStr">
        <is>
          <t xml:space="preserve">Bible_Journey_Canon_Map_v0_4_Prophets_Exile.xlsx</t>
        </is>
      </c>
      <c r="C284" s="15" t="inlineStr">
        <is>
          <t xml:space="preserve">CRS-04-023</t>
        </is>
      </c>
      <c r="D284" s="15">
        <v>23</v>
      </c>
      <c r="E284" s="15">
        <v>4</v>
      </c>
      <c r="F284" s="15"/>
      <c r="G284" s="15" t="inlineStr">
        <is>
          <t xml:space="preserve">Jehoiakim's accession and early reign</t>
        </is>
      </c>
      <c r="H284" s="15" t="inlineStr">
        <is>
          <t xml:space="preserve">Beginning of Jehoiakim / Jeremiah 26</t>
        </is>
      </c>
      <c r="I284" s="15" t="inlineStr">
        <is>
          <t xml:space="preserve">Jeremiah's temple sermon and trial</t>
        </is>
      </c>
      <c r="J284" s="15" t="inlineStr">
        <is>
          <t xml:space="preserve">Jeremiah 26</t>
        </is>
      </c>
      <c r="K284" s="15" t="inlineStr">
        <is>
          <t xml:space="preserve">High</t>
        </is>
      </c>
      <c r="L284" s="15" t="inlineStr">
        <is>
          <t xml:space="preserve">High</t>
        </is>
      </c>
      <c r="M284" s="15" t="inlineStr">
        <is>
          <t xml:space="preserve">v0.3: 2 Kings 23:36-24:7; 2 Chronicles 36:5-8</t>
        </is>
      </c>
      <c r="N284" s="15" t="inlineStr">
        <is>
          <t xml:space="preserve">Complete + Narrative</t>
        </is>
      </c>
      <c r="O284" s="15"/>
      <c r="P284" s="15" t="inlineStr">
        <is>
          <t xml:space="preserve">No</t>
        </is>
      </c>
      <c r="Q284" s="15" t="inlineStr">
        <is>
          <t xml:space="preserve">Jeremiah: From Reform to Exile</t>
        </is>
      </c>
      <c r="R284" s="15" t="inlineStr">
        <is>
          <t xml:space="preserve">v0.3: 2 Kings 23:36-24:7; 2 Chronicles 36:5-8</t>
        </is>
      </c>
      <c r="S284" s="15" t="inlineStr">
        <is>
          <t xml:space="preserve">S1; S5; S6</t>
        </is>
      </c>
      <c r="T284" s="15"/>
      <c r="U284" s="13" t="inlineStr">
        <is>
          <t xml:space="preserve">Draft</t>
        </is>
      </c>
      <c r="V284" s="15"/>
      <c r="W284" s="15" t="inlineStr">
        <is>
          <t xml:space="preserve">Keep distinct from the related but not simply identical Temple Sermon material in Jeremiah 7.</t>
        </is>
      </c>
    </row>
    <row r="285" ht="34" customHeight="1">
      <c r="A285" s="15" t="inlineStr">
        <is>
          <t xml:space="preserve">v0.4</t>
        </is>
      </c>
      <c r="B285" s="15" t="inlineStr">
        <is>
          <t xml:space="preserve">Bible_Journey_Canon_Map_v0_4_Prophets_Exile.xlsx</t>
        </is>
      </c>
      <c r="C285" s="15" t="inlineStr">
        <is>
          <t xml:space="preserve">CRS-04-024</t>
        </is>
      </c>
      <c r="D285" s="15">
        <v>24</v>
      </c>
      <c r="E285" s="15">
        <v>4</v>
      </c>
      <c r="F285" s="15"/>
      <c r="G285" s="15" t="inlineStr">
        <is>
          <t xml:space="preserve">Jehoiakim's reign</t>
        </is>
      </c>
      <c r="H285" s="15" t="inlineStr">
        <is>
          <t xml:space="preserve">Jehoiakim-era Judah</t>
        </is>
      </c>
      <c r="I285" s="15" t="inlineStr">
        <is>
          <t xml:space="preserve">Jeremiah's temple and covenant warnings</t>
        </is>
      </c>
      <c r="J285" s="15" t="inlineStr">
        <is>
          <t xml:space="preserve">Jeremiah 7-10</t>
        </is>
      </c>
      <c r="K285" s="15" t="inlineStr">
        <is>
          <t xml:space="preserve">Debated</t>
        </is>
      </c>
      <c r="L285" s="15" t="inlineStr">
        <is>
          <t xml:space="preserve">Probable</t>
        </is>
      </c>
      <c r="M285" s="15" t="inlineStr">
        <is>
          <t xml:space="preserve">v0.3: 2 Kings 23:36-24:7</t>
        </is>
      </c>
      <c r="N285" s="15" t="inlineStr">
        <is>
          <t xml:space="preserve">Complete + Narrative</t>
        </is>
      </c>
      <c r="O285" s="15"/>
      <c r="P285" s="15" t="inlineStr">
        <is>
          <t xml:space="preserve">No</t>
        </is>
      </c>
      <c r="Q285" s="15" t="inlineStr">
        <is>
          <t xml:space="preserve">Jeremiah: From Reform to Exile</t>
        </is>
      </c>
      <c r="R285" s="15" t="inlineStr">
        <is>
          <t xml:space="preserve">v0.3: 2 Kings 23:36-24:7</t>
        </is>
      </c>
      <c r="S285" s="15" t="inlineStr">
        <is>
          <t xml:space="preserve">S5; S6; S7</t>
        </is>
      </c>
      <c r="T285" s="15"/>
      <c r="U285" s="13" t="inlineStr">
        <is>
          <t xml:space="preserve">Draft</t>
        </is>
      </c>
      <c r="V285" s="15"/>
      <c r="W285" s="15" t="inlineStr">
        <is>
          <t xml:space="preserve">The app must distinguish literary relationship from identical historical occasion.</t>
        </is>
      </c>
    </row>
    <row r="286" ht="34" customHeight="1">
      <c r="A286" s="15" t="inlineStr">
        <is>
          <t xml:space="preserve">v0.4</t>
        </is>
      </c>
      <c r="B286" s="15" t="inlineStr">
        <is>
          <t xml:space="preserve">Bible_Journey_Canon_Map_v0_4_Prophets_Exile.xlsx</t>
        </is>
      </c>
      <c r="C286" s="15" t="inlineStr">
        <is>
          <t xml:space="preserve">CRS-04-025</t>
        </is>
      </c>
      <c r="D286" s="15">
        <v>25</v>
      </c>
      <c r="E286" s="15">
        <v>4</v>
      </c>
      <c r="F286" s="15"/>
      <c r="G286" s="15" t="inlineStr">
        <is>
          <t xml:space="preserve">Jehoiakim's reign</t>
        </is>
      </c>
      <c r="H286" s="15" t="inlineStr">
        <is>
          <t xml:space="preserve">Jehoiakim-era Judah</t>
        </is>
      </c>
      <c r="I286" s="15" t="inlineStr">
        <is>
          <t xml:space="preserve">Jeremiah: conflict, lament, and symbolic acts</t>
        </is>
      </c>
      <c r="J286" s="15" t="inlineStr">
        <is>
          <t xml:space="preserve">Jeremiah 11-20</t>
        </is>
      </c>
      <c r="K286" s="15" t="inlineStr">
        <is>
          <t xml:space="preserve">Debated</t>
        </is>
      </c>
      <c r="L286" s="15" t="inlineStr">
        <is>
          <t xml:space="preserve">Probable</t>
        </is>
      </c>
      <c r="M286" s="15" t="inlineStr">
        <is>
          <t xml:space="preserve">v0.3: 2 Kings 23:36-24:7</t>
        </is>
      </c>
      <c r="N286" s="15" t="inlineStr">
        <is>
          <t xml:space="preserve">Complete + Narrative</t>
        </is>
      </c>
      <c r="O286" s="15"/>
      <c r="P286" s="15" t="inlineStr">
        <is>
          <t xml:space="preserve">No</t>
        </is>
      </c>
      <c r="Q286" s="15" t="inlineStr">
        <is>
          <t xml:space="preserve">Jeremiah: From Reform to Exile</t>
        </is>
      </c>
      <c r="R286" s="15" t="inlineStr">
        <is>
          <t xml:space="preserve">v0.3: 2 Kings 23:36-24:7</t>
        </is>
      </c>
      <c r="S286" s="15" t="inlineStr">
        <is>
          <t xml:space="preserve">S5; S6; S7</t>
        </is>
      </c>
      <c r="T286" s="15"/>
      <c r="U286" s="13" t="inlineStr">
        <is>
          <t xml:space="preserve">Draft</t>
        </is>
      </c>
      <c r="V286" s="15"/>
      <c r="W286" s="15" t="inlineStr">
        <is>
          <t xml:space="preserve">No individual oracle should inherit a false precise date from the block label.</t>
        </is>
      </c>
    </row>
    <row r="287" ht="34" customHeight="1">
      <c r="A287" s="15" t="inlineStr">
        <is>
          <t xml:space="preserve">v0.4</t>
        </is>
      </c>
      <c r="B287" s="15" t="inlineStr">
        <is>
          <t xml:space="preserve">Bible_Journey_Canon_Map_v0_4_Prophets_Exile.xlsx</t>
        </is>
      </c>
      <c r="C287" s="15" t="inlineStr">
        <is>
          <t xml:space="preserve">CRS-04-026</t>
        </is>
      </c>
      <c r="D287" s="15">
        <v>26</v>
      </c>
      <c r="E287" s="15">
        <v>4</v>
      </c>
      <c r="F287" s="15"/>
      <c r="G287" s="15" t="inlineStr">
        <is>
          <t xml:space="preserve">Jehoiakim's reign</t>
        </is>
      </c>
      <c r="H287" s="15" t="inlineStr">
        <is>
          <t xml:space="preserve">Royal house oracles</t>
        </is>
      </c>
      <c r="I287" s="15" t="inlineStr">
        <is>
          <t xml:space="preserve">Jeremiah: warnings to Judah's kings</t>
        </is>
      </c>
      <c r="J287" s="15" t="inlineStr">
        <is>
          <t xml:space="preserve">Jeremiah 22</t>
        </is>
      </c>
      <c r="K287" s="15" t="inlineStr">
        <is>
          <t xml:space="preserve">Debated</t>
        </is>
      </c>
      <c r="L287" s="15" t="inlineStr">
        <is>
          <t xml:space="preserve">Probable</t>
        </is>
      </c>
      <c r="M287" s="15" t="inlineStr">
        <is>
          <t xml:space="preserve">v0.3: 2 Kings 23-24; 2 Chronicles 36</t>
        </is>
      </c>
      <c r="N287" s="15" t="inlineStr">
        <is>
          <t xml:space="preserve">Complete + Narrative</t>
        </is>
      </c>
      <c r="O287" s="15"/>
      <c r="P287" s="15" t="inlineStr">
        <is>
          <t xml:space="preserve">No</t>
        </is>
      </c>
      <c r="Q287" s="15" t="inlineStr">
        <is>
          <t xml:space="preserve">Jeremiah: From Reform to Exile</t>
        </is>
      </c>
      <c r="R287" s="15" t="inlineStr">
        <is>
          <t xml:space="preserve">v0.3: 2 Kings 23-24; 2 Chronicles 36</t>
        </is>
      </c>
      <c r="S287" s="15" t="inlineStr">
        <is>
          <t xml:space="preserve">S1; S5; S6; S7</t>
        </is>
      </c>
      <c r="T287" s="15"/>
      <c r="U287" s="13" t="inlineStr">
        <is>
          <t xml:space="preserve">Draft</t>
        </is>
      </c>
      <c r="V287" s="15"/>
      <c r="W287" s="15" t="inlineStr">
        <is>
          <t xml:space="preserve">Use 'royal-house collection' rather than a date claim.</t>
        </is>
      </c>
    </row>
    <row r="288" ht="34" customHeight="1">
      <c r="A288" s="15" t="inlineStr">
        <is>
          <t xml:space="preserve">v0.4</t>
        </is>
      </c>
      <c r="B288" s="15" t="inlineStr">
        <is>
          <t xml:space="preserve">Bible_Journey_Canon_Map_v0_4_Prophets_Exile.xlsx</t>
        </is>
      </c>
      <c r="C288" s="15" t="inlineStr">
        <is>
          <t xml:space="preserve">CRS-04-027</t>
        </is>
      </c>
      <c r="D288" s="15">
        <v>27</v>
      </c>
      <c r="E288" s="15">
        <v>4</v>
      </c>
      <c r="F288" s="15"/>
      <c r="G288" s="15" t="inlineStr">
        <is>
          <t xml:space="preserve">Jehoiakim's reign</t>
        </is>
      </c>
      <c r="H288" s="15" t="inlineStr">
        <is>
          <t xml:space="preserve">Rechabites / Jeremiah 35</t>
        </is>
      </c>
      <c r="I288" s="15" t="inlineStr">
        <is>
          <t xml:space="preserve">Jeremiah and the Rechabites</t>
        </is>
      </c>
      <c r="J288" s="15" t="inlineStr">
        <is>
          <t xml:space="preserve">Jeremiah 35</t>
        </is>
      </c>
      <c r="K288" s="15" t="inlineStr">
        <is>
          <t xml:space="preserve">High</t>
        </is>
      </c>
      <c r="L288" s="15" t="inlineStr">
        <is>
          <t xml:space="preserve">High</t>
        </is>
      </c>
      <c r="M288" s="15" t="inlineStr">
        <is>
          <t xml:space="preserve">v0.3: 2 Kings 23:36-24:7</t>
        </is>
      </c>
      <c r="N288" s="15" t="inlineStr">
        <is>
          <t xml:space="preserve">Complete + Narrative</t>
        </is>
      </c>
      <c r="O288" s="15"/>
      <c r="P288" s="15" t="inlineStr">
        <is>
          <t xml:space="preserve">No</t>
        </is>
      </c>
      <c r="Q288" s="15" t="inlineStr">
        <is>
          <t xml:space="preserve">Jeremiah: From Reform to Exile</t>
        </is>
      </c>
      <c r="R288" s="15" t="inlineStr">
        <is>
          <t xml:space="preserve">v0.3: 2 Kings 23:36-24:7</t>
        </is>
      </c>
      <c r="S288" s="15" t="inlineStr">
        <is>
          <t xml:space="preserve">S1; S5</t>
        </is>
      </c>
      <c r="T288" s="15"/>
      <c r="U288" s="13" t="inlineStr">
        <is>
          <t xml:space="preserve">Draft</t>
        </is>
      </c>
      <c r="V288" s="15"/>
      <c r="W288" s="15" t="inlineStr">
        <is>
          <t xml:space="preserve">High-confidence placement from internal dating.</t>
        </is>
      </c>
    </row>
    <row r="289" ht="34" customHeight="1">
      <c r="A289" s="15" t="inlineStr">
        <is>
          <t xml:space="preserve">v0.4</t>
        </is>
      </c>
      <c r="B289" s="15" t="inlineStr">
        <is>
          <t xml:space="preserve">Bible_Journey_Canon_Map_v0_4_Prophets_Exile.xlsx</t>
        </is>
      </c>
      <c r="C289" s="15" t="inlineStr">
        <is>
          <t xml:space="preserve">CRS-04-028</t>
        </is>
      </c>
      <c r="D289" s="15">
        <v>28</v>
      </c>
      <c r="E289" s="15">
        <v>4</v>
      </c>
      <c r="F289" s="15"/>
      <c r="G289" s="15" t="inlineStr">
        <is>
          <t xml:space="preserve">Jehoiakim's fourth year</t>
        </is>
      </c>
      <c r="H289" s="15" t="inlineStr">
        <is>
          <t xml:space="preserve">605 BCE horizon / Jeremiah 25, 36, 45</t>
        </is>
      </c>
      <c r="I289" s="15" t="inlineStr">
        <is>
          <t xml:space="preserve">Jeremiah's scroll, the seventy years, and Baruch</t>
        </is>
      </c>
      <c r="J289" s="15" t="inlineStr">
        <is>
          <t xml:space="preserve">Jeremiah 25; 36; 45</t>
        </is>
      </c>
      <c r="K289" s="15" t="inlineStr">
        <is>
          <t xml:space="preserve">High</t>
        </is>
      </c>
      <c r="L289" s="15" t="inlineStr">
        <is>
          <t xml:space="preserve">High</t>
        </is>
      </c>
      <c r="M289" s="15" t="inlineStr">
        <is>
          <t xml:space="preserve">v0.3: 2 Kings 24:1-7; 2 Chronicles 36:5-8</t>
        </is>
      </c>
      <c r="N289" s="15" t="inlineStr">
        <is>
          <t xml:space="preserve">Complete + Narrative</t>
        </is>
      </c>
      <c r="O289" s="15"/>
      <c r="P289" s="15" t="inlineStr">
        <is>
          <t xml:space="preserve">Compare</t>
        </is>
      </c>
      <c r="Q289" s="15" t="inlineStr">
        <is>
          <t xml:space="preserve">Jeremiah: From Reform to Exile</t>
        </is>
      </c>
      <c r="R289" s="15" t="inlineStr">
        <is>
          <t xml:space="preserve">v0.3: 2 Kings 24:1-7; 2 Chronicles 36:5-8</t>
        </is>
      </c>
      <c r="S289" s="15" t="inlineStr">
        <is>
          <t xml:space="preserve">S1; S5; S6</t>
        </is>
      </c>
      <c r="T289" s="15"/>
      <c r="U289" s="13" t="inlineStr">
        <is>
          <t xml:space="preserve">Draft</t>
        </is>
      </c>
      <c r="V289" s="15"/>
      <c r="W289" s="15" t="inlineStr">
        <is>
          <t xml:space="preserve">The UI should show why the three chapters are together without merging their text.</t>
        </is>
      </c>
    </row>
    <row r="290" ht="34" customHeight="1">
      <c r="A290" s="15" t="inlineStr">
        <is>
          <t xml:space="preserve">v0.4</t>
        </is>
      </c>
      <c r="B290" s="15" t="inlineStr">
        <is>
          <t xml:space="preserve">Bible_Journey_Canon_Map_v0_4_Prophets_Exile.xlsx</t>
        </is>
      </c>
      <c r="C290" s="15" t="inlineStr">
        <is>
          <t xml:space="preserve">CRS-04-029</t>
        </is>
      </c>
      <c r="D290" s="15">
        <v>29</v>
      </c>
      <c r="E290" s="15">
        <v>4</v>
      </c>
      <c r="F290" s="15"/>
      <c r="G290" s="15" t="inlineStr">
        <is>
          <t xml:space="preserve">Jehoiakim and the approach of Babylon</t>
        </is>
      </c>
      <c r="H290" s="15" t="inlineStr">
        <is>
          <t xml:space="preserve">Prophetic collection</t>
        </is>
      </c>
      <c r="I290" s="15" t="inlineStr">
        <is>
          <t xml:space="preserve">Jeremiah: oracles concerning the nations</t>
        </is>
      </c>
      <c r="J290" s="15" t="inlineStr">
        <is>
          <t xml:space="preserve">Jeremiah 46-51</t>
        </is>
      </c>
      <c r="K290" s="15" t="inlineStr">
        <is>
          <t xml:space="preserve">Debated</t>
        </is>
      </c>
      <c r="L290" s="15" t="inlineStr">
        <is>
          <t xml:space="preserve">Probable</t>
        </is>
      </c>
      <c r="M290" s="15" t="inlineStr">
        <is>
          <t xml:space="preserve">v0.3: 2 Kings 24</t>
        </is>
      </c>
      <c r="N290" s="15" t="inlineStr">
        <is>
          <t xml:space="preserve">Complete only by default</t>
        </is>
      </c>
      <c r="O290" s="15"/>
      <c r="P290" s="15" t="inlineStr">
        <is>
          <t xml:space="preserve">No</t>
        </is>
      </c>
      <c r="Q290" s="15" t="inlineStr">
        <is>
          <t xml:space="preserve">Jeremiah: From Reform to Exile</t>
        </is>
      </c>
      <c r="R290" s="15" t="inlineStr">
        <is>
          <t xml:space="preserve">v0.3: 2 Kings 24</t>
        </is>
      </c>
      <c r="S290" s="15" t="inlineStr">
        <is>
          <t xml:space="preserve">S5; S6; S7</t>
        </is>
      </c>
      <c r="T290" s="15"/>
      <c r="U290" s="13" t="inlineStr">
        <is>
          <t xml:space="preserve">Draft</t>
        </is>
      </c>
      <c r="V290" s="15"/>
      <c r="W290" s="15" t="inlineStr">
        <is>
          <t xml:space="preserve">This is a designed test case for Complete vs Narrative Flow. No false unified delivery-date is claimed.</t>
        </is>
      </c>
    </row>
    <row r="291" ht="34" customHeight="1">
      <c r="A291" s="15" t="inlineStr">
        <is>
          <t xml:space="preserve">v0.4</t>
        </is>
      </c>
      <c r="B291" s="15" t="inlineStr">
        <is>
          <t xml:space="preserve">Bible_Journey_Canon_Map_v0_4_Prophets_Exile.xlsx</t>
        </is>
      </c>
      <c r="C291" s="15" t="inlineStr">
        <is>
          <t xml:space="preserve">CRS-04-030</t>
        </is>
      </c>
      <c r="D291" s="15">
        <v>30</v>
      </c>
      <c r="E291" s="15">
        <v>4</v>
      </c>
      <c r="F291" s="15"/>
      <c r="G291" s="15" t="inlineStr">
        <is>
          <t xml:space="preserve">Zedekiah's reign</t>
        </is>
      </c>
      <c r="H291" s="15" t="inlineStr">
        <is>
          <t xml:space="preserve">Zedekiah's delegation / Jeremiah 21</t>
        </is>
      </c>
      <c r="I291" s="15" t="inlineStr">
        <is>
          <t xml:space="preserve">Jeremiah: Zedekiah seeks counsel</t>
        </is>
      </c>
      <c r="J291" s="15" t="inlineStr">
        <is>
          <t xml:space="preserve">Jeremiah 21</t>
        </is>
      </c>
      <c r="K291" s="15" t="inlineStr">
        <is>
          <t xml:space="preserve">High</t>
        </is>
      </c>
      <c r="L291" s="15" t="inlineStr">
        <is>
          <t xml:space="preserve">High</t>
        </is>
      </c>
      <c r="M291" s="15" t="inlineStr">
        <is>
          <t xml:space="preserve">v0.3: 2 Kings 24:18-25:7; 2 Chronicles 36:11-14</t>
        </is>
      </c>
      <c r="N291" s="15" t="inlineStr">
        <is>
          <t xml:space="preserve">Complete + Narrative</t>
        </is>
      </c>
      <c r="O291" s="15"/>
      <c r="P291" s="15" t="inlineStr">
        <is>
          <t xml:space="preserve">No</t>
        </is>
      </c>
      <c r="Q291" s="15" t="inlineStr">
        <is>
          <t xml:space="preserve">Jeremiah: From Reform to Exile</t>
        </is>
      </c>
      <c r="R291" s="15" t="inlineStr">
        <is>
          <t xml:space="preserve">v0.3: 2 Kings 24:18-25:7; 2 Chronicles 36:11-14</t>
        </is>
      </c>
      <c r="S291" s="15" t="inlineStr">
        <is>
          <t xml:space="preserve">S1; S5</t>
        </is>
      </c>
      <c r="T291" s="15"/>
      <c r="U291" s="13" t="inlineStr">
        <is>
          <t xml:space="preserve">Draft</t>
        </is>
      </c>
      <c r="V291" s="15"/>
      <c r="W291" s="15" t="inlineStr">
        <is>
          <t xml:space="preserve">Distinct event anchor.</t>
        </is>
      </c>
    </row>
    <row r="292" ht="34" customHeight="1">
      <c r="A292" s="15" t="inlineStr">
        <is>
          <t xml:space="preserve">v0.4</t>
        </is>
      </c>
      <c r="B292" s="15" t="inlineStr">
        <is>
          <t xml:space="preserve">Bible_Journey_Canon_Map_v0_4_Prophets_Exile.xlsx</t>
        </is>
      </c>
      <c r="C292" s="15" t="inlineStr">
        <is>
          <t xml:space="preserve">CRS-04-031</t>
        </is>
      </c>
      <c r="D292" s="15">
        <v>31</v>
      </c>
      <c r="E292" s="15">
        <v>4</v>
      </c>
      <c r="F292" s="15"/>
      <c r="G292" s="15" t="inlineStr">
        <is>
          <t xml:space="preserve">Zedekiah's reign</t>
        </is>
      </c>
      <c r="H292" s="15" t="inlineStr">
        <is>
          <t xml:space="preserve">Late monarchic prophetic collection</t>
        </is>
      </c>
      <c r="I292" s="15" t="inlineStr">
        <is>
          <t xml:space="preserve">Jeremiah: false shepherds and future hope</t>
        </is>
      </c>
      <c r="J292" s="15" t="inlineStr">
        <is>
          <t xml:space="preserve">Jeremiah 23</t>
        </is>
      </c>
      <c r="K292" s="15" t="inlineStr">
        <is>
          <t xml:space="preserve">Debated</t>
        </is>
      </c>
      <c r="L292" s="15" t="inlineStr">
        <is>
          <t xml:space="preserve">Probable</t>
        </is>
      </c>
      <c r="M292" s="15" t="inlineStr">
        <is>
          <t xml:space="preserve">v0.3: 2 Kings 24-25; 2 Chronicles 36</t>
        </is>
      </c>
      <c r="N292" s="15" t="inlineStr">
        <is>
          <t xml:space="preserve">Complete + Narrative</t>
        </is>
      </c>
      <c r="O292" s="15"/>
      <c r="P292" s="15" t="inlineStr">
        <is>
          <t xml:space="preserve">No</t>
        </is>
      </c>
      <c r="Q292" s="15" t="inlineStr">
        <is>
          <t xml:space="preserve">Jeremiah: From Reform to Exile</t>
        </is>
      </c>
      <c r="R292" s="15" t="inlineStr">
        <is>
          <t xml:space="preserve">v0.3: 2 Kings 24-25; 2 Chronicles 36</t>
        </is>
      </c>
      <c r="S292" s="15" t="inlineStr">
        <is>
          <t xml:space="preserve">S5; S6; S7</t>
        </is>
      </c>
      <c r="T292" s="15"/>
      <c r="U292" s="13" t="inlineStr">
        <is>
          <t xml:space="preserve">Draft</t>
        </is>
      </c>
      <c r="V292" s="15"/>
      <c r="W292" s="15" t="inlineStr">
        <is>
          <t xml:space="preserve">Avoid treating the chapter as a single sermon date.</t>
        </is>
      </c>
    </row>
    <row r="293" ht="34" customHeight="1">
      <c r="A293" s="15" t="inlineStr">
        <is>
          <t xml:space="preserve">v0.4</t>
        </is>
      </c>
      <c r="B293" s="15" t="inlineStr">
        <is>
          <t xml:space="preserve">Bible_Journey_Canon_Map_v0_4_Prophets_Exile.xlsx</t>
        </is>
      </c>
      <c r="C293" s="15" t="inlineStr">
        <is>
          <t xml:space="preserve">CRS-04-032</t>
        </is>
      </c>
      <c r="D293" s="15">
        <v>32</v>
      </c>
      <c r="E293" s="15">
        <v>4</v>
      </c>
      <c r="F293" s="15"/>
      <c r="G293" s="15" t="inlineStr">
        <is>
          <t xml:space="preserve">After the first exile / Zedekiah</t>
        </is>
      </c>
      <c r="H293" s="15" t="inlineStr">
        <is>
          <t xml:space="preserve">597 BCE / Jeremiah 24</t>
        </is>
      </c>
      <c r="I293" s="15" t="inlineStr">
        <is>
          <t xml:space="preserve">Jeremiah: the baskets of figs</t>
        </is>
      </c>
      <c r="J293" s="15" t="inlineStr">
        <is>
          <t xml:space="preserve">Jeremiah 24</t>
        </is>
      </c>
      <c r="K293" s="15" t="inlineStr">
        <is>
          <t xml:space="preserve">High</t>
        </is>
      </c>
      <c r="L293" s="15" t="inlineStr">
        <is>
          <t xml:space="preserve">High</t>
        </is>
      </c>
      <c r="M293" s="15" t="inlineStr">
        <is>
          <t xml:space="preserve">v0.3: 2 Kings 24:10-17; 2 Chronicles 36:9-10</t>
        </is>
      </c>
      <c r="N293" s="15" t="inlineStr">
        <is>
          <t xml:space="preserve">Complete + Narrative</t>
        </is>
      </c>
      <c r="O293" s="15"/>
      <c r="P293" s="15" t="inlineStr">
        <is>
          <t xml:space="preserve">No</t>
        </is>
      </c>
      <c r="Q293" s="15" t="inlineStr">
        <is>
          <t xml:space="preserve">Jeremiah: From Reform to Exile</t>
        </is>
      </c>
      <c r="R293" s="15" t="inlineStr">
        <is>
          <t xml:space="preserve">v0.3: 2 Kings 24:10-17; 2 Chronicles 36:9-10</t>
        </is>
      </c>
      <c r="S293" s="15" t="inlineStr">
        <is>
          <t xml:space="preserve">S1; S5</t>
        </is>
      </c>
      <c r="T293" s="15"/>
      <c r="U293" s="13" t="inlineStr">
        <is>
          <t xml:space="preserve">Draft</t>
        </is>
      </c>
      <c r="V293" s="15"/>
      <c r="W293" s="15" t="inlineStr">
        <is>
          <t xml:space="preserve">High confidence due to internal narrative anchor.</t>
        </is>
      </c>
    </row>
    <row r="294" ht="34" customHeight="1">
      <c r="A294" s="15" t="inlineStr">
        <is>
          <t xml:space="preserve">v0.4</t>
        </is>
      </c>
      <c r="B294" s="15" t="inlineStr">
        <is>
          <t xml:space="preserve">Bible_Journey_Canon_Map_v0_4_Prophets_Exile.xlsx</t>
        </is>
      </c>
      <c r="C294" s="15" t="inlineStr">
        <is>
          <t xml:space="preserve">CRS-04-033</t>
        </is>
      </c>
      <c r="D294" s="15">
        <v>33</v>
      </c>
      <c r="E294" s="15">
        <v>4</v>
      </c>
      <c r="F294" s="15"/>
      <c r="G294" s="15" t="inlineStr">
        <is>
          <t xml:space="preserve">Zedekiah's reign</t>
        </is>
      </c>
      <c r="H294" s="15" t="inlineStr">
        <is>
          <t xml:space="preserve">International yokes / Jeremiah 27</t>
        </is>
      </c>
      <c r="I294" s="15" t="inlineStr">
        <is>
          <t xml:space="preserve">Jeremiah: the yoke and international submission</t>
        </is>
      </c>
      <c r="J294" s="15" t="inlineStr">
        <is>
          <t xml:space="preserve">Jeremiah 27</t>
        </is>
      </c>
      <c r="K294" s="15" t="inlineStr">
        <is>
          <t xml:space="preserve">High</t>
        </is>
      </c>
      <c r="L294" s="15" t="inlineStr">
        <is>
          <t xml:space="preserve">High</t>
        </is>
      </c>
      <c r="M294" s="15" t="inlineStr">
        <is>
          <t xml:space="preserve">v0.3: 2 Kings 24:18-25:7</t>
        </is>
      </c>
      <c r="N294" s="15" t="inlineStr">
        <is>
          <t xml:space="preserve">Complete + Narrative</t>
        </is>
      </c>
      <c r="O294" s="15"/>
      <c r="P294" s="15" t="inlineStr">
        <is>
          <t xml:space="preserve">No</t>
        </is>
      </c>
      <c r="Q294" s="15" t="inlineStr">
        <is>
          <t xml:space="preserve">Jeremiah: From Reform to Exile</t>
        </is>
      </c>
      <c r="R294" s="15" t="inlineStr">
        <is>
          <t xml:space="preserve">v0.3: 2 Kings 24:18-25:7</t>
        </is>
      </c>
      <c r="S294" s="15" t="inlineStr">
        <is>
          <t xml:space="preserve">S1; S5</t>
        </is>
      </c>
      <c r="T294" s="15"/>
      <c r="U294" s="13" t="inlineStr">
        <is>
          <t xml:space="preserve">Draft</t>
        </is>
      </c>
      <c r="V294" s="15"/>
      <c r="W294" s="15" t="inlineStr">
        <is>
          <t xml:space="preserve">Keep oracle and narrative framing intact.</t>
        </is>
      </c>
    </row>
    <row r="295" ht="34" customHeight="1">
      <c r="A295" s="15" t="inlineStr">
        <is>
          <t xml:space="preserve">v0.4</t>
        </is>
      </c>
      <c r="B295" s="15" t="inlineStr">
        <is>
          <t xml:space="preserve">Bible_Journey_Canon_Map_v0_4_Prophets_Exile.xlsx</t>
        </is>
      </c>
      <c r="C295" s="15" t="inlineStr">
        <is>
          <t xml:space="preserve">CRS-04-034</t>
        </is>
      </c>
      <c r="D295" s="15">
        <v>34</v>
      </c>
      <c r="E295" s="15">
        <v>4</v>
      </c>
      <c r="F295" s="15"/>
      <c r="G295" s="15" t="inlineStr">
        <is>
          <t xml:space="preserve">Zedekiah's fourth year</t>
        </is>
      </c>
      <c r="H295" s="15" t="inlineStr">
        <is>
          <t xml:space="preserve">Jeremiah 28; 51:59</t>
        </is>
      </c>
      <c r="I295" s="15" t="inlineStr">
        <is>
          <t xml:space="preserve">Jeremiah and Hananiah</t>
        </is>
      </c>
      <c r="J295" s="15" t="inlineStr">
        <is>
          <t xml:space="preserve">Jeremiah 28</t>
        </is>
      </c>
      <c r="K295" s="15" t="inlineStr">
        <is>
          <t xml:space="preserve">High</t>
        </is>
      </c>
      <c r="L295" s="15" t="inlineStr">
        <is>
          <t xml:space="preserve">High</t>
        </is>
      </c>
      <c r="M295" s="15" t="inlineStr">
        <is>
          <t xml:space="preserve">v0.3: 2 Kings 24:18-25:7</t>
        </is>
      </c>
      <c r="N295" s="15" t="inlineStr">
        <is>
          <t xml:space="preserve">Complete + Narrative</t>
        </is>
      </c>
      <c r="O295" s="15"/>
      <c r="P295" s="15" t="inlineStr">
        <is>
          <t xml:space="preserve">No</t>
        </is>
      </c>
      <c r="Q295" s="15" t="inlineStr">
        <is>
          <t xml:space="preserve">Jeremiah: From Reform to Exile</t>
        </is>
      </c>
      <c r="R295" s="15" t="inlineStr">
        <is>
          <t xml:space="preserve">v0.3: 2 Kings 24:18-25:7</t>
        </is>
      </c>
      <c r="S295" s="15" t="inlineStr">
        <is>
          <t xml:space="preserve">S1; S5</t>
        </is>
      </c>
      <c r="T295" s="15"/>
      <c r="U295" s="13" t="inlineStr">
        <is>
          <t xml:space="preserve">Draft</t>
        </is>
      </c>
      <c r="V295" s="15"/>
      <c r="W295" s="15" t="inlineStr">
        <is>
          <t xml:space="preserve">A clear dated dispute scene.</t>
        </is>
      </c>
    </row>
    <row r="296" ht="34" customHeight="1">
      <c r="A296" s="15" t="inlineStr">
        <is>
          <t xml:space="preserve">v0.4</t>
        </is>
      </c>
      <c r="B296" s="15" t="inlineStr">
        <is>
          <t xml:space="preserve">Bible_Journey_Canon_Map_v0_4_Prophets_Exile.xlsx</t>
        </is>
      </c>
      <c r="C296" s="15" t="inlineStr">
        <is>
          <t xml:space="preserve">CRS-04-035</t>
        </is>
      </c>
      <c r="D296" s="15">
        <v>35</v>
      </c>
      <c r="E296" s="15">
        <v>4</v>
      </c>
      <c r="F296" s="15"/>
      <c r="G296" s="15" t="inlineStr">
        <is>
          <t xml:space="preserve">Zedekiah's reign / exiles in Babylon</t>
        </is>
      </c>
      <c r="H296" s="15" t="inlineStr">
        <is>
          <t xml:space="preserve">Jeremiah 29</t>
        </is>
      </c>
      <c r="I296" s="15" t="inlineStr">
        <is>
          <t xml:space="preserve">Jeremiah's letter to the exiles</t>
        </is>
      </c>
      <c r="J296" s="15" t="inlineStr">
        <is>
          <t xml:space="preserve">Jeremiah 29</t>
        </is>
      </c>
      <c r="K296" s="15" t="inlineStr">
        <is>
          <t xml:space="preserve">High</t>
        </is>
      </c>
      <c r="L296" s="15" t="inlineStr">
        <is>
          <t xml:space="preserve">High</t>
        </is>
      </c>
      <c r="M296" s="15" t="inlineStr">
        <is>
          <t xml:space="preserve">v0.3: 2 Kings 24:10-17</t>
        </is>
      </c>
      <c r="N296" s="15" t="inlineStr">
        <is>
          <t xml:space="preserve">Complete + Narrative</t>
        </is>
      </c>
      <c r="O296" s="15"/>
      <c r="P296" s="15" t="inlineStr">
        <is>
          <t xml:space="preserve">No</t>
        </is>
      </c>
      <c r="Q296" s="15" t="inlineStr">
        <is>
          <t xml:space="preserve">Jeremiah: From Reform to Exile</t>
        </is>
      </c>
      <c r="R296" s="15" t="inlineStr">
        <is>
          <t xml:space="preserve">v0.3: 2 Kings 24:10-17</t>
        </is>
      </c>
      <c r="S296" s="15" t="inlineStr">
        <is>
          <t xml:space="preserve">S1; S5</t>
        </is>
      </c>
      <c r="T296" s="15"/>
      <c r="U296" s="13" t="inlineStr">
        <is>
          <t xml:space="preserve">Draft</t>
        </is>
      </c>
      <c r="V296" s="15"/>
      <c r="W296" s="15" t="inlineStr">
        <is>
          <t xml:space="preserve">Direct narrative anchor.</t>
        </is>
      </c>
    </row>
    <row r="297" ht="34" customHeight="1">
      <c r="A297" s="15" t="inlineStr">
        <is>
          <t xml:space="preserve">v0.4</t>
        </is>
      </c>
      <c r="B297" s="15" t="inlineStr">
        <is>
          <t xml:space="preserve">Bible_Journey_Canon_Map_v0_4_Prophets_Exile.xlsx</t>
        </is>
      </c>
      <c r="C297" s="15" t="inlineStr">
        <is>
          <t xml:space="preserve">CRS-04-036</t>
        </is>
      </c>
      <c r="D297" s="15">
        <v>36</v>
      </c>
      <c r="E297" s="15">
        <v>4</v>
      </c>
      <c r="F297" s="15"/>
      <c r="G297" s="15" t="inlineStr">
        <is>
          <t xml:space="preserve">Zedekiah's reign</t>
        </is>
      </c>
      <c r="H297" s="15" t="inlineStr">
        <is>
          <t xml:space="preserve">Book of Consolation</t>
        </is>
      </c>
      <c r="I297" s="15" t="inlineStr">
        <is>
          <t xml:space="preserve">Jeremiah: restoration and renewed covenant</t>
        </is>
      </c>
      <c r="J297" s="15" t="inlineStr">
        <is>
          <t xml:space="preserve">Jeremiah 30-31</t>
        </is>
      </c>
      <c r="K297" s="15" t="inlineStr">
        <is>
          <t xml:space="preserve">Debated</t>
        </is>
      </c>
      <c r="L297" s="15" t="inlineStr">
        <is>
          <t xml:space="preserve">Probable</t>
        </is>
      </c>
      <c r="M297" s="15" t="inlineStr">
        <is>
          <t xml:space="preserve">v0.3: 2 Kings 24-25; 2 Chronicles 36</t>
        </is>
      </c>
      <c r="N297" s="15" t="inlineStr">
        <is>
          <t xml:space="preserve">Complete + Narrative</t>
        </is>
      </c>
      <c r="O297" s="15"/>
      <c r="P297" s="15" t="inlineStr">
        <is>
          <t xml:space="preserve">No</t>
        </is>
      </c>
      <c r="Q297" s="15" t="inlineStr">
        <is>
          <t xml:space="preserve">Jeremiah: From Reform to Exile</t>
        </is>
      </c>
      <c r="R297" s="15" t="inlineStr">
        <is>
          <t xml:space="preserve">v0.3: 2 Kings 24-25; 2 Chronicles 36</t>
        </is>
      </c>
      <c r="S297" s="15" t="inlineStr">
        <is>
          <t xml:space="preserve">S5; S6; S7</t>
        </is>
      </c>
      <c r="T297" s="15"/>
      <c r="U297" s="13" t="inlineStr">
        <is>
          <t xml:space="preserve">Draft</t>
        </is>
      </c>
      <c r="V297" s="15"/>
      <c r="W297" s="15" t="inlineStr">
        <is>
          <t xml:space="preserve">Historical setting and editorial shaping require a visible uncertainty note.</t>
        </is>
      </c>
    </row>
    <row r="298" ht="34" customHeight="1">
      <c r="A298" s="15" t="inlineStr">
        <is>
          <t xml:space="preserve">v0.4</t>
        </is>
      </c>
      <c r="B298" s="15" t="inlineStr">
        <is>
          <t xml:space="preserve">Bible_Journey_Canon_Map_v0_4_Prophets_Exile.xlsx</t>
        </is>
      </c>
      <c r="C298" s="15" t="inlineStr">
        <is>
          <t xml:space="preserve">CRS-04-037</t>
        </is>
      </c>
      <c r="D298" s="15">
        <v>37</v>
      </c>
      <c r="E298" s="15">
        <v>4</v>
      </c>
      <c r="F298" s="15"/>
      <c r="G298" s="15" t="inlineStr">
        <is>
          <t xml:space="preserve">Zedekiah's tenth year / siege</t>
        </is>
      </c>
      <c r="H298" s="15" t="inlineStr">
        <is>
          <t xml:space="preserve">Jeremiah 32-33</t>
        </is>
      </c>
      <c r="I298" s="15" t="inlineStr">
        <is>
          <t xml:space="preserve">Jeremiah buys a field during the siege</t>
        </is>
      </c>
      <c r="J298" s="15" t="inlineStr">
        <is>
          <t xml:space="preserve">Jeremiah 32-33</t>
        </is>
      </c>
      <c r="K298" s="15" t="inlineStr">
        <is>
          <t xml:space="preserve">High</t>
        </is>
      </c>
      <c r="L298" s="15" t="inlineStr">
        <is>
          <t xml:space="preserve">High</t>
        </is>
      </c>
      <c r="M298" s="15" t="inlineStr">
        <is>
          <t xml:space="preserve">v0.3: 2 Kings 25:1-7; 2 Chronicles 36:11-14</t>
        </is>
      </c>
      <c r="N298" s="15" t="inlineStr">
        <is>
          <t xml:space="preserve">Complete + Narrative</t>
        </is>
      </c>
      <c r="O298" s="15"/>
      <c r="P298" s="15" t="inlineStr">
        <is>
          <t xml:space="preserve">No</t>
        </is>
      </c>
      <c r="Q298" s="15" t="inlineStr">
        <is>
          <t xml:space="preserve">Jeremiah: From Reform to Exile</t>
        </is>
      </c>
      <c r="R298" s="15" t="inlineStr">
        <is>
          <t xml:space="preserve">v0.3: 2 Kings 25:1-7; 2 Chronicles 36:11-14</t>
        </is>
      </c>
      <c r="S298" s="15" t="inlineStr">
        <is>
          <t xml:space="preserve">S1; S5</t>
        </is>
      </c>
      <c r="T298" s="15"/>
      <c r="U298" s="13" t="inlineStr">
        <is>
          <t xml:space="preserve">Draft</t>
        </is>
      </c>
      <c r="V298" s="15"/>
      <c r="W298" s="15" t="inlineStr">
        <is>
          <t xml:space="preserve">The two chapters remain separate within a single dated Reading Set.</t>
        </is>
      </c>
    </row>
    <row r="299" ht="34" customHeight="1">
      <c r="A299" s="15" t="inlineStr">
        <is>
          <t xml:space="preserve">v0.4</t>
        </is>
      </c>
      <c r="B299" s="15" t="inlineStr">
        <is>
          <t xml:space="preserve">Bible_Journey_Canon_Map_v0_4_Prophets_Exile.xlsx</t>
        </is>
      </c>
      <c r="C299" s="15" t="inlineStr">
        <is>
          <t xml:space="preserve">CRS-04-038</t>
        </is>
      </c>
      <c r="D299" s="15">
        <v>38</v>
      </c>
      <c r="E299" s="15">
        <v>4</v>
      </c>
      <c r="F299" s="15"/>
      <c r="G299" s="15" t="inlineStr">
        <is>
          <t xml:space="preserve">Zedekiah's siege</t>
        </is>
      </c>
      <c r="H299" s="15" t="inlineStr">
        <is>
          <t xml:space="preserve">Jeremiah 34</t>
        </is>
      </c>
      <c r="I299" s="15" t="inlineStr">
        <is>
          <t xml:space="preserve">Jeremiah: covenant, slaves, and siege conditions</t>
        </is>
      </c>
      <c r="J299" s="15" t="inlineStr">
        <is>
          <t xml:space="preserve">Jeremiah 34</t>
        </is>
      </c>
      <c r="K299" s="15" t="inlineStr">
        <is>
          <t xml:space="preserve">Probable</t>
        </is>
      </c>
      <c r="L299" s="15" t="inlineStr">
        <is>
          <t xml:space="preserve">High</t>
        </is>
      </c>
      <c r="M299" s="15" t="inlineStr">
        <is>
          <t xml:space="preserve">v0.3: 2 Kings 25:1-7</t>
        </is>
      </c>
      <c r="N299" s="15" t="inlineStr">
        <is>
          <t xml:space="preserve">Complete + Narrative</t>
        </is>
      </c>
      <c r="O299" s="15"/>
      <c r="P299" s="15" t="inlineStr">
        <is>
          <t xml:space="preserve">No</t>
        </is>
      </c>
      <c r="Q299" s="15" t="inlineStr">
        <is>
          <t xml:space="preserve">Jeremiah: From Reform to Exile</t>
        </is>
      </c>
      <c r="R299" s="15" t="inlineStr">
        <is>
          <t xml:space="preserve">v0.3: 2 Kings 25:1-7</t>
        </is>
      </c>
      <c r="S299" s="15" t="inlineStr">
        <is>
          <t xml:space="preserve">S1; S5; S7</t>
        </is>
      </c>
      <c r="T299" s="15"/>
      <c r="U299" s="13" t="inlineStr">
        <is>
          <t xml:space="preserve">Draft</t>
        </is>
      </c>
      <c r="V299" s="15"/>
      <c r="W299" s="15" t="inlineStr">
        <is>
          <t xml:space="preserve">Narrative connection high; detailed sequencing modest.</t>
        </is>
      </c>
    </row>
    <row r="300" ht="34" customHeight="1">
      <c r="A300" s="15" t="inlineStr">
        <is>
          <t xml:space="preserve">v0.4</t>
        </is>
      </c>
      <c r="B300" s="15" t="inlineStr">
        <is>
          <t xml:space="preserve">Bible_Journey_Canon_Map_v0_4_Prophets_Exile.xlsx</t>
        </is>
      </c>
      <c r="C300" s="15" t="inlineStr">
        <is>
          <t xml:space="preserve">CRS-04-039</t>
        </is>
      </c>
      <c r="D300" s="15">
        <v>39</v>
      </c>
      <c r="E300" s="15">
        <v>4</v>
      </c>
      <c r="F300" s="15"/>
      <c r="G300" s="15" t="inlineStr">
        <is>
          <t xml:space="preserve">Fall of Jerusalem</t>
        </is>
      </c>
      <c r="H300" s="15" t="inlineStr">
        <is>
          <t xml:space="preserve">Jeremiah 37-39 / 2 Kings 25</t>
        </is>
      </c>
      <c r="I300" s="15" t="inlineStr">
        <is>
          <t xml:space="preserve">Jeremiah during the final siege and the fall</t>
        </is>
      </c>
      <c r="J300" s="15" t="inlineStr">
        <is>
          <t xml:space="preserve">Jeremiah 37-39</t>
        </is>
      </c>
      <c r="K300" s="15" t="inlineStr">
        <is>
          <t xml:space="preserve">High</t>
        </is>
      </c>
      <c r="L300" s="15" t="inlineStr">
        <is>
          <t xml:space="preserve">High</t>
        </is>
      </c>
      <c r="M300" s="15" t="inlineStr">
        <is>
          <t xml:space="preserve">v0.3: 2 Kings 25:1-21; 2 Chronicles 36:15-21</t>
        </is>
      </c>
      <c r="N300" s="15" t="inlineStr">
        <is>
          <t xml:space="preserve">Complete + Narrative</t>
        </is>
      </c>
      <c r="O300" s="15"/>
      <c r="P300" s="15" t="inlineStr">
        <is>
          <t xml:space="preserve">Compare</t>
        </is>
      </c>
      <c r="Q300" s="15" t="inlineStr">
        <is>
          <t xml:space="preserve">Jeremiah: From Reform to Exile</t>
        </is>
      </c>
      <c r="R300" s="15" t="inlineStr">
        <is>
          <t xml:space="preserve">v0.3: 2 Kings 25:1-21; 2 Chronicles 36:15-21</t>
        </is>
      </c>
      <c r="S300" s="15" t="inlineStr">
        <is>
          <t xml:space="preserve">S1; S5</t>
        </is>
      </c>
      <c r="T300" s="15"/>
      <c r="U300" s="13" t="inlineStr">
        <is>
          <t xml:space="preserve">Draft</t>
        </is>
      </c>
      <c r="V300" s="15"/>
      <c r="W300" s="15" t="inlineStr">
        <is>
          <t xml:space="preserve">The stream should guide users through separate accounts, not flatten them into a composite.</t>
        </is>
      </c>
    </row>
    <row r="301" ht="34" customHeight="1">
      <c r="A301" s="15" t="inlineStr">
        <is>
          <t xml:space="preserve">v0.4</t>
        </is>
      </c>
      <c r="B301" s="15" t="inlineStr">
        <is>
          <t xml:space="preserve">Bible_Journey_Canon_Map_v0_4_Prophets_Exile.xlsx</t>
        </is>
      </c>
      <c r="C301" s="15" t="inlineStr">
        <is>
          <t xml:space="preserve">CRS-04-040</t>
        </is>
      </c>
      <c r="D301" s="15">
        <v>40</v>
      </c>
      <c r="E301" s="15">
        <v>4</v>
      </c>
      <c r="F301" s="15"/>
      <c r="G301" s="15" t="inlineStr">
        <is>
          <t xml:space="preserve">Aftermath of Jerusalem's fall</t>
        </is>
      </c>
      <c r="H301" s="15" t="inlineStr">
        <is>
          <t xml:space="preserve">Gedaliah and Mizpah</t>
        </is>
      </c>
      <c r="I301" s="15" t="inlineStr">
        <is>
          <t xml:space="preserve">Jeremiah: aftermath under Gedaliah</t>
        </is>
      </c>
      <c r="J301" s="15" t="inlineStr">
        <is>
          <t xml:space="preserve">Jeremiah 40-41</t>
        </is>
      </c>
      <c r="K301" s="15" t="inlineStr">
        <is>
          <t xml:space="preserve">High</t>
        </is>
      </c>
      <c r="L301" s="15" t="inlineStr">
        <is>
          <t xml:space="preserve">High</t>
        </is>
      </c>
      <c r="M301" s="15" t="inlineStr">
        <is>
          <t xml:space="preserve">v0.3: 2 Kings 25:22-26</t>
        </is>
      </c>
      <c r="N301" s="15" t="inlineStr">
        <is>
          <t xml:space="preserve">Complete + Narrative</t>
        </is>
      </c>
      <c r="O301" s="15"/>
      <c r="P301" s="15" t="inlineStr">
        <is>
          <t xml:space="preserve">Compare</t>
        </is>
      </c>
      <c r="Q301" s="15" t="inlineStr">
        <is>
          <t xml:space="preserve">Jeremiah: From Reform to Exile</t>
        </is>
      </c>
      <c r="R301" s="15" t="inlineStr">
        <is>
          <t xml:space="preserve">v0.3: 2 Kings 25:22-26</t>
        </is>
      </c>
      <c r="S301" s="15" t="inlineStr">
        <is>
          <t xml:space="preserve">S1; S5</t>
        </is>
      </c>
      <c r="T301" s="15"/>
      <c r="U301" s="13" t="inlineStr">
        <is>
          <t xml:space="preserve">Draft</t>
        </is>
      </c>
      <c r="V301" s="15"/>
      <c r="W301" s="15" t="inlineStr">
        <is>
          <t xml:space="preserve">High confidence narrative linkage.</t>
        </is>
      </c>
    </row>
    <row r="302" ht="34" customHeight="1">
      <c r="A302" s="15" t="inlineStr">
        <is>
          <t xml:space="preserve">v0.4</t>
        </is>
      </c>
      <c r="B302" s="15" t="inlineStr">
        <is>
          <t xml:space="preserve">Bible_Journey_Canon_Map_v0_4_Prophets_Exile.xlsx</t>
        </is>
      </c>
      <c r="C302" s="15" t="inlineStr">
        <is>
          <t xml:space="preserve">CRS-04-041</t>
        </is>
      </c>
      <c r="D302" s="15">
        <v>41</v>
      </c>
      <c r="E302" s="15">
        <v>4</v>
      </c>
      <c r="F302" s="15"/>
      <c r="G302" s="15" t="inlineStr">
        <is>
          <t xml:space="preserve">Aftermath of Jerusalem's fall</t>
        </is>
      </c>
      <c r="H302" s="15" t="inlineStr">
        <is>
          <t xml:space="preserve">Flight to Egypt</t>
        </is>
      </c>
      <c r="I302" s="15" t="inlineStr">
        <is>
          <t xml:space="preserve">Jeremiah: the remnant in Egypt</t>
        </is>
      </c>
      <c r="J302" s="15" t="inlineStr">
        <is>
          <t xml:space="preserve">Jeremiah 42-44</t>
        </is>
      </c>
      <c r="K302" s="15" t="inlineStr">
        <is>
          <t xml:space="preserve">High</t>
        </is>
      </c>
      <c r="L302" s="15" t="inlineStr">
        <is>
          <t xml:space="preserve">High</t>
        </is>
      </c>
      <c r="M302" s="15" t="inlineStr">
        <is>
          <t xml:space="preserve">v0.3: 2 Kings 25:22-26</t>
        </is>
      </c>
      <c r="N302" s="15" t="inlineStr">
        <is>
          <t xml:space="preserve">Complete + Narrative</t>
        </is>
      </c>
      <c r="O302" s="15"/>
      <c r="P302" s="15" t="inlineStr">
        <is>
          <t xml:space="preserve">No</t>
        </is>
      </c>
      <c r="Q302" s="15" t="inlineStr">
        <is>
          <t xml:space="preserve">Jeremiah: From Reform to Exile</t>
        </is>
      </c>
      <c r="R302" s="15" t="inlineStr">
        <is>
          <t xml:space="preserve">v0.3: 2 Kings 25:22-26</t>
        </is>
      </c>
      <c r="S302" s="15" t="inlineStr">
        <is>
          <t xml:space="preserve">S1; S5</t>
        </is>
      </c>
      <c r="T302" s="15"/>
      <c r="U302" s="13" t="inlineStr">
        <is>
          <t xml:space="preserve">Draft</t>
        </is>
      </c>
      <c r="V302" s="15"/>
      <c r="W302" s="15" t="inlineStr">
        <is>
          <t xml:space="preserve">Keep the Egypt material as a complete post-fall block.</t>
        </is>
      </c>
    </row>
    <row r="303" ht="34" customHeight="1">
      <c r="A303" s="15" t="inlineStr">
        <is>
          <t xml:space="preserve">v0.4</t>
        </is>
      </c>
      <c r="B303" s="15" t="inlineStr">
        <is>
          <t xml:space="preserve">Bible_Journey_Canon_Map_v0_4_Prophets_Exile.xlsx</t>
        </is>
      </c>
      <c r="C303" s="15" t="inlineStr">
        <is>
          <t xml:space="preserve">CRS-04-042</t>
        </is>
      </c>
      <c r="D303" s="15">
        <v>42</v>
      </c>
      <c r="E303" s="15">
        <v>4</v>
      </c>
      <c r="F303" s="15"/>
      <c r="G303" s="15" t="inlineStr">
        <is>
          <t xml:space="preserve">Aftermath of Jerusalem's fall</t>
        </is>
      </c>
      <c r="H303" s="15" t="inlineStr">
        <is>
          <t xml:space="preserve">Historical appendix / 2 Kings 24-25</t>
        </is>
      </c>
      <c r="I303" s="15" t="inlineStr">
        <is>
          <t xml:space="preserve">Jeremiah's historical appendix</t>
        </is>
      </c>
      <c r="J303" s="15" t="inlineStr">
        <is>
          <t xml:space="preserve">Jeremiah 52</t>
        </is>
      </c>
      <c r="K303" s="15" t="inlineStr">
        <is>
          <t xml:space="preserve">High</t>
        </is>
      </c>
      <c r="L303" s="15" t="inlineStr">
        <is>
          <t xml:space="preserve">High</t>
        </is>
      </c>
      <c r="M303" s="15" t="inlineStr">
        <is>
          <t xml:space="preserve">v0.3: 2 Kings 24:18-25:30; 2 Chronicles 36:11-23</t>
        </is>
      </c>
      <c r="N303" s="15" t="inlineStr">
        <is>
          <t xml:space="preserve">Complete + Narrative</t>
        </is>
      </c>
      <c r="O303" s="15"/>
      <c r="P303" s="15" t="inlineStr">
        <is>
          <t xml:space="preserve">Compare</t>
        </is>
      </c>
      <c r="Q303" s="15" t="inlineStr">
        <is>
          <t xml:space="preserve">Jeremiah: From Reform to Exile</t>
        </is>
      </c>
      <c r="R303" s="15" t="inlineStr">
        <is>
          <t xml:space="preserve">v0.3: 2 Kings 24:18-25:30; 2 Chronicles 36:11-23</t>
        </is>
      </c>
      <c r="S303" s="15" t="inlineStr">
        <is>
          <t xml:space="preserve">S1; S5; S6</t>
        </is>
      </c>
      <c r="T303" s="15"/>
      <c r="U303" s="13" t="inlineStr">
        <is>
          <t xml:space="preserve">Draft</t>
        </is>
      </c>
      <c r="V303" s="15"/>
      <c r="W303" s="15" t="inlineStr">
        <is>
          <t xml:space="preserve">UI label: 'Parallel historical appendix'.</t>
        </is>
      </c>
    </row>
    <row r="304" ht="34" customHeight="1">
      <c r="A304" s="15" t="inlineStr">
        <is>
          <t xml:space="preserve">v0.4</t>
        </is>
      </c>
      <c r="B304" s="15" t="inlineStr">
        <is>
          <t xml:space="preserve">Bible_Journey_Canon_Map_v0_4_Prophets_Exile.xlsx</t>
        </is>
      </c>
      <c r="C304" s="15" t="inlineStr">
        <is>
          <t xml:space="preserve">CRS-04-043</t>
        </is>
      </c>
      <c r="D304" s="15">
        <v>43</v>
      </c>
      <c r="E304" s="15">
        <v>4</v>
      </c>
      <c r="F304" s="15"/>
      <c r="G304" s="15" t="inlineStr">
        <is>
          <t xml:space="preserve">Aftermath of Jerusalem's fall</t>
        </is>
      </c>
      <c r="H304" s="15" t="inlineStr">
        <is>
          <t xml:space="preserve">Post-586 BCE</t>
        </is>
      </c>
      <c r="I304" s="15" t="inlineStr">
        <is>
          <t xml:space="preserve">Lamentations: the ruined city</t>
        </is>
      </c>
      <c r="J304" s="15" t="inlineStr">
        <is>
          <t xml:space="preserve">Lamentations 1-2</t>
        </is>
      </c>
      <c r="K304" s="15" t="inlineStr">
        <is>
          <t xml:space="preserve">Probable</t>
        </is>
      </c>
      <c r="L304" s="15" t="inlineStr">
        <is>
          <t xml:space="preserve">High</t>
        </is>
      </c>
      <c r="M304" s="15" t="inlineStr">
        <is>
          <t xml:space="preserve">v0.3: 2 Kings 25; 2 Chronicles 36</t>
        </is>
      </c>
      <c r="N304" s="15" t="inlineStr">
        <is>
          <t xml:space="preserve">Complete + Narrative</t>
        </is>
      </c>
      <c r="O304" s="15"/>
      <c r="P304" s="15" t="inlineStr">
        <is>
          <t xml:space="preserve">No</t>
        </is>
      </c>
      <c r="Q304" s="15" t="inlineStr">
        <is>
          <t xml:space="preserve">Exile and Return</t>
        </is>
      </c>
      <c r="R304" s="15" t="inlineStr">
        <is>
          <t xml:space="preserve">v0.3: 2 Kings 25; 2 Chronicles 36</t>
        </is>
      </c>
      <c r="S304" s="15" t="inlineStr">
        <is>
          <t xml:space="preserve">S5; S7</t>
        </is>
      </c>
      <c r="T304" s="15"/>
      <c r="U304" s="13" t="inlineStr">
        <is>
          <t xml:space="preserve">Draft</t>
        </is>
      </c>
      <c r="V304" s="15"/>
      <c r="W304" s="15" t="inlineStr">
        <is>
          <t xml:space="preserve">Placement follows literary/historical aftermath, not a claim of single-session composition.</t>
        </is>
      </c>
    </row>
    <row r="305" ht="34" customHeight="1">
      <c r="A305" s="15" t="inlineStr">
        <is>
          <t xml:space="preserve">v0.4</t>
        </is>
      </c>
      <c r="B305" s="15" t="inlineStr">
        <is>
          <t xml:space="preserve">Bible_Journey_Canon_Map_v0_4_Prophets_Exile.xlsx</t>
        </is>
      </c>
      <c r="C305" s="15" t="inlineStr">
        <is>
          <t xml:space="preserve">CRS-04-044</t>
        </is>
      </c>
      <c r="D305" s="15">
        <v>44</v>
      </c>
      <c r="E305" s="15">
        <v>4</v>
      </c>
      <c r="F305" s="15"/>
      <c r="G305" s="15" t="inlineStr">
        <is>
          <t xml:space="preserve">Aftermath of Jerusalem's fall</t>
        </is>
      </c>
      <c r="H305" s="15" t="inlineStr">
        <is>
          <t xml:space="preserve">Post-586 BCE</t>
        </is>
      </c>
      <c r="I305" s="15" t="inlineStr">
        <is>
          <t xml:space="preserve">Lamentations: grief, hope, and endurance</t>
        </is>
      </c>
      <c r="J305" s="15" t="inlineStr">
        <is>
          <t xml:space="preserve">Lamentations 3</t>
        </is>
      </c>
      <c r="K305" s="15" t="inlineStr">
        <is>
          <t xml:space="preserve">Probable</t>
        </is>
      </c>
      <c r="L305" s="15" t="inlineStr">
        <is>
          <t xml:space="preserve">High</t>
        </is>
      </c>
      <c r="M305" s="15" t="inlineStr">
        <is>
          <t xml:space="preserve">v0.3: 2 Kings 25; 2 Chronicles 36</t>
        </is>
      </c>
      <c r="N305" s="15" t="inlineStr">
        <is>
          <t xml:space="preserve">Complete + Narrative</t>
        </is>
      </c>
      <c r="O305" s="15"/>
      <c r="P305" s="15" t="inlineStr">
        <is>
          <t xml:space="preserve">No</t>
        </is>
      </c>
      <c r="Q305" s="15" t="inlineStr">
        <is>
          <t xml:space="preserve">Exile and Return</t>
        </is>
      </c>
      <c r="R305" s="15" t="inlineStr">
        <is>
          <t xml:space="preserve">v0.3: 2 Kings 25; 2 Chronicles 36</t>
        </is>
      </c>
      <c r="S305" s="15" t="inlineStr">
        <is>
          <t xml:space="preserve">S5; S7</t>
        </is>
      </c>
      <c r="T305" s="15"/>
      <c r="U305" s="13" t="inlineStr">
        <is>
          <t xml:space="preserve">Draft</t>
        </is>
      </c>
      <c r="V305" s="15"/>
      <c r="W305" s="15" t="inlineStr">
        <is>
          <t xml:space="preserve">Separate unit for literary structure, not a new dated event.</t>
        </is>
      </c>
    </row>
    <row r="306" ht="34" customHeight="1">
      <c r="A306" s="15" t="inlineStr">
        <is>
          <t xml:space="preserve">v0.4</t>
        </is>
      </c>
      <c r="B306" s="15" t="inlineStr">
        <is>
          <t xml:space="preserve">Bible_Journey_Canon_Map_v0_4_Prophets_Exile.xlsx</t>
        </is>
      </c>
      <c r="C306" s="15" t="inlineStr">
        <is>
          <t xml:space="preserve">CRS-04-045</t>
        </is>
      </c>
      <c r="D306" s="15">
        <v>45</v>
      </c>
      <c r="E306" s="15">
        <v>4</v>
      </c>
      <c r="F306" s="15"/>
      <c r="G306" s="15" t="inlineStr">
        <is>
          <t xml:space="preserve">Aftermath of Jerusalem's fall</t>
        </is>
      </c>
      <c r="H306" s="15" t="inlineStr">
        <is>
          <t xml:space="preserve">Post-586 BCE</t>
        </is>
      </c>
      <c r="I306" s="15" t="inlineStr">
        <is>
          <t xml:space="preserve">Lamentations: famine, memory, and communal prayer</t>
        </is>
      </c>
      <c r="J306" s="15" t="inlineStr">
        <is>
          <t xml:space="preserve">Lamentations 4-5</t>
        </is>
      </c>
      <c r="K306" s="15" t="inlineStr">
        <is>
          <t xml:space="preserve">Probable</t>
        </is>
      </c>
      <c r="L306" s="15" t="inlineStr">
        <is>
          <t xml:space="preserve">High</t>
        </is>
      </c>
      <c r="M306" s="15" t="inlineStr">
        <is>
          <t xml:space="preserve">v0.3: 2 Kings 25; 2 Chronicles 36</t>
        </is>
      </c>
      <c r="N306" s="15" t="inlineStr">
        <is>
          <t xml:space="preserve">Complete + Narrative</t>
        </is>
      </c>
      <c r="O306" s="15"/>
      <c r="P306" s="15" t="inlineStr">
        <is>
          <t xml:space="preserve">No</t>
        </is>
      </c>
      <c r="Q306" s="15" t="inlineStr">
        <is>
          <t xml:space="preserve">Exile and Return</t>
        </is>
      </c>
      <c r="R306" s="15" t="inlineStr">
        <is>
          <t xml:space="preserve">v0.3: 2 Kings 25; 2 Chronicles 36</t>
        </is>
      </c>
      <c r="S306" s="15" t="inlineStr">
        <is>
          <t xml:space="preserve">S5; S7</t>
        </is>
      </c>
      <c r="T306" s="15"/>
      <c r="U306" s="13" t="inlineStr">
        <is>
          <t xml:space="preserve">Draft</t>
        </is>
      </c>
      <c r="V306" s="15"/>
      <c r="W306" s="15" t="inlineStr">
        <is>
          <t xml:space="preserve">Keep literary units clear for readers.</t>
        </is>
      </c>
    </row>
    <row r="307" ht="34" customHeight="1">
      <c r="A307" s="15" t="inlineStr">
        <is>
          <t xml:space="preserve">v0.4</t>
        </is>
      </c>
      <c r="B307" s="15" t="inlineStr">
        <is>
          <t xml:space="preserve">Bible_Journey_Canon_Map_v0_4_Prophets_Exile.xlsx</t>
        </is>
      </c>
      <c r="C307" s="15" t="inlineStr">
        <is>
          <t xml:space="preserve">CRS-04-046</t>
        </is>
      </c>
      <c r="D307" s="15">
        <v>46</v>
      </c>
      <c r="E307" s="15">
        <v>4</v>
      </c>
      <c r="F307" s="15"/>
      <c r="G307" s="15" t="inlineStr">
        <is>
          <t xml:space="preserve">Babylonian exile</t>
        </is>
      </c>
      <c r="H307" s="15" t="inlineStr">
        <is>
          <t xml:space="preserve">Late exile / Cyrus horizon</t>
        </is>
      </c>
      <c r="I307" s="15" t="inlineStr">
        <is>
          <t xml:space="preserve">Isaiah: comfort and Cyrus</t>
        </is>
      </c>
      <c r="J307" s="15" t="inlineStr">
        <is>
          <t xml:space="preserve">Isaiah 40-48</t>
        </is>
      </c>
      <c r="K307" s="15" t="inlineStr">
        <is>
          <t xml:space="preserve">Debated</t>
        </is>
      </c>
      <c r="L307" s="15" t="inlineStr">
        <is>
          <t xml:space="preserve">Probable</t>
        </is>
      </c>
      <c r="M307" s="15" t="inlineStr">
        <is>
          <t xml:space="preserve">v0.3: 2 Kings 25; future Ezra/Cyrus node</t>
        </is>
      </c>
      <c r="N307" s="15" t="inlineStr">
        <is>
          <t xml:space="preserve">Complete + Narrative</t>
        </is>
      </c>
      <c r="O307" s="15"/>
      <c r="P307" s="15" t="inlineStr">
        <is>
          <t xml:space="preserve">No</t>
        </is>
      </c>
      <c r="Q307" s="15" t="inlineStr">
        <is>
          <t xml:space="preserve">Exile and Return</t>
        </is>
      </c>
      <c r="R307" s="15" t="inlineStr">
        <is>
          <t xml:space="preserve">v0.3: 2 Kings 25; future Ezra/Cyrus node</t>
        </is>
      </c>
      <c r="S307" s="15" t="inlineStr">
        <is>
          <t xml:space="preserve">S2; S4; S10; S12</t>
        </is>
      </c>
      <c r="T307" s="15"/>
      <c r="U307" s="13" t="inlineStr">
        <is>
          <t xml:space="preserve">Draft</t>
        </is>
      </c>
      <c r="V307" s="15"/>
      <c r="W307" s="15" t="inlineStr">
        <is>
          <t xml:space="preserve">Do not attribute these chapters to a simple event-by-event sequence with Jeremiah.</t>
        </is>
      </c>
    </row>
    <row r="308" ht="34" customHeight="1">
      <c r="A308" s="15" t="inlineStr">
        <is>
          <t xml:space="preserve">v0.4</t>
        </is>
      </c>
      <c r="B308" s="15" t="inlineStr">
        <is>
          <t xml:space="preserve">Bible_Journey_Canon_Map_v0_4_Prophets_Exile.xlsx</t>
        </is>
      </c>
      <c r="C308" s="15" t="inlineStr">
        <is>
          <t xml:space="preserve">CRS-04-047</t>
        </is>
      </c>
      <c r="D308" s="15">
        <v>47</v>
      </c>
      <c r="E308" s="15">
        <v>4</v>
      </c>
      <c r="F308" s="15"/>
      <c r="G308" s="15" t="inlineStr">
        <is>
          <t xml:space="preserve">Babylonian exile</t>
        </is>
      </c>
      <c r="H308" s="15" t="inlineStr">
        <is>
          <t xml:space="preserve">Late exile / restoration horizon</t>
        </is>
      </c>
      <c r="I308" s="15" t="inlineStr">
        <is>
          <t xml:space="preserve">Isaiah: servant, return, and restoration</t>
        </is>
      </c>
      <c r="J308" s="15" t="inlineStr">
        <is>
          <t xml:space="preserve">Isaiah 49-55</t>
        </is>
      </c>
      <c r="K308" s="15" t="inlineStr">
        <is>
          <t xml:space="preserve">Debated</t>
        </is>
      </c>
      <c r="L308" s="15" t="inlineStr">
        <is>
          <t xml:space="preserve">Probable</t>
        </is>
      </c>
      <c r="M308" s="15" t="inlineStr">
        <is>
          <t xml:space="preserve">Future Ezra / return node</t>
        </is>
      </c>
      <c r="N308" s="15" t="inlineStr">
        <is>
          <t xml:space="preserve">Complete + Narrative</t>
        </is>
      </c>
      <c r="O308" s="15"/>
      <c r="P308" s="15" t="inlineStr">
        <is>
          <t xml:space="preserve">No</t>
        </is>
      </c>
      <c r="Q308" s="15" t="inlineStr">
        <is>
          <t xml:space="preserve">Exile and Return</t>
        </is>
      </c>
      <c r="R308" s="15" t="inlineStr">
        <is>
          <t xml:space="preserve">Future Ezra / return node</t>
        </is>
      </c>
      <c r="S308" s="15" t="inlineStr">
        <is>
          <t xml:space="preserve">S2; S4; S10; S12</t>
        </is>
      </c>
      <c r="T308" s="15"/>
      <c r="U308" s="13" t="inlineStr">
        <is>
          <t xml:space="preserve">Draft</t>
        </is>
      </c>
      <c r="V308" s="15"/>
      <c r="W308" s="15" t="inlineStr">
        <is>
          <t xml:space="preserve">Contextual arrangement, not a claim of unbroken historical reportage.</t>
        </is>
      </c>
    </row>
    <row r="309" ht="34" customHeight="1">
      <c r="A309" s="15" t="inlineStr">
        <is>
          <t xml:space="preserve">v0.4</t>
        </is>
      </c>
      <c r="B309" s="15" t="inlineStr">
        <is>
          <t xml:space="preserve">Bible_Journey_Canon_Map_v0_4_Prophets_Exile.xlsx</t>
        </is>
      </c>
      <c r="C309" s="15" t="inlineStr">
        <is>
          <t xml:space="preserve">CRS-04-048</t>
        </is>
      </c>
      <c r="D309" s="15">
        <v>48</v>
      </c>
      <c r="E309" s="15">
        <v>4</v>
      </c>
      <c r="F309" s="15"/>
      <c r="G309" s="15" t="inlineStr">
        <is>
          <t xml:space="preserve">Post-exilic restoration horizon</t>
        </is>
      </c>
      <c r="H309" s="15" t="inlineStr">
        <is>
          <t xml:space="preserve">Community after return</t>
        </is>
      </c>
      <c r="I309" s="15" t="inlineStr">
        <is>
          <t xml:space="preserve">Isaiah: worship, justice, and a restored community</t>
        </is>
      </c>
      <c r="J309" s="15" t="inlineStr">
        <is>
          <t xml:space="preserve">Isaiah 56-58</t>
        </is>
      </c>
      <c r="K309" s="15" t="inlineStr">
        <is>
          <t xml:space="preserve">Debated</t>
        </is>
      </c>
      <c r="L309" s="15" t="inlineStr">
        <is>
          <t xml:space="preserve">Probable</t>
        </is>
      </c>
      <c r="M309" s="15" t="inlineStr">
        <is>
          <t xml:space="preserve">Future Ezra-Nehemiah node</t>
        </is>
      </c>
      <c r="N309" s="15" t="inlineStr">
        <is>
          <t xml:space="preserve">Complete + Narrative</t>
        </is>
      </c>
      <c r="O309" s="15"/>
      <c r="P309" s="15" t="inlineStr">
        <is>
          <t xml:space="preserve">No</t>
        </is>
      </c>
      <c r="Q309" s="15" t="inlineStr">
        <is>
          <t xml:space="preserve">Exile and Return</t>
        </is>
      </c>
      <c r="R309" s="15" t="inlineStr">
        <is>
          <t xml:space="preserve">Future Ezra-Nehemiah node</t>
        </is>
      </c>
      <c r="S309" s="15" t="inlineStr">
        <is>
          <t xml:space="preserve">S2; S4; S7</t>
        </is>
      </c>
      <c r="T309" s="15"/>
      <c r="U309" s="13" t="inlineStr">
        <is>
          <t xml:space="preserve">Draft</t>
        </is>
      </c>
      <c r="V309" s="15"/>
      <c r="W309" s="15" t="inlineStr">
        <is>
          <t xml:space="preserve">User-facing label must say 'common scholarly placement', not 'proven date'.</t>
        </is>
      </c>
    </row>
    <row r="310" ht="34" customHeight="1">
      <c r="A310" s="15" t="inlineStr">
        <is>
          <t xml:space="preserve">v0.4</t>
        </is>
      </c>
      <c r="B310" s="15" t="inlineStr">
        <is>
          <t xml:space="preserve">Bible_Journey_Canon_Map_v0_4_Prophets_Exile.xlsx</t>
        </is>
      </c>
      <c r="C310" s="15" t="inlineStr">
        <is>
          <t xml:space="preserve">CRS-04-049</t>
        </is>
      </c>
      <c r="D310" s="15">
        <v>49</v>
      </c>
      <c r="E310" s="15">
        <v>4</v>
      </c>
      <c r="F310" s="15"/>
      <c r="G310" s="15" t="inlineStr">
        <is>
          <t xml:space="preserve">Post-exilic restoration horizon</t>
        </is>
      </c>
      <c r="H310" s="15" t="inlineStr">
        <is>
          <t xml:space="preserve">Community after return</t>
        </is>
      </c>
      <c r="I310" s="15" t="inlineStr">
        <is>
          <t xml:space="preserve">Isaiah: confession and divine response</t>
        </is>
      </c>
      <c r="J310" s="15" t="inlineStr">
        <is>
          <t xml:space="preserve">Isaiah 59</t>
        </is>
      </c>
      <c r="K310" s="15" t="inlineStr">
        <is>
          <t xml:space="preserve">Debated</t>
        </is>
      </c>
      <c r="L310" s="15" t="inlineStr">
        <is>
          <t xml:space="preserve">Probable</t>
        </is>
      </c>
      <c r="M310" s="15" t="inlineStr">
        <is>
          <t xml:space="preserve">Future Ezra-Nehemiah node</t>
        </is>
      </c>
      <c r="N310" s="15" t="inlineStr">
        <is>
          <t xml:space="preserve">Complete + Narrative</t>
        </is>
      </c>
      <c r="O310" s="15"/>
      <c r="P310" s="15" t="inlineStr">
        <is>
          <t xml:space="preserve">No</t>
        </is>
      </c>
      <c r="Q310" s="15" t="inlineStr">
        <is>
          <t xml:space="preserve">Exile and Return</t>
        </is>
      </c>
      <c r="R310" s="15" t="inlineStr">
        <is>
          <t xml:space="preserve">Future Ezra-Nehemiah node</t>
        </is>
      </c>
      <c r="S310" s="15" t="inlineStr">
        <is>
          <t xml:space="preserve">S2; S4; S7</t>
        </is>
      </c>
      <c r="T310" s="15"/>
      <c r="U310" s="13" t="inlineStr">
        <is>
          <t xml:space="preserve">Draft</t>
        </is>
      </c>
      <c r="V310" s="15"/>
      <c r="W310" s="15" t="inlineStr">
        <is>
          <t xml:space="preserve">Separate for reading rhythm and theme, not a separate historical date claim.</t>
        </is>
      </c>
    </row>
    <row r="311" ht="34" customHeight="1">
      <c r="A311" s="15" t="inlineStr">
        <is>
          <t xml:space="preserve">v0.4</t>
        </is>
      </c>
      <c r="B311" s="15" t="inlineStr">
        <is>
          <t xml:space="preserve">Bible_Journey_Canon_Map_v0_4_Prophets_Exile.xlsx</t>
        </is>
      </c>
      <c r="C311" s="15" t="inlineStr">
        <is>
          <t xml:space="preserve">CRS-04-050</t>
        </is>
      </c>
      <c r="D311" s="15">
        <v>50</v>
      </c>
      <c r="E311" s="15">
        <v>4</v>
      </c>
      <c r="F311" s="15"/>
      <c r="G311" s="15" t="inlineStr">
        <is>
          <t xml:space="preserve">Post-exilic restoration horizon</t>
        </is>
      </c>
      <c r="H311" s="15" t="inlineStr">
        <is>
          <t xml:space="preserve">Community after return</t>
        </is>
      </c>
      <c r="I311" s="15" t="inlineStr">
        <is>
          <t xml:space="preserve">Isaiah: Zion's renewal</t>
        </is>
      </c>
      <c r="J311" s="15" t="inlineStr">
        <is>
          <t xml:space="preserve">Isaiah 60-62</t>
        </is>
      </c>
      <c r="K311" s="15" t="inlineStr">
        <is>
          <t xml:space="preserve">Debated</t>
        </is>
      </c>
      <c r="L311" s="15" t="inlineStr">
        <is>
          <t xml:space="preserve">Probable</t>
        </is>
      </c>
      <c r="M311" s="15" t="inlineStr">
        <is>
          <t xml:space="preserve">Future Ezra-Nehemiah node</t>
        </is>
      </c>
      <c r="N311" s="15" t="inlineStr">
        <is>
          <t xml:space="preserve">Complete + Narrative</t>
        </is>
      </c>
      <c r="O311" s="15"/>
      <c r="P311" s="15" t="inlineStr">
        <is>
          <t xml:space="preserve">No</t>
        </is>
      </c>
      <c r="Q311" s="15" t="inlineStr">
        <is>
          <t xml:space="preserve">Exile and Return</t>
        </is>
      </c>
      <c r="R311" s="15" t="inlineStr">
        <is>
          <t xml:space="preserve">Future Ezra-Nehemiah node</t>
        </is>
      </c>
      <c r="S311" s="15" t="inlineStr">
        <is>
          <t xml:space="preserve">S2; S4; S7</t>
        </is>
      </c>
      <c r="T311" s="15"/>
      <c r="U311" s="13" t="inlineStr">
        <is>
          <t xml:space="preserve">Draft</t>
        </is>
      </c>
      <c r="V311" s="15"/>
      <c r="W311" s="15" t="inlineStr">
        <is>
          <t xml:space="preserve">No exact setting claim beyond broad horizon.</t>
        </is>
      </c>
    </row>
    <row r="312" ht="34" customHeight="1">
      <c r="A312" s="15" t="inlineStr">
        <is>
          <t xml:space="preserve">v0.4</t>
        </is>
      </c>
      <c r="B312" s="15" t="inlineStr">
        <is>
          <t xml:space="preserve">Bible_Journey_Canon_Map_v0_4_Prophets_Exile.xlsx</t>
        </is>
      </c>
      <c r="C312" s="15" t="inlineStr">
        <is>
          <t xml:space="preserve">CRS-04-051</t>
        </is>
      </c>
      <c r="D312" s="15">
        <v>51</v>
      </c>
      <c r="E312" s="15">
        <v>4</v>
      </c>
      <c r="F312" s="15"/>
      <c r="G312" s="15" t="inlineStr">
        <is>
          <t xml:space="preserve">Post-exilic restoration horizon</t>
        </is>
      </c>
      <c r="H312" s="15" t="inlineStr">
        <is>
          <t xml:space="preserve">Community after return</t>
        </is>
      </c>
      <c r="I312" s="15" t="inlineStr">
        <is>
          <t xml:space="preserve">Isaiah: lament, judgment, and final hope</t>
        </is>
      </c>
      <c r="J312" s="15" t="inlineStr">
        <is>
          <t xml:space="preserve">Isaiah 63-66</t>
        </is>
      </c>
      <c r="K312" s="15" t="inlineStr">
        <is>
          <t xml:space="preserve">Debated</t>
        </is>
      </c>
      <c r="L312" s="15" t="inlineStr">
        <is>
          <t xml:space="preserve">Probable</t>
        </is>
      </c>
      <c r="M312" s="15" t="inlineStr">
        <is>
          <t xml:space="preserve">Future Ezra-Nehemiah node</t>
        </is>
      </c>
      <c r="N312" s="15" t="inlineStr">
        <is>
          <t xml:space="preserve">Complete + Narrative</t>
        </is>
      </c>
      <c r="O312" s="15"/>
      <c r="P312" s="15" t="inlineStr">
        <is>
          <t xml:space="preserve">No</t>
        </is>
      </c>
      <c r="Q312" s="15" t="inlineStr">
        <is>
          <t xml:space="preserve">Exile and Return</t>
        </is>
      </c>
      <c r="R312" s="15" t="inlineStr">
        <is>
          <t xml:space="preserve">Future Ezra-Nehemiah node</t>
        </is>
      </c>
      <c r="S312" s="15" t="inlineStr">
        <is>
          <t xml:space="preserve">S2; S4; S7</t>
        </is>
      </c>
      <c r="T312" s="15"/>
      <c r="U312" s="13" t="inlineStr">
        <is>
          <t xml:space="preserve">Draft</t>
        </is>
      </c>
      <c r="V312" s="15"/>
      <c r="W312" s="15" t="inlineStr">
        <is>
          <t xml:space="preserve">Avoid representing the final chapters as a single dated sermon.</t>
        </is>
      </c>
    </row>
    <row r="313" ht="34" customHeight="1">
      <c r="A313" s="15" t="inlineStr">
        <is>
          <t xml:space="preserve">v0.4</t>
        </is>
      </c>
      <c r="B313" s="15" t="inlineStr">
        <is>
          <t xml:space="preserve">Bible_Journey_Canon_Map_v0_4_Prophets_Exile.xlsx</t>
        </is>
      </c>
      <c r="C313" s="15" t="inlineStr">
        <is>
          <t xml:space="preserve">CRS-04-052</t>
        </is>
      </c>
      <c r="D313" s="15">
        <v>52</v>
      </c>
      <c r="E313" s="15">
        <v>4</v>
      </c>
      <c r="F313" s="15"/>
      <c r="G313" s="15" t="inlineStr">
        <is>
          <t xml:space="preserve">Chronological placement unresolved</t>
        </is>
      </c>
      <c r="H313" s="15" t="inlineStr">
        <is>
          <t xml:space="preserve">Joel / Persian-period option</t>
        </is>
      </c>
      <c r="I313" s="15" t="inlineStr">
        <is>
          <t xml:space="preserve">Joel: locust crisis, day of the Lord, and restoration</t>
        </is>
      </c>
      <c r="J313" s="15" t="inlineStr">
        <is>
          <t xml:space="preserve">Joel 1-3</t>
        </is>
      </c>
      <c r="K313" s="15" t="inlineStr">
        <is>
          <t xml:space="preserve">Debated</t>
        </is>
      </c>
      <c r="L313" s="15" t="inlineStr">
        <is>
          <t xml:space="preserve">Debated</t>
        </is>
      </c>
      <c r="M313" s="15" t="inlineStr">
        <is>
          <t xml:space="preserve">Future post-exilic node</t>
        </is>
      </c>
      <c r="N313" s="15" t="inlineStr">
        <is>
          <t xml:space="preserve">Complete + Narrative</t>
        </is>
      </c>
      <c r="O313" s="15"/>
      <c r="P313" s="15" t="inlineStr">
        <is>
          <t xml:space="preserve">No</t>
        </is>
      </c>
      <c r="Q313" s="15" t="inlineStr">
        <is>
          <t xml:space="preserve">Prophetic Themes and the Day of the Lord</t>
        </is>
      </c>
      <c r="R313" s="15" t="inlineStr">
        <is>
          <t xml:space="preserve">Future post-exilic node</t>
        </is>
      </c>
      <c r="S313" s="15" t="inlineStr">
        <is>
          <t xml:space="preserve">S7</t>
        </is>
      </c>
      <c r="T313" s="15"/>
      <c r="U313" s="13" t="inlineStr">
        <is>
          <t xml:space="preserve">Draft</t>
        </is>
      </c>
      <c r="V313" s="15"/>
      <c r="W313" s="15" t="inlineStr">
        <is>
          <t xml:space="preserve">This is an intentional honesty feature: not every biblical book has a single defensible chronological slot.</t>
        </is>
      </c>
    </row>
    <row r="314" ht="34" customHeight="1">
      <c r="A314" s="15" t="inlineStr">
        <is>
          <t xml:space="preserve">v0.5</t>
        </is>
      </c>
      <c r="B314" s="15" t="inlineStr">
        <is>
          <t xml:space="preserve">Bible_Journey_Canon_Map_v0_5_Exile_Return_Persia.xlsx</t>
        </is>
      </c>
      <c r="C314" s="15" t="inlineStr">
        <is>
          <t xml:space="preserve">CRS-05-001</t>
        </is>
      </c>
      <c r="D314" s="15">
        <v>1</v>
      </c>
      <c r="E314" s="15">
        <v>5</v>
      </c>
      <c r="F314" s="15"/>
      <c r="G314" s="15" t="inlineStr">
        <is>
          <t xml:space="preserve">Late Judah</t>
        </is>
      </c>
      <c r="H314" s="15"/>
      <c r="I314" s="15" t="inlineStr">
        <is>
          <t xml:space="preserve">Habakkuk: violence, Babylon, and faithful waiting</t>
        </is>
      </c>
      <c r="J314" s="15"/>
      <c r="K314" s="15" t="inlineStr">
        <is>
          <t xml:space="preserve">Probable</t>
        </is>
      </c>
      <c r="L314" s="15" t="inlineStr">
        <is>
          <t xml:space="preserve">Probable</t>
        </is>
      </c>
      <c r="M314" s="15" t="inlineStr">
        <is>
          <t xml:space="preserve">Late 7th century BCE (pre-586)</t>
        </is>
      </c>
      <c r="N314" s="15" t="inlineStr">
        <is>
          <t xml:space="preserve">Read as one prophetic collection before the 597/586 exile sequence.</t>
        </is>
      </c>
      <c r="O314" s="15" t="inlineStr">
        <is>
          <t xml:space="preserve">Read in full; provide a short chronology note before entry.</t>
        </is>
      </c>
      <c r="P314" s="15" t="inlineStr">
        <is>
          <t xml:space="preserve">Not applicable</t>
        </is>
      </c>
      <c r="Q314" s="15" t="inlineStr">
        <is>
          <t xml:space="preserve">Journey: Exile and Return</t>
        </is>
      </c>
      <c r="R314" s="15"/>
      <c r="S314" s="15" t="inlineStr">
        <is>
          <t xml:space="preserve">SRC-01</t>
        </is>
      </c>
      <c r="T314" s="15"/>
      <c r="U314" s="13" t="inlineStr">
        <is>
          <t xml:space="preserve">Draft</t>
        </is>
      </c>
      <c r="V314" s="15" t="inlineStr">
        <is>
          <t xml:space="preserve">Yes</t>
        </is>
      </c>
      <c r="W314" s="15" t="inlineStr">
        <is>
          <t xml:space="preserve">Exact relation to individual Judean kings remains unsettled.</t>
        </is>
      </c>
    </row>
    <row r="315" ht="34" customHeight="1">
      <c r="A315" s="15" t="inlineStr">
        <is>
          <t xml:space="preserve">v0.5</t>
        </is>
      </c>
      <c r="B315" s="15" t="inlineStr">
        <is>
          <t xml:space="preserve">Bible_Journey_Canon_Map_v0_5_Exile_Return_Persia.xlsx</t>
        </is>
      </c>
      <c r="C315" s="15" t="inlineStr">
        <is>
          <t xml:space="preserve">CRS-05-002</t>
        </is>
      </c>
      <c r="D315" s="15">
        <v>2</v>
      </c>
      <c r="E315" s="15">
        <v>5</v>
      </c>
      <c r="F315" s="15"/>
      <c r="G315" s="15" t="inlineStr">
        <is>
          <t xml:space="preserve">Babylonian Exile</t>
        </is>
      </c>
      <c r="H315" s="15"/>
      <c r="I315" s="15" t="inlineStr">
        <is>
          <t xml:space="preserve">Daniel enters Babylonian court</t>
        </is>
      </c>
      <c r="J315" s="15"/>
      <c r="K315" s="15" t="inlineStr">
        <is>
          <t xml:space="preserve">High</t>
        </is>
      </c>
      <c r="L315" s="15" t="inlineStr">
        <is>
          <t xml:space="preserve">Debated</t>
        </is>
      </c>
      <c r="M315" s="15" t="inlineStr">
        <is>
          <t xml:space="preserve">c. 605 BCE (narrative setting)</t>
        </is>
      </c>
      <c r="N315" s="15" t="inlineStr">
        <is>
          <t xml:space="preserve">Read before Ezekiel's first dated vision, with a clear two-layer date label.</t>
        </is>
      </c>
      <c r="O315" s="15" t="inlineStr">
        <is>
          <t xml:space="preserve">Read in full; brief note explains narrative-setting vs composition chronology.</t>
        </is>
      </c>
      <c r="P315" s="15" t="inlineStr">
        <is>
          <t xml:space="preserve">Compare composition notes only, not Bible accounts.</t>
        </is>
      </c>
      <c r="Q315" s="15" t="inlineStr">
        <is>
          <t xml:space="preserve">Journey: Exile and Return</t>
        </is>
      </c>
      <c r="R315" s="15"/>
      <c r="S315" s="15" t="inlineStr">
        <is>
          <t xml:space="preserve">SRC-05; SRC-06</t>
        </is>
      </c>
      <c r="T315" s="15"/>
      <c r="U315" s="13" t="inlineStr">
        <is>
          <t xml:space="preserve">Draft</t>
        </is>
      </c>
      <c r="V315" s="15" t="inlineStr">
        <is>
          <t xml:space="preserve">Yes</t>
        </is>
      </c>
      <c r="W315" s="15" t="inlineStr">
        <is>
          <t xml:space="preserve">Narrative setting is distinct from scholarly discussions of composition.</t>
        </is>
      </c>
    </row>
    <row r="316" ht="34" customHeight="1">
      <c r="A316" s="15" t="inlineStr">
        <is>
          <t xml:space="preserve">v0.5</t>
        </is>
      </c>
      <c r="B316" s="15" t="inlineStr">
        <is>
          <t xml:space="preserve">Bible_Journey_Canon_Map_v0_5_Exile_Return_Persia.xlsx</t>
        </is>
      </c>
      <c r="C316" s="15" t="inlineStr">
        <is>
          <t xml:space="preserve">CRS-05-003</t>
        </is>
      </c>
      <c r="D316" s="15">
        <v>3</v>
      </c>
      <c r="E316" s="15">
        <v>5</v>
      </c>
      <c r="F316" s="15"/>
      <c r="G316" s="15" t="inlineStr">
        <is>
          <t xml:space="preserve">Babylonian Exile</t>
        </is>
      </c>
      <c r="H316" s="15"/>
      <c r="I316" s="15" t="inlineStr">
        <is>
          <t xml:space="preserve">Nebuchadnezzar court narratives</t>
        </is>
      </c>
      <c r="J316" s="15"/>
      <c r="K316" s="15" t="inlineStr">
        <is>
          <t xml:space="preserve">Probable</t>
        </is>
      </c>
      <c r="L316" s="15" t="inlineStr">
        <is>
          <t xml:space="preserve">Debated</t>
        </is>
      </c>
      <c r="M316" s="15" t="inlineStr">
        <is>
          <t xml:space="preserve">c. 604-562 BCE (broad narrative window)</t>
        </is>
      </c>
      <c r="N316" s="15" t="inlineStr">
        <is>
          <t xml:space="preserve">Read as a bounded court-tale collection after Daniel 1; surface the broad date window.</t>
        </is>
      </c>
      <c r="O316" s="15" t="inlineStr">
        <is>
          <t xml:space="preserve">Read as a collection; user may continue directly to dated exilic stream.</t>
        </is>
      </c>
      <c r="P316" s="15" t="inlineStr">
        <is>
          <t xml:space="preserve">Not applicable</t>
        </is>
      </c>
      <c r="Q316" s="15" t="inlineStr">
        <is>
          <t xml:space="preserve">Journey: Exile and Return</t>
        </is>
      </c>
      <c r="R316" s="15"/>
      <c r="S316" s="15" t="inlineStr">
        <is>
          <t xml:space="preserve">SRC-05; SRC-06</t>
        </is>
      </c>
      <c r="T316" s="15"/>
      <c r="U316" s="13" t="inlineStr">
        <is>
          <t xml:space="preserve">Draft</t>
        </is>
      </c>
      <c r="V316" s="15" t="inlineStr">
        <is>
          <t xml:space="preserve">Yes</t>
        </is>
      </c>
      <c r="W316" s="15" t="inlineStr">
        <is>
          <t xml:space="preserve">Daniel 4 lacks a firm internal date and can overlap other material.</t>
        </is>
      </c>
    </row>
    <row r="317" ht="34" customHeight="1">
      <c r="A317" s="15" t="inlineStr">
        <is>
          <t xml:space="preserve">v0.5</t>
        </is>
      </c>
      <c r="B317" s="15" t="inlineStr">
        <is>
          <t xml:space="preserve">Bible_Journey_Canon_Map_v0_5_Exile_Return_Persia.xlsx</t>
        </is>
      </c>
      <c r="C317" s="15" t="inlineStr">
        <is>
          <t xml:space="preserve">CRS-05-004</t>
        </is>
      </c>
      <c r="D317" s="15">
        <v>4</v>
      </c>
      <c r="E317" s="15">
        <v>5</v>
      </c>
      <c r="F317" s="15"/>
      <c r="G317" s="15" t="inlineStr">
        <is>
          <t xml:space="preserve">Babylonian Exile</t>
        </is>
      </c>
      <c r="H317" s="15"/>
      <c r="I317" s="15" t="inlineStr">
        <is>
          <t xml:space="preserve">Ezekiel's call by the Chebar canal</t>
        </is>
      </c>
      <c r="J317" s="15"/>
      <c r="K317" s="15" t="inlineStr">
        <is>
          <t xml:space="preserve">High</t>
        </is>
      </c>
      <c r="L317" s="15" t="inlineStr">
        <is>
          <t xml:space="preserve">High</t>
        </is>
      </c>
      <c r="M317" s="15" t="inlineStr">
        <is>
          <t xml:space="preserve">593 BCE</t>
        </is>
      </c>
      <c r="N317" s="15" t="inlineStr">
        <is>
          <t xml:space="preserve">Read in chronological stream; preserve block boundaries and book-order exceptions.</t>
        </is>
      </c>
      <c r="O317" s="15" t="inlineStr">
        <is>
          <t xml:space="preserve">Read in full; context notes remain optional.</t>
        </is>
      </c>
      <c r="P317" s="15" t="inlineStr">
        <is>
          <t xml:space="preserve">Not applicable</t>
        </is>
      </c>
      <c r="Q317" s="15" t="inlineStr">
        <is>
          <t xml:space="preserve">Journey: Exile and Return</t>
        </is>
      </c>
      <c r="R317" s="15"/>
      <c r="S317" s="15" t="inlineStr">
        <is>
          <t xml:space="preserve">SRC-03; SRC-04; SRC-15</t>
        </is>
      </c>
      <c r="T317" s="15"/>
      <c r="U317" s="13" t="inlineStr">
        <is>
          <t xml:space="preserve">Draft</t>
        </is>
      </c>
      <c r="V317" s="15" t="inlineStr">
        <is>
          <t xml:space="preserve">No</t>
        </is>
      </c>
      <c r="W317" s="15" t="inlineStr">
        <is>
          <t xml:space="preserve">Ezekiel 1:1 provides a dated exilic setting.</t>
        </is>
      </c>
    </row>
    <row r="318" ht="34" customHeight="1">
      <c r="A318" s="15" t="inlineStr">
        <is>
          <t xml:space="preserve">v0.5</t>
        </is>
      </c>
      <c r="B318" s="15" t="inlineStr">
        <is>
          <t xml:space="preserve">Bible_Journey_Canon_Map_v0_5_Exile_Return_Persia.xlsx</t>
        </is>
      </c>
      <c r="C318" s="15" t="inlineStr">
        <is>
          <t xml:space="preserve">CRS-05-005</t>
        </is>
      </c>
      <c r="D318" s="15">
        <v>5</v>
      </c>
      <c r="E318" s="15">
        <v>5</v>
      </c>
      <c r="F318" s="15"/>
      <c r="G318" s="15" t="inlineStr">
        <is>
          <t xml:space="preserve">Babylonian Exile</t>
        </is>
      </c>
      <c r="H318" s="15"/>
      <c r="I318" s="15" t="inlineStr">
        <is>
          <t xml:space="preserve">Watchman and enacted judgment</t>
        </is>
      </c>
      <c r="J318" s="15"/>
      <c r="K318" s="15" t="inlineStr">
        <is>
          <t xml:space="preserve">High</t>
        </is>
      </c>
      <c r="L318" s="15" t="inlineStr">
        <is>
          <t xml:space="preserve">High</t>
        </is>
      </c>
      <c r="M318" s="15" t="inlineStr">
        <is>
          <t xml:space="preserve">593-592 BCE</t>
        </is>
      </c>
      <c r="N318" s="15" t="inlineStr">
        <is>
          <t xml:space="preserve">Read in chronological stream; preserve block boundaries and book-order exceptions.</t>
        </is>
      </c>
      <c r="O318" s="15" t="inlineStr">
        <is>
          <t xml:space="preserve">Read in full; context notes remain optional.</t>
        </is>
      </c>
      <c r="P318" s="15" t="inlineStr">
        <is>
          <t xml:space="preserve">Not applicable</t>
        </is>
      </c>
      <c r="Q318" s="15" t="inlineStr">
        <is>
          <t xml:space="preserve">Journey: Exile and Return</t>
        </is>
      </c>
      <c r="R318" s="15"/>
      <c r="S318" s="15" t="inlineStr">
        <is>
          <t xml:space="preserve">SRC-03; SRC-04; SRC-15</t>
        </is>
      </c>
      <c r="T318" s="15"/>
      <c r="U318" s="13" t="inlineStr">
        <is>
          <t xml:space="preserve">Draft</t>
        </is>
      </c>
      <c r="V318" s="15" t="inlineStr">
        <is>
          <t xml:space="preserve">No</t>
        </is>
      </c>
      <c r="W318" s="15" t="inlineStr">
        <is>
          <t xml:space="preserve">Continues after the call within book's early dated sequence.</t>
        </is>
      </c>
    </row>
    <row r="319" ht="34" customHeight="1">
      <c r="A319" s="15" t="inlineStr">
        <is>
          <t xml:space="preserve">v0.5</t>
        </is>
      </c>
      <c r="B319" s="15" t="inlineStr">
        <is>
          <t xml:space="preserve">Bible_Journey_Canon_Map_v0_5_Exile_Return_Persia.xlsx</t>
        </is>
      </c>
      <c r="C319" s="15" t="inlineStr">
        <is>
          <t xml:space="preserve">CRS-05-006</t>
        </is>
      </c>
      <c r="D319" s="15">
        <v>6</v>
      </c>
      <c r="E319" s="15">
        <v>5</v>
      </c>
      <c r="F319" s="15"/>
      <c r="G319" s="15" t="inlineStr">
        <is>
          <t xml:space="preserve">Babylonian Exile</t>
        </is>
      </c>
      <c r="H319" s="15"/>
      <c r="I319" s="15" t="inlineStr">
        <is>
          <t xml:space="preserve">Temple abominations and departing glory</t>
        </is>
      </c>
      <c r="J319" s="15"/>
      <c r="K319" s="15" t="inlineStr">
        <is>
          <t xml:space="preserve">High</t>
        </is>
      </c>
      <c r="L319" s="15" t="inlineStr">
        <is>
          <t xml:space="preserve">High</t>
        </is>
      </c>
      <c r="M319" s="15" t="inlineStr">
        <is>
          <t xml:space="preserve">592 BCE</t>
        </is>
      </c>
      <c r="N319" s="15" t="inlineStr">
        <is>
          <t xml:space="preserve">Read in chronological stream; preserve block boundaries and book-order exceptions.</t>
        </is>
      </c>
      <c r="O319" s="15" t="inlineStr">
        <is>
          <t xml:space="preserve">Read in full; context notes remain optional.</t>
        </is>
      </c>
      <c r="P319" s="15" t="inlineStr">
        <is>
          <t xml:space="preserve">Not applicable</t>
        </is>
      </c>
      <c r="Q319" s="15" t="inlineStr">
        <is>
          <t xml:space="preserve">Journey: Exile and Return</t>
        </is>
      </c>
      <c r="R319" s="15"/>
      <c r="S319" s="15" t="inlineStr">
        <is>
          <t xml:space="preserve">SRC-03; SRC-04; SRC-15</t>
        </is>
      </c>
      <c r="T319" s="15"/>
      <c r="U319" s="13" t="inlineStr">
        <is>
          <t xml:space="preserve">Draft</t>
        </is>
      </c>
      <c r="V319" s="15" t="inlineStr">
        <is>
          <t xml:space="preserve">No</t>
        </is>
      </c>
      <c r="W319" s="15" t="inlineStr">
        <is>
          <t xml:space="preserve">Ezekiel 8:1 provides a dated setting.</t>
        </is>
      </c>
    </row>
    <row r="320" ht="34" customHeight="1">
      <c r="A320" s="15" t="inlineStr">
        <is>
          <t xml:space="preserve">v0.5</t>
        </is>
      </c>
      <c r="B320" s="15" t="inlineStr">
        <is>
          <t xml:space="preserve">Bible_Journey_Canon_Map_v0_5_Exile_Return_Persia.xlsx</t>
        </is>
      </c>
      <c r="C320" s="15" t="inlineStr">
        <is>
          <t xml:space="preserve">CRS-05-007</t>
        </is>
      </c>
      <c r="D320" s="15">
        <v>7</v>
      </c>
      <c r="E320" s="15">
        <v>5</v>
      </c>
      <c r="F320" s="15"/>
      <c r="G320" s="15" t="inlineStr">
        <is>
          <t xml:space="preserve">Babylonian Exile</t>
        </is>
      </c>
      <c r="H320" s="15"/>
      <c r="I320" s="15" t="inlineStr">
        <is>
          <t xml:space="preserve">Jerusalem under siege: signs and laments</t>
        </is>
      </c>
      <c r="J320" s="15"/>
      <c r="K320" s="15" t="inlineStr">
        <is>
          <t xml:space="preserve">Probable</t>
        </is>
      </c>
      <c r="L320" s="15" t="inlineStr">
        <is>
          <t xml:space="preserve">Probable</t>
        </is>
      </c>
      <c r="M320" s="15" t="inlineStr">
        <is>
          <t xml:space="preserve">c. 591 BCE</t>
        </is>
      </c>
      <c r="N320" s="15" t="inlineStr">
        <is>
          <t xml:space="preserve">Read in chronological stream; preserve block boundaries and book-order exceptions.</t>
        </is>
      </c>
      <c r="O320" s="15" t="inlineStr">
        <is>
          <t xml:space="preserve">Read in full; context notes remain optional.</t>
        </is>
      </c>
      <c r="P320" s="15" t="inlineStr">
        <is>
          <t xml:space="preserve">Not applicable</t>
        </is>
      </c>
      <c r="Q320" s="15" t="inlineStr">
        <is>
          <t xml:space="preserve">Journey: Exile and Return</t>
        </is>
      </c>
      <c r="R320" s="15"/>
      <c r="S320" s="15" t="inlineStr">
        <is>
          <t xml:space="preserve">SRC-03; SRC-04; SRC-15</t>
        </is>
      </c>
      <c r="T320" s="15"/>
      <c r="U320" s="13" t="inlineStr">
        <is>
          <t xml:space="preserve">Draft</t>
        </is>
      </c>
      <c r="V320" s="15" t="inlineStr">
        <is>
          <t xml:space="preserve">No</t>
        </is>
      </c>
      <c r="W320" s="15" t="inlineStr">
        <is>
          <t xml:space="preserve">Dated and thematic material is grouped within the book's pre-fall arc.</t>
        </is>
      </c>
    </row>
    <row r="321" ht="34" customHeight="1">
      <c r="A321" s="15" t="inlineStr">
        <is>
          <t xml:space="preserve">v0.5</t>
        </is>
      </c>
      <c r="B321" s="15" t="inlineStr">
        <is>
          <t xml:space="preserve">Bible_Journey_Canon_Map_v0_5_Exile_Return_Persia.xlsx</t>
        </is>
      </c>
      <c r="C321" s="15" t="inlineStr">
        <is>
          <t xml:space="preserve">CRS-05-008</t>
        </is>
      </c>
      <c r="D321" s="15">
        <v>8</v>
      </c>
      <c r="E321" s="15">
        <v>5</v>
      </c>
      <c r="F321" s="15"/>
      <c r="G321" s="15" t="inlineStr">
        <is>
          <t xml:space="preserve">Babylonian Exile</t>
        </is>
      </c>
      <c r="H321" s="15"/>
      <c r="I321" s="15" t="inlineStr">
        <is>
          <t xml:space="preserve">Covenant history and the final siege</t>
        </is>
      </c>
      <c r="J321" s="15"/>
      <c r="K321" s="15" t="inlineStr">
        <is>
          <t xml:space="preserve">High</t>
        </is>
      </c>
      <c r="L321" s="15" t="inlineStr">
        <is>
          <t xml:space="preserve">Probable</t>
        </is>
      </c>
      <c r="M321" s="15" t="inlineStr">
        <is>
          <t xml:space="preserve">591-588 BCE</t>
        </is>
      </c>
      <c r="N321" s="15" t="inlineStr">
        <is>
          <t xml:space="preserve">Read in chronological stream; preserve block boundaries and book-order exceptions.</t>
        </is>
      </c>
      <c r="O321" s="15" t="inlineStr">
        <is>
          <t xml:space="preserve">Read in full; context notes remain optional.</t>
        </is>
      </c>
      <c r="P321" s="15" t="inlineStr">
        <is>
          <t xml:space="preserve">Not applicable</t>
        </is>
      </c>
      <c r="Q321" s="15" t="inlineStr">
        <is>
          <t xml:space="preserve">Journey: Exile and Return</t>
        </is>
      </c>
      <c r="R321" s="15"/>
      <c r="S321" s="15" t="inlineStr">
        <is>
          <t xml:space="preserve">SRC-03; SRC-04; SRC-15</t>
        </is>
      </c>
      <c r="T321" s="15"/>
      <c r="U321" s="13" t="inlineStr">
        <is>
          <t xml:space="preserve">Draft</t>
        </is>
      </c>
      <c r="V321" s="15" t="inlineStr">
        <is>
          <t xml:space="preserve">No</t>
        </is>
      </c>
      <c r="W321" s="15" t="inlineStr">
        <is>
          <t xml:space="preserve">Chapter-level dates place the material before the fall; exact internal ordering uses the book's sequence.</t>
        </is>
      </c>
    </row>
    <row r="322" ht="34" customHeight="1">
      <c r="A322" s="15" t="inlineStr">
        <is>
          <t xml:space="preserve">v0.5</t>
        </is>
      </c>
      <c r="B322" s="15" t="inlineStr">
        <is>
          <t xml:space="preserve">Bible_Journey_Canon_Map_v0_5_Exile_Return_Persia.xlsx</t>
        </is>
      </c>
      <c r="C322" s="15" t="inlineStr">
        <is>
          <t xml:space="preserve">CRS-05-009</t>
        </is>
      </c>
      <c r="D322" s="15">
        <v>9</v>
      </c>
      <c r="E322" s="15">
        <v>5</v>
      </c>
      <c r="F322" s="15"/>
      <c r="G322" s="15" t="inlineStr">
        <is>
          <t xml:space="preserve">Babylonian Exile</t>
        </is>
      </c>
      <c r="H322" s="15"/>
      <c r="I322" s="15" t="inlineStr">
        <is>
          <t xml:space="preserve">Oracles against neighboring nations</t>
        </is>
      </c>
      <c r="J322" s="15"/>
      <c r="K322" s="15" t="inlineStr">
        <is>
          <t xml:space="preserve">Probable</t>
        </is>
      </c>
      <c r="L322" s="15" t="inlineStr">
        <is>
          <t xml:space="preserve">Probable</t>
        </is>
      </c>
      <c r="M322" s="15" t="inlineStr">
        <is>
          <t xml:space="preserve">587-586 BCE and later</t>
        </is>
      </c>
      <c r="N322" s="15" t="inlineStr">
        <is>
          <t xml:space="preserve">Read in chronological stream; preserve block boundaries and book-order exceptions.</t>
        </is>
      </c>
      <c r="O322" s="15" t="inlineStr">
        <is>
          <t xml:space="preserve">Read in full; context notes remain optional.</t>
        </is>
      </c>
      <c r="P322" s="15" t="inlineStr">
        <is>
          <t xml:space="preserve">Not applicable</t>
        </is>
      </c>
      <c r="Q322" s="15" t="inlineStr">
        <is>
          <t xml:space="preserve">Journey: Exile and Return</t>
        </is>
      </c>
      <c r="R322" s="15"/>
      <c r="S322" s="15" t="inlineStr">
        <is>
          <t xml:space="preserve">SRC-03; SRC-04; SRC-15</t>
        </is>
      </c>
      <c r="T322" s="15"/>
      <c r="U322" s="13" t="inlineStr">
        <is>
          <t xml:space="preserve">Draft</t>
        </is>
      </c>
      <c r="V322" s="15" t="inlineStr">
        <is>
          <t xml:space="preserve">No</t>
        </is>
      </c>
      <c r="W322" s="15" t="inlineStr">
        <is>
          <t xml:space="preserve">Placed after Jerusalem's fall sequence as a contextual collection.</t>
        </is>
      </c>
    </row>
    <row r="323" ht="34" customHeight="1">
      <c r="A323" s="15" t="inlineStr">
        <is>
          <t xml:space="preserve">v0.5</t>
        </is>
      </c>
      <c r="B323" s="15" t="inlineStr">
        <is>
          <t xml:space="preserve">Bible_Journey_Canon_Map_v0_5_Exile_Return_Persia.xlsx</t>
        </is>
      </c>
      <c r="C323" s="15" t="inlineStr">
        <is>
          <t xml:space="preserve">CRS-05-010</t>
        </is>
      </c>
      <c r="D323" s="15">
        <v>10</v>
      </c>
      <c r="E323" s="15">
        <v>5</v>
      </c>
      <c r="F323" s="15"/>
      <c r="G323" s="15" t="inlineStr">
        <is>
          <t xml:space="preserve">Babylonian Exile</t>
        </is>
      </c>
      <c r="H323" s="15"/>
      <c r="I323" s="15" t="inlineStr">
        <is>
          <t xml:space="preserve">Egypt oracle: first dated block</t>
        </is>
      </c>
      <c r="J323" s="15"/>
      <c r="K323" s="15" t="inlineStr">
        <is>
          <t xml:space="preserve">High</t>
        </is>
      </c>
      <c r="L323" s="15" t="inlineStr">
        <is>
          <t xml:space="preserve">High</t>
        </is>
      </c>
      <c r="M323" s="15" t="inlineStr">
        <is>
          <t xml:space="preserve">587 BCE</t>
        </is>
      </c>
      <c r="N323" s="15" t="inlineStr">
        <is>
          <t xml:space="preserve">Read in chronological stream; preserve block boundaries and book-order exceptions.</t>
        </is>
      </c>
      <c r="O323" s="15" t="inlineStr">
        <is>
          <t xml:space="preserve">Read in full; context notes remain optional.</t>
        </is>
      </c>
      <c r="P323" s="15" t="inlineStr">
        <is>
          <t xml:space="preserve">Not applicable</t>
        </is>
      </c>
      <c r="Q323" s="15" t="inlineStr">
        <is>
          <t xml:space="preserve">Journey: Exile and Return</t>
        </is>
      </c>
      <c r="R323" s="15"/>
      <c r="S323" s="15" t="inlineStr">
        <is>
          <t xml:space="preserve">SRC-03; SRC-04; SRC-15</t>
        </is>
      </c>
      <c r="T323" s="15"/>
      <c r="U323" s="13" t="inlineStr">
        <is>
          <t xml:space="preserve">Draft</t>
        </is>
      </c>
      <c r="V323" s="15" t="inlineStr">
        <is>
          <t xml:space="preserve">No</t>
        </is>
      </c>
      <c r="W323" s="15" t="inlineStr">
        <is>
          <t xml:space="preserve">Ezekiel 29:1 supplies a date.</t>
        </is>
      </c>
    </row>
    <row r="324" ht="34" customHeight="1">
      <c r="A324" s="15" t="inlineStr">
        <is>
          <t xml:space="preserve">v0.5</t>
        </is>
      </c>
      <c r="B324" s="15" t="inlineStr">
        <is>
          <t xml:space="preserve">Bible_Journey_Canon_Map_v0_5_Exile_Return_Persia.xlsx</t>
        </is>
      </c>
      <c r="C324" s="15" t="inlineStr">
        <is>
          <t xml:space="preserve">CRS-05-011</t>
        </is>
      </c>
      <c r="D324" s="15">
        <v>11</v>
      </c>
      <c r="E324" s="15">
        <v>5</v>
      </c>
      <c r="F324" s="15"/>
      <c r="G324" s="15" t="inlineStr">
        <is>
          <t xml:space="preserve">Babylonian Exile</t>
        </is>
      </c>
      <c r="H324" s="15"/>
      <c r="I324" s="15" t="inlineStr">
        <is>
          <t xml:space="preserve">Egypt oracle: further warnings</t>
        </is>
      </c>
      <c r="J324" s="15"/>
      <c r="K324" s="15" t="inlineStr">
        <is>
          <t xml:space="preserve">Probable</t>
        </is>
      </c>
      <c r="L324" s="15" t="inlineStr">
        <is>
          <t xml:space="preserve">Probable</t>
        </is>
      </c>
      <c r="M324" s="15" t="inlineStr">
        <is>
          <t xml:space="preserve">587 BCE</t>
        </is>
      </c>
      <c r="N324" s="15" t="inlineStr">
        <is>
          <t xml:space="preserve">Read in chronological stream; preserve block boundaries and book-order exceptions.</t>
        </is>
      </c>
      <c r="O324" s="15" t="inlineStr">
        <is>
          <t xml:space="preserve">Read in full; context notes remain optional.</t>
        </is>
      </c>
      <c r="P324" s="15" t="inlineStr">
        <is>
          <t xml:space="preserve">Not applicable</t>
        </is>
      </c>
      <c r="Q324" s="15" t="inlineStr">
        <is>
          <t xml:space="preserve">Journey: Exile and Return</t>
        </is>
      </c>
      <c r="R324" s="15"/>
      <c r="S324" s="15" t="inlineStr">
        <is>
          <t xml:space="preserve">SRC-03; SRC-04; SRC-15</t>
        </is>
      </c>
      <c r="T324" s="15"/>
      <c r="U324" s="13" t="inlineStr">
        <is>
          <t xml:space="preserve">Draft</t>
        </is>
      </c>
      <c r="V324" s="15" t="inlineStr">
        <is>
          <t xml:space="preserve">No</t>
        </is>
      </c>
      <c r="W324" s="15" t="inlineStr">
        <is>
          <t xml:space="preserve">Book sequence retained within the Egypt-oracle cluster.</t>
        </is>
      </c>
    </row>
    <row r="325" ht="34" customHeight="1">
      <c r="A325" s="15" t="inlineStr">
        <is>
          <t xml:space="preserve">v0.5</t>
        </is>
      </c>
      <c r="B325" s="15" t="inlineStr">
        <is>
          <t xml:space="preserve">Bible_Journey_Canon_Map_v0_5_Exile_Return_Persia.xlsx</t>
        </is>
      </c>
      <c r="C325" s="15" t="inlineStr">
        <is>
          <t xml:space="preserve">CRS-05-012</t>
        </is>
      </c>
      <c r="D325" s="15">
        <v>12</v>
      </c>
      <c r="E325" s="15">
        <v>5</v>
      </c>
      <c r="F325" s="15"/>
      <c r="G325" s="15" t="inlineStr">
        <is>
          <t xml:space="preserve">Babylonian Exile</t>
        </is>
      </c>
      <c r="H325" s="15"/>
      <c r="I325" s="15" t="inlineStr">
        <is>
          <t xml:space="preserve">Lament for Egypt</t>
        </is>
      </c>
      <c r="J325" s="15"/>
      <c r="K325" s="15" t="inlineStr">
        <is>
          <t xml:space="preserve">High</t>
        </is>
      </c>
      <c r="L325" s="15" t="inlineStr">
        <is>
          <t xml:space="preserve">High</t>
        </is>
      </c>
      <c r="M325" s="15" t="inlineStr">
        <is>
          <t xml:space="preserve">585 BCE</t>
        </is>
      </c>
      <c r="N325" s="15" t="inlineStr">
        <is>
          <t xml:space="preserve">Read in chronological stream; preserve block boundaries and book-order exceptions.</t>
        </is>
      </c>
      <c r="O325" s="15" t="inlineStr">
        <is>
          <t xml:space="preserve">Read in full; context notes remain optional.</t>
        </is>
      </c>
      <c r="P325" s="15" t="inlineStr">
        <is>
          <t xml:space="preserve">Not applicable</t>
        </is>
      </c>
      <c r="Q325" s="15" t="inlineStr">
        <is>
          <t xml:space="preserve">Journey: Exile and Return</t>
        </is>
      </c>
      <c r="R325" s="15"/>
      <c r="S325" s="15" t="inlineStr">
        <is>
          <t xml:space="preserve">SRC-03; SRC-04; SRC-15</t>
        </is>
      </c>
      <c r="T325" s="15"/>
      <c r="U325" s="13" t="inlineStr">
        <is>
          <t xml:space="preserve">Draft</t>
        </is>
      </c>
      <c r="V325" s="15" t="inlineStr">
        <is>
          <t xml:space="preserve">No</t>
        </is>
      </c>
      <c r="W325" s="15" t="inlineStr">
        <is>
          <t xml:space="preserve">Ezekiel 32 is dated.</t>
        </is>
      </c>
    </row>
    <row r="326" ht="34" customHeight="1">
      <c r="A326" s="15" t="inlineStr">
        <is>
          <t xml:space="preserve">v0.5</t>
        </is>
      </c>
      <c r="B326" s="15" t="inlineStr">
        <is>
          <t xml:space="preserve">Bible_Journey_Canon_Map_v0_5_Exile_Return_Persia.xlsx</t>
        </is>
      </c>
      <c r="C326" s="15" t="inlineStr">
        <is>
          <t xml:space="preserve">CRS-05-013</t>
        </is>
      </c>
      <c r="D326" s="15">
        <v>13</v>
      </c>
      <c r="E326" s="15">
        <v>5</v>
      </c>
      <c r="F326" s="15"/>
      <c r="G326" s="15" t="inlineStr">
        <is>
          <t xml:space="preserve">Babylonian Exile</t>
        </is>
      </c>
      <c r="H326" s="15"/>
      <c r="I326" s="15" t="inlineStr">
        <is>
          <t xml:space="preserve">Watchman renewed before news of the fall</t>
        </is>
      </c>
      <c r="J326" s="15"/>
      <c r="K326" s="15" t="inlineStr">
        <is>
          <t xml:space="preserve">Probable</t>
        </is>
      </c>
      <c r="L326" s="15" t="inlineStr">
        <is>
          <t xml:space="preserve">Probable</t>
        </is>
      </c>
      <c r="M326" s="15" t="inlineStr">
        <is>
          <t xml:space="preserve">Before 586 BCE</t>
        </is>
      </c>
      <c r="N326" s="15" t="inlineStr">
        <is>
          <t xml:space="preserve">Read in chronological stream; preserve block boundaries and book-order exceptions.</t>
        </is>
      </c>
      <c r="O326" s="15" t="inlineStr">
        <is>
          <t xml:space="preserve">Read in full; context notes remain optional.</t>
        </is>
      </c>
      <c r="P326" s="15" t="inlineStr">
        <is>
          <t xml:space="preserve">Not applicable</t>
        </is>
      </c>
      <c r="Q326" s="15" t="inlineStr">
        <is>
          <t xml:space="preserve">Journey: Exile and Return</t>
        </is>
      </c>
      <c r="R326" s="15"/>
      <c r="S326" s="15" t="inlineStr">
        <is>
          <t xml:space="preserve">SRC-03; SRC-04; SRC-15</t>
        </is>
      </c>
      <c r="T326" s="15"/>
      <c r="U326" s="13" t="inlineStr">
        <is>
          <t xml:space="preserve">Draft</t>
        </is>
      </c>
      <c r="V326" s="15" t="inlineStr">
        <is>
          <t xml:space="preserve">Yes</t>
        </is>
      </c>
      <c r="W326" s="15" t="inlineStr">
        <is>
          <t xml:space="preserve">Chapter split is required for chronological reading.</t>
        </is>
      </c>
    </row>
    <row r="327" ht="34" customHeight="1">
      <c r="A327" s="15" t="inlineStr">
        <is>
          <t xml:space="preserve">v0.5</t>
        </is>
      </c>
      <c r="B327" s="15" t="inlineStr">
        <is>
          <t xml:space="preserve">Bible_Journey_Canon_Map_v0_5_Exile_Return_Persia.xlsx</t>
        </is>
      </c>
      <c r="C327" s="15" t="inlineStr">
        <is>
          <t xml:space="preserve">CRS-05-014</t>
        </is>
      </c>
      <c r="D327" s="15">
        <v>14</v>
      </c>
      <c r="E327" s="15">
        <v>5</v>
      </c>
      <c r="F327" s="15"/>
      <c r="G327" s="15" t="inlineStr">
        <is>
          <t xml:space="preserve">Babylonian Exile</t>
        </is>
      </c>
      <c r="H327" s="15"/>
      <c r="I327" s="15" t="inlineStr">
        <is>
          <t xml:space="preserve">News of Jerusalem's fall and restoration</t>
        </is>
      </c>
      <c r="J327" s="15"/>
      <c r="K327" s="15" t="inlineStr">
        <is>
          <t xml:space="preserve">High</t>
        </is>
      </c>
      <c r="L327" s="15" t="inlineStr">
        <is>
          <t xml:space="preserve">High</t>
        </is>
      </c>
      <c r="M327" s="15" t="inlineStr">
        <is>
          <t xml:space="preserve">586 BCE and after</t>
        </is>
      </c>
      <c r="N327" s="15" t="inlineStr">
        <is>
          <t xml:space="preserve">Read in chronological stream; preserve block boundaries and book-order exceptions.</t>
        </is>
      </c>
      <c r="O327" s="15" t="inlineStr">
        <is>
          <t xml:space="preserve">Read in full; context notes remain optional.</t>
        </is>
      </c>
      <c r="P327" s="15" t="inlineStr">
        <is>
          <t xml:space="preserve">Not applicable</t>
        </is>
      </c>
      <c r="Q327" s="15" t="inlineStr">
        <is>
          <t xml:space="preserve">Journey: Exile and Return</t>
        </is>
      </c>
      <c r="R327" s="15"/>
      <c r="S327" s="15" t="inlineStr">
        <is>
          <t xml:space="preserve">SRC-03; SRC-04; SRC-15</t>
        </is>
      </c>
      <c r="T327" s="15"/>
      <c r="U327" s="13" t="inlineStr">
        <is>
          <t xml:space="preserve">Draft</t>
        </is>
      </c>
      <c r="V327" s="15" t="inlineStr">
        <is>
          <t xml:space="preserve">Yes</t>
        </is>
      </c>
      <c r="W327" s="15" t="inlineStr">
        <is>
          <t xml:space="preserve">Ezekiel 33:21 dates the report after Jerusalem's fall.</t>
        </is>
      </c>
    </row>
    <row r="328" ht="34" customHeight="1">
      <c r="A328" s="15" t="inlineStr">
        <is>
          <t xml:space="preserve">v0.5</t>
        </is>
      </c>
      <c r="B328" s="15" t="inlineStr">
        <is>
          <t xml:space="preserve">Bible_Journey_Canon_Map_v0_5_Exile_Return_Persia.xlsx</t>
        </is>
      </c>
      <c r="C328" s="15" t="inlineStr">
        <is>
          <t xml:space="preserve">CRS-05-015</t>
        </is>
      </c>
      <c r="D328" s="15">
        <v>15</v>
      </c>
      <c r="E328" s="15">
        <v>5</v>
      </c>
      <c r="F328" s="15"/>
      <c r="G328" s="15" t="inlineStr">
        <is>
          <t xml:space="preserve">Babylonian Exile</t>
        </is>
      </c>
      <c r="H328" s="15"/>
      <c r="I328" s="15" t="inlineStr">
        <is>
          <t xml:space="preserve">Restored temple vision</t>
        </is>
      </c>
      <c r="J328" s="15"/>
      <c r="K328" s="15" t="inlineStr">
        <is>
          <t xml:space="preserve">High</t>
        </is>
      </c>
      <c r="L328" s="15" t="inlineStr">
        <is>
          <t xml:space="preserve">High</t>
        </is>
      </c>
      <c r="M328" s="15" t="inlineStr">
        <is>
          <t xml:space="preserve">573 BCE</t>
        </is>
      </c>
      <c r="N328" s="15" t="inlineStr">
        <is>
          <t xml:space="preserve">Read in chronological stream; preserve block boundaries and book-order exceptions.</t>
        </is>
      </c>
      <c r="O328" s="15" t="inlineStr">
        <is>
          <t xml:space="preserve">Read in full; context notes remain optional.</t>
        </is>
      </c>
      <c r="P328" s="15" t="inlineStr">
        <is>
          <t xml:space="preserve">Not applicable</t>
        </is>
      </c>
      <c r="Q328" s="15" t="inlineStr">
        <is>
          <t xml:space="preserve">Journey: Exile and Return</t>
        </is>
      </c>
      <c r="R328" s="15"/>
      <c r="S328" s="15" t="inlineStr">
        <is>
          <t xml:space="preserve">SRC-03; SRC-04; SRC-15</t>
        </is>
      </c>
      <c r="T328" s="15"/>
      <c r="U328" s="13" t="inlineStr">
        <is>
          <t xml:space="preserve">Draft</t>
        </is>
      </c>
      <c r="V328" s="15" t="inlineStr">
        <is>
          <t xml:space="preserve">No</t>
        </is>
      </c>
      <c r="W328" s="15" t="inlineStr">
        <is>
          <t xml:space="preserve">Ezekiel 40:1 provides a date.</t>
        </is>
      </c>
    </row>
    <row r="329" ht="34" customHeight="1">
      <c r="A329" s="15" t="inlineStr">
        <is>
          <t xml:space="preserve">v0.5</t>
        </is>
      </c>
      <c r="B329" s="15" t="inlineStr">
        <is>
          <t xml:space="preserve">Bible_Journey_Canon_Map_v0_5_Exile_Return_Persia.xlsx</t>
        </is>
      </c>
      <c r="C329" s="15" t="inlineStr">
        <is>
          <t xml:space="preserve">CRS-05-016</t>
        </is>
      </c>
      <c r="D329" s="15">
        <v>16</v>
      </c>
      <c r="E329" s="15">
        <v>5</v>
      </c>
      <c r="F329" s="15"/>
      <c r="G329" s="15" t="inlineStr">
        <is>
          <t xml:space="preserve">Babylonian Exile</t>
        </is>
      </c>
      <c r="H329" s="15"/>
      <c r="I329" s="15" t="inlineStr">
        <is>
          <t xml:space="preserve">Late oracle of Tyre's wages</t>
        </is>
      </c>
      <c r="J329" s="15"/>
      <c r="K329" s="15" t="inlineStr">
        <is>
          <t xml:space="preserve">High</t>
        </is>
      </c>
      <c r="L329" s="15" t="inlineStr">
        <is>
          <t xml:space="preserve">High</t>
        </is>
      </c>
      <c r="M329" s="15" t="inlineStr">
        <is>
          <t xml:space="preserve">571 BCE</t>
        </is>
      </c>
      <c r="N329" s="15" t="inlineStr">
        <is>
          <t xml:space="preserve">Read in chronological stream; preserve block boundaries and book-order exceptions.</t>
        </is>
      </c>
      <c r="O329" s="15" t="inlineStr">
        <is>
          <t xml:space="preserve">Read in full; context notes remain optional.</t>
        </is>
      </c>
      <c r="P329" s="15" t="inlineStr">
        <is>
          <t xml:space="preserve">Not applicable</t>
        </is>
      </c>
      <c r="Q329" s="15" t="inlineStr">
        <is>
          <t xml:space="preserve">Journey: Exile and Return</t>
        </is>
      </c>
      <c r="R329" s="15"/>
      <c r="S329" s="15" t="inlineStr">
        <is>
          <t xml:space="preserve">SRC-03; SRC-04; SRC-15</t>
        </is>
      </c>
      <c r="T329" s="15"/>
      <c r="U329" s="13" t="inlineStr">
        <is>
          <t xml:space="preserve">Draft</t>
        </is>
      </c>
      <c r="V329" s="15" t="inlineStr">
        <is>
          <t xml:space="preserve">Yes</t>
        </is>
      </c>
      <c r="W329" s="15" t="inlineStr">
        <is>
          <t xml:space="preserve">The text itself supplies the date.</t>
        </is>
      </c>
    </row>
    <row r="330" ht="34" customHeight="1">
      <c r="A330" s="15" t="inlineStr">
        <is>
          <t xml:space="preserve">v0.5</t>
        </is>
      </c>
      <c r="B330" s="15" t="inlineStr">
        <is>
          <t xml:space="preserve">Bible_Journey_Canon_Map_v0_5_Exile_Return_Persia.xlsx</t>
        </is>
      </c>
      <c r="C330" s="15" t="inlineStr">
        <is>
          <t xml:space="preserve">CRS-05-017</t>
        </is>
      </c>
      <c r="D330" s="15">
        <v>17</v>
      </c>
      <c r="E330" s="15">
        <v>5</v>
      </c>
      <c r="F330" s="15"/>
      <c r="G330" s="15" t="inlineStr">
        <is>
          <t xml:space="preserve">Babylonian Exile</t>
        </is>
      </c>
      <c r="H330" s="15"/>
      <c r="I330" s="15" t="inlineStr">
        <is>
          <t xml:space="preserve">Obadiah: Edom after Jerusalem's fall</t>
        </is>
      </c>
      <c r="J330" s="15"/>
      <c r="K330" s="15" t="inlineStr">
        <is>
          <t xml:space="preserve">Probable</t>
        </is>
      </c>
      <c r="L330" s="15" t="inlineStr">
        <is>
          <t xml:space="preserve">Probable</t>
        </is>
      </c>
      <c r="M330" s="15" t="inlineStr">
        <is>
          <t xml:space="preserve">After 586 BCE</t>
        </is>
      </c>
      <c r="N330" s="15" t="inlineStr">
        <is>
          <t xml:space="preserve">Read after the fall and before restoration material; flag date debate.</t>
        </is>
      </c>
      <c r="O330" s="15" t="inlineStr">
        <is>
          <t xml:space="preserve">Read in full as a compact prophetic unit.</t>
        </is>
      </c>
      <c r="P330" s="15" t="inlineStr">
        <is>
          <t xml:space="preserve">Not applicable</t>
        </is>
      </c>
      <c r="Q330" s="15" t="inlineStr">
        <is>
          <t xml:space="preserve">Journey: Exile and Return</t>
        </is>
      </c>
      <c r="R330" s="15"/>
      <c r="S330" s="15" t="inlineStr">
        <is>
          <t xml:space="preserve">SRC-02; SRC-17</t>
        </is>
      </c>
      <c r="T330" s="15"/>
      <c r="U330" s="13" t="inlineStr">
        <is>
          <t xml:space="preserve">Draft</t>
        </is>
      </c>
      <c r="V330" s="15" t="inlineStr">
        <is>
          <t xml:space="preserve">Yes</t>
        </is>
      </c>
      <c r="W330" s="15" t="inlineStr">
        <is>
          <t xml:space="preserve">Some interpreters propose an earlier setting; the product must disclose this.</t>
        </is>
      </c>
    </row>
    <row r="331" ht="34" customHeight="1">
      <c r="A331" s="15" t="inlineStr">
        <is>
          <t xml:space="preserve">v0.5</t>
        </is>
      </c>
      <c r="B331" s="15" t="inlineStr">
        <is>
          <t xml:space="preserve">Bible_Journey_Canon_Map_v0_5_Exile_Return_Persia.xlsx</t>
        </is>
      </c>
      <c r="C331" s="15" t="inlineStr">
        <is>
          <t xml:space="preserve">CRS-05-018</t>
        </is>
      </c>
      <c r="D331" s="15">
        <v>18</v>
      </c>
      <c r="E331" s="15">
        <v>5</v>
      </c>
      <c r="F331" s="15"/>
      <c r="G331" s="15" t="inlineStr">
        <is>
          <t xml:space="preserve">Babylonian Exile</t>
        </is>
      </c>
      <c r="H331" s="15"/>
      <c r="I331" s="15" t="inlineStr">
        <is>
          <t xml:space="preserve">Daniel's visions under Belshazzar</t>
        </is>
      </c>
      <c r="J331" s="15"/>
      <c r="K331" s="15" t="inlineStr">
        <is>
          <t xml:space="preserve">High</t>
        </is>
      </c>
      <c r="L331" s="15" t="inlineStr">
        <is>
          <t xml:space="preserve">Debated</t>
        </is>
      </c>
      <c r="M331" s="15" t="inlineStr">
        <is>
          <t xml:space="preserve">c. 553-551 BCE (narrative setting)</t>
        </is>
      </c>
      <c r="N331" s="15" t="inlineStr">
        <is>
          <t xml:space="preserve">Read after the 571 BCE Ezekiel material and before Babylon's fall.</t>
        </is>
      </c>
      <c r="O331" s="15" t="inlineStr">
        <is>
          <t xml:space="preserve">Read as two vision units; composition context remains separate.</t>
        </is>
      </c>
      <c r="P331" s="15" t="inlineStr">
        <is>
          <t xml:space="preserve">Not applicable</t>
        </is>
      </c>
      <c r="Q331" s="15" t="inlineStr">
        <is>
          <t xml:space="preserve">Journey: Exile and Return</t>
        </is>
      </c>
      <c r="R331" s="15"/>
      <c r="S331" s="15" t="inlineStr">
        <is>
          <t xml:space="preserve">SRC-05; SRC-06</t>
        </is>
      </c>
      <c r="T331" s="15"/>
      <c r="U331" s="13" t="inlineStr">
        <is>
          <t xml:space="preserve">Draft</t>
        </is>
      </c>
      <c r="V331" s="15" t="inlineStr">
        <is>
          <t xml:space="preserve">Yes</t>
        </is>
      </c>
      <c r="W331" s="15" t="inlineStr">
        <is>
          <t xml:space="preserve">The narrative setting is explicit; the book's compositional history remains a separate layer.</t>
        </is>
      </c>
    </row>
    <row r="332" ht="34" customHeight="1">
      <c r="A332" s="15" t="inlineStr">
        <is>
          <t xml:space="preserve">v0.5</t>
        </is>
      </c>
      <c r="B332" s="15" t="inlineStr">
        <is>
          <t xml:space="preserve">Bible_Journey_Canon_Map_v0_5_Exile_Return_Persia.xlsx</t>
        </is>
      </c>
      <c r="C332" s="15" t="inlineStr">
        <is>
          <t xml:space="preserve">CRS-05-019</t>
        </is>
      </c>
      <c r="D332" s="15">
        <v>19</v>
      </c>
      <c r="E332" s="15">
        <v>5</v>
      </c>
      <c r="F332" s="15"/>
      <c r="G332" s="15" t="inlineStr">
        <is>
          <t xml:space="preserve">Babylonian Exile</t>
        </is>
      </c>
      <c r="H332" s="15"/>
      <c r="I332" s="15" t="inlineStr">
        <is>
          <t xml:space="preserve">Babylon falls</t>
        </is>
      </c>
      <c r="J332" s="15"/>
      <c r="K332" s="15" t="inlineStr">
        <is>
          <t xml:space="preserve">High</t>
        </is>
      </c>
      <c r="L332" s="15" t="inlineStr">
        <is>
          <t xml:space="preserve">Debated</t>
        </is>
      </c>
      <c r="M332" s="15" t="inlineStr">
        <is>
          <t xml:space="preserve">539 BCE (narrative setting)</t>
        </is>
      </c>
      <c r="N332" s="15" t="inlineStr">
        <is>
          <t xml:space="preserve">Read directly before the Persian transition.</t>
        </is>
      </c>
      <c r="O332" s="15" t="inlineStr">
        <is>
          <t xml:space="preserve">Read in full.</t>
        </is>
      </c>
      <c r="P332" s="15" t="inlineStr">
        <is>
          <t xml:space="preserve">Not applicable</t>
        </is>
      </c>
      <c r="Q332" s="15" t="inlineStr">
        <is>
          <t xml:space="preserve">Journey: Exile and Return</t>
        </is>
      </c>
      <c r="R332" s="15"/>
      <c r="S332" s="15" t="inlineStr">
        <is>
          <t xml:space="preserve">SRC-05; SRC-06; SRC-32</t>
        </is>
      </c>
      <c r="T332" s="15"/>
      <c r="U332" s="13" t="inlineStr">
        <is>
          <t xml:space="preserve">Draft</t>
        </is>
      </c>
      <c r="V332" s="15" t="inlineStr">
        <is>
          <t xml:space="preserve">Yes</t>
        </is>
      </c>
      <c r="W332" s="15" t="inlineStr">
        <is>
          <t xml:space="preserve">Historical identification of Darius the Mede is debated.</t>
        </is>
      </c>
    </row>
    <row r="333" ht="34" customHeight="1">
      <c r="A333" s="15" t="inlineStr">
        <is>
          <t xml:space="preserve">v0.5</t>
        </is>
      </c>
      <c r="B333" s="15" t="inlineStr">
        <is>
          <t xml:space="preserve">Bible_Journey_Canon_Map_v0_5_Exile_Return_Persia.xlsx</t>
        </is>
      </c>
      <c r="C333" s="15" t="inlineStr">
        <is>
          <t xml:space="preserve">CRS-05-020</t>
        </is>
      </c>
      <c r="D333" s="15">
        <v>20</v>
      </c>
      <c r="E333" s="15">
        <v>5</v>
      </c>
      <c r="F333" s="15"/>
      <c r="G333" s="15" t="inlineStr">
        <is>
          <t xml:space="preserve">Persian Transition</t>
        </is>
      </c>
      <c r="H333" s="15"/>
      <c r="I333" s="15" t="inlineStr">
        <is>
          <t xml:space="preserve">Daniel under Darius</t>
        </is>
      </c>
      <c r="J333" s="15"/>
      <c r="K333" s="15" t="inlineStr">
        <is>
          <t xml:space="preserve">Probable</t>
        </is>
      </c>
      <c r="L333" s="15" t="inlineStr">
        <is>
          <t xml:space="preserve">Debated</t>
        </is>
      </c>
      <c r="M333" s="15" t="inlineStr">
        <is>
          <t xml:space="preserve">c. 539-538 BCE (narrative setting)</t>
        </is>
      </c>
      <c r="N333" s="15" t="inlineStr">
        <is>
          <t xml:space="preserve">Read after Daniel 5 and before Daniel 9.</t>
        </is>
      </c>
      <c r="O333" s="15" t="inlineStr">
        <is>
          <t xml:space="preserve">Read in full.</t>
        </is>
      </c>
      <c r="P333" s="15" t="inlineStr">
        <is>
          <t xml:space="preserve">Not applicable</t>
        </is>
      </c>
      <c r="Q333" s="15" t="inlineStr">
        <is>
          <t xml:space="preserve">Journey: Exile and Return</t>
        </is>
      </c>
      <c r="R333" s="15"/>
      <c r="S333" s="15" t="inlineStr">
        <is>
          <t xml:space="preserve">SRC-05; SRC-06; SRC-32</t>
        </is>
      </c>
      <c r="T333" s="15"/>
      <c r="U333" s="13" t="inlineStr">
        <is>
          <t xml:space="preserve">Draft</t>
        </is>
      </c>
      <c r="V333" s="15" t="inlineStr">
        <is>
          <t xml:space="preserve">Yes</t>
        </is>
      </c>
      <c r="W333" s="15" t="inlineStr">
        <is>
          <t xml:space="preserve">Identity and chronology of Darius the Mede are debated.</t>
        </is>
      </c>
    </row>
    <row r="334" ht="34" customHeight="1">
      <c r="A334" s="15" t="inlineStr">
        <is>
          <t xml:space="preserve">v0.5</t>
        </is>
      </c>
      <c r="B334" s="15" t="inlineStr">
        <is>
          <t xml:space="preserve">Bible_Journey_Canon_Map_v0_5_Exile_Return_Persia.xlsx</t>
        </is>
      </c>
      <c r="C334" s="15" t="inlineStr">
        <is>
          <t xml:space="preserve">CRS-05-021</t>
        </is>
      </c>
      <c r="D334" s="15">
        <v>21</v>
      </c>
      <c r="E334" s="15">
        <v>5</v>
      </c>
      <c r="F334" s="15"/>
      <c r="G334" s="15" t="inlineStr">
        <is>
          <t xml:space="preserve">Persian Transition</t>
        </is>
      </c>
      <c r="H334" s="15"/>
      <c r="I334" s="15" t="inlineStr">
        <is>
          <t xml:space="preserve">Daniel's prayer and seventy weeks</t>
        </is>
      </c>
      <c r="J334" s="15"/>
      <c r="K334" s="15" t="inlineStr">
        <is>
          <t xml:space="preserve">High</t>
        </is>
      </c>
      <c r="L334" s="15" t="inlineStr">
        <is>
          <t xml:space="preserve">Debated</t>
        </is>
      </c>
      <c r="M334" s="15" t="inlineStr">
        <is>
          <t xml:space="preserve">c. 539-538 BCE (narrative setting)</t>
        </is>
      </c>
      <c r="N334" s="15" t="inlineStr">
        <is>
          <t xml:space="preserve">Read after Daniel 6; cross-link Jeremiah's seventy-year traditions.</t>
        </is>
      </c>
      <c r="O334" s="15" t="inlineStr">
        <is>
          <t xml:space="preserve">Read in full; offer cross-reference only.</t>
        </is>
      </c>
      <c r="P334" s="15" t="inlineStr">
        <is>
          <t xml:space="preserve">Not applicable</t>
        </is>
      </c>
      <c r="Q334" s="15" t="inlineStr">
        <is>
          <t xml:space="preserve">Journey: Exile and Return</t>
        </is>
      </c>
      <c r="R334" s="15"/>
      <c r="S334" s="15" t="inlineStr">
        <is>
          <t xml:space="preserve">SRC-05; SRC-06</t>
        </is>
      </c>
      <c r="T334" s="15"/>
      <c r="U334" s="13" t="inlineStr">
        <is>
          <t xml:space="preserve">Draft</t>
        </is>
      </c>
      <c r="V334" s="15" t="inlineStr">
        <is>
          <t xml:space="preserve">Yes</t>
        </is>
      </c>
      <c r="W334" s="15" t="inlineStr">
        <is>
          <t xml:space="preserve">Interpretation of the vision is a separate study layer.</t>
        </is>
      </c>
    </row>
    <row r="335" ht="34" customHeight="1">
      <c r="A335" s="15" t="inlineStr">
        <is>
          <t xml:space="preserve">v0.5</t>
        </is>
      </c>
      <c r="B335" s="15" t="inlineStr">
        <is>
          <t xml:space="preserve">Bible_Journey_Canon_Map_v0_5_Exile_Return_Persia.xlsx</t>
        </is>
      </c>
      <c r="C335" s="15" t="inlineStr">
        <is>
          <t xml:space="preserve">CRS-05-022</t>
        </is>
      </c>
      <c r="D335" s="15">
        <v>22</v>
      </c>
      <c r="E335" s="15">
        <v>5</v>
      </c>
      <c r="F335" s="15"/>
      <c r="G335" s="15" t="inlineStr">
        <is>
          <t xml:space="preserve">Return and Reconstruction</t>
        </is>
      </c>
      <c r="H335" s="15"/>
      <c r="I335" s="15" t="inlineStr">
        <is>
          <t xml:space="preserve">Cyrus's decree and first return</t>
        </is>
      </c>
      <c r="J335" s="15"/>
      <c r="K335" s="15" t="inlineStr">
        <is>
          <t xml:space="preserve">High</t>
        </is>
      </c>
      <c r="L335" s="15" t="inlineStr">
        <is>
          <t xml:space="preserve">High</t>
        </is>
      </c>
      <c r="M335" s="15" t="inlineStr">
        <is>
          <t xml:space="preserve">538 BCE</t>
        </is>
      </c>
      <c r="N335" s="15" t="inlineStr">
        <is>
          <t xml:space="preserve">Read Ezra 1 as primary, link 2 Chronicles 36:22-23 from v0.3 as a parallel bridge.</t>
        </is>
      </c>
      <c r="O335" s="15" t="inlineStr">
        <is>
          <t xml:space="preserve">Read Ezra 1; surface Chronicles bridge as optional companion.</t>
        </is>
      </c>
      <c r="P335" s="15" t="inlineStr">
        <is>
          <t xml:space="preserve">Compare Accounts: Cyrus decree</t>
        </is>
      </c>
      <c r="Q335" s="15" t="inlineStr">
        <is>
          <t xml:space="preserve">Journey: Exile and Return</t>
        </is>
      </c>
      <c r="R335" s="15"/>
      <c r="S335" s="15" t="inlineStr">
        <is>
          <t xml:space="preserve">SRC-04; SRC-07; SRC-08; SRC-09</t>
        </is>
      </c>
      <c r="T335" s="15"/>
      <c r="U335" s="13" t="inlineStr">
        <is>
          <t xml:space="preserve">Draft</t>
        </is>
      </c>
      <c r="V335" s="15" t="inlineStr">
        <is>
          <t xml:space="preserve">No</t>
        </is>
      </c>
      <c r="W335" s="15" t="inlineStr">
        <is>
          <t xml:space="preserve">Chronicles bridge is external dependency from v0.3.</t>
        </is>
      </c>
    </row>
    <row r="336" ht="34" customHeight="1">
      <c r="A336" s="15" t="inlineStr">
        <is>
          <t xml:space="preserve">v0.5</t>
        </is>
      </c>
      <c r="B336" s="15" t="inlineStr">
        <is>
          <t xml:space="preserve">Bible_Journey_Canon_Map_v0_5_Exile_Return_Persia.xlsx</t>
        </is>
      </c>
      <c r="C336" s="15" t="inlineStr">
        <is>
          <t xml:space="preserve">CRS-05-023</t>
        </is>
      </c>
      <c r="D336" s="15">
        <v>23</v>
      </c>
      <c r="E336" s="15">
        <v>5</v>
      </c>
      <c r="F336" s="15"/>
      <c r="G336" s="15" t="inlineStr">
        <is>
          <t xml:space="preserve">Return and Reconstruction</t>
        </is>
      </c>
      <c r="H336" s="15"/>
      <c r="I336" s="15" t="inlineStr">
        <is>
          <t xml:space="preserve">Returnees, altar, and foundation</t>
        </is>
      </c>
      <c r="J336" s="15"/>
      <c r="K336" s="15" t="inlineStr">
        <is>
          <t xml:space="preserve">High</t>
        </is>
      </c>
      <c r="L336" s="15" t="inlineStr">
        <is>
          <t xml:space="preserve">High</t>
        </is>
      </c>
      <c r="M336" s="15" t="inlineStr">
        <is>
          <t xml:space="preserve">537 BCE</t>
        </is>
      </c>
      <c r="N336" s="15" t="inlineStr">
        <is>
          <t xml:space="preserve">Read Ezra 2-3 as an integrated return-community unit.</t>
        </is>
      </c>
      <c r="O336" s="15" t="inlineStr">
        <is>
          <t xml:space="preserve">Read in full; genealogy/list UI becomes available but does not replace the text.</t>
        </is>
      </c>
      <c r="P336" s="15" t="inlineStr">
        <is>
          <t xml:space="preserve">Not applicable</t>
        </is>
      </c>
      <c r="Q336" s="15" t="inlineStr">
        <is>
          <t xml:space="preserve">Journey: Exile and Return</t>
        </is>
      </c>
      <c r="R336" s="15"/>
      <c r="S336" s="15" t="inlineStr">
        <is>
          <t xml:space="preserve">SRC-07; SRC-08; SRC-09</t>
        </is>
      </c>
      <c r="T336" s="15"/>
      <c r="U336" s="13" t="inlineStr">
        <is>
          <t xml:space="preserve">Draft</t>
        </is>
      </c>
      <c r="V336" s="15" t="inlineStr">
        <is>
          <t xml:space="preserve">No</t>
        </is>
      </c>
      <c r="W336" s="15" t="inlineStr">
        <is>
          <t xml:space="preserve">Ezra 2 has genealogical material requiring optional visual layer.</t>
        </is>
      </c>
    </row>
    <row r="337" ht="34" customHeight="1">
      <c r="A337" s="15" t="inlineStr">
        <is>
          <t xml:space="preserve">v0.5</t>
        </is>
      </c>
      <c r="B337" s="15" t="inlineStr">
        <is>
          <t xml:space="preserve">Bible_Journey_Canon_Map_v0_5_Exile_Return_Persia.xlsx</t>
        </is>
      </c>
      <c r="C337" s="15" t="inlineStr">
        <is>
          <t xml:space="preserve">CRS-05-024</t>
        </is>
      </c>
      <c r="D337" s="15">
        <v>24</v>
      </c>
      <c r="E337" s="15">
        <v>5</v>
      </c>
      <c r="F337" s="15"/>
      <c r="G337" s="15" t="inlineStr">
        <is>
          <t xml:space="preserve">Return and Reconstruction</t>
        </is>
      </c>
      <c r="H337" s="15"/>
      <c r="I337" s="15" t="inlineStr">
        <is>
          <t xml:space="preserve">Initial opposition to rebuilding</t>
        </is>
      </c>
      <c r="J337" s="15"/>
      <c r="K337" s="15" t="inlineStr">
        <is>
          <t xml:space="preserve">High</t>
        </is>
      </c>
      <c r="L337" s="15" t="inlineStr">
        <is>
          <t xml:space="preserve">High</t>
        </is>
      </c>
      <c r="M337" s="15" t="inlineStr">
        <is>
          <t xml:space="preserve">c. 537 BCE</t>
        </is>
      </c>
      <c r="N337" s="15" t="inlineStr">
        <is>
          <t xml:space="preserve">Read Ezra 4:1-5 before the 520 BCE prophetic restart.</t>
        </is>
      </c>
      <c r="O337" s="15" t="inlineStr">
        <is>
          <t xml:space="preserve">Read as a short interruption before Haggai.</t>
        </is>
      </c>
      <c r="P337" s="15" t="inlineStr">
        <is>
          <t xml:space="preserve">Not applicable</t>
        </is>
      </c>
      <c r="Q337" s="15" t="inlineStr">
        <is>
          <t xml:space="preserve">Journey: Exile and Return</t>
        </is>
      </c>
      <c r="R337" s="15"/>
      <c r="S337" s="15" t="inlineStr">
        <is>
          <t xml:space="preserve">SRC-08; SRC-09</t>
        </is>
      </c>
      <c r="T337" s="15"/>
      <c r="U337" s="13" t="inlineStr">
        <is>
          <t xml:space="preserve">Draft</t>
        </is>
      </c>
      <c r="V337" s="15" t="inlineStr">
        <is>
          <t xml:space="preserve">No</t>
        </is>
      </c>
      <c r="W337" s="15" t="inlineStr">
        <is>
          <t xml:space="preserve">Ezra 4 is split because its later verses are an editorial flash-forward.</t>
        </is>
      </c>
    </row>
    <row r="338" ht="34" customHeight="1">
      <c r="A338" s="15" t="inlineStr">
        <is>
          <t xml:space="preserve">v0.5</t>
        </is>
      </c>
      <c r="B338" s="15" t="inlineStr">
        <is>
          <t xml:space="preserve">Bible_Journey_Canon_Map_v0_5_Exile_Return_Persia.xlsx</t>
        </is>
      </c>
      <c r="C338" s="15" t="inlineStr">
        <is>
          <t xml:space="preserve">CRS-05-025</t>
        </is>
      </c>
      <c r="D338" s="15">
        <v>25</v>
      </c>
      <c r="E338" s="15">
        <v>5</v>
      </c>
      <c r="F338" s="15"/>
      <c r="G338" s="15" t="inlineStr">
        <is>
          <t xml:space="preserve">Persian Transition</t>
        </is>
      </c>
      <c r="H338" s="15"/>
      <c r="I338" s="15" t="inlineStr">
        <is>
          <t xml:space="preserve">Daniel's final vision under Cyrus</t>
        </is>
      </c>
      <c r="J338" s="15"/>
      <c r="K338" s="15" t="inlineStr">
        <is>
          <t xml:space="preserve">High</t>
        </is>
      </c>
      <c r="L338" s="15" t="inlineStr">
        <is>
          <t xml:space="preserve">Debated</t>
        </is>
      </c>
      <c r="M338" s="15" t="inlineStr">
        <is>
          <t xml:space="preserve">c. 536 BCE (narrative setting)</t>
        </is>
      </c>
      <c r="N338" s="15" t="inlineStr">
        <is>
          <t xml:space="preserve">Read after Cyrus's decree and early return; retain two-layer date disclaimer.</t>
        </is>
      </c>
      <c r="O338" s="15" t="inlineStr">
        <is>
          <t xml:space="preserve">Read in full; study mode distinguishes narrative setting from composition analysis.</t>
        </is>
      </c>
      <c r="P338" s="15" t="inlineStr">
        <is>
          <t xml:space="preserve">Not applicable</t>
        </is>
      </c>
      <c r="Q338" s="15" t="inlineStr">
        <is>
          <t xml:space="preserve">Journey: Exile and Return</t>
        </is>
      </c>
      <c r="R338" s="15"/>
      <c r="S338" s="15" t="inlineStr">
        <is>
          <t xml:space="preserve">SRC-05; SRC-06</t>
        </is>
      </c>
      <c r="T338" s="15"/>
      <c r="U338" s="13" t="inlineStr">
        <is>
          <t xml:space="preserve">Draft</t>
        </is>
      </c>
      <c r="V338" s="15" t="inlineStr">
        <is>
          <t xml:space="preserve">Yes</t>
        </is>
      </c>
      <c r="W338" s="15" t="inlineStr">
        <is>
          <t xml:space="preserve">Internal narrative setting and scholarly composition chronology must never be conflated.</t>
        </is>
      </c>
    </row>
    <row r="339" ht="34" customHeight="1">
      <c r="A339" s="15" t="inlineStr">
        <is>
          <t xml:space="preserve">v0.5</t>
        </is>
      </c>
      <c r="B339" s="15" t="inlineStr">
        <is>
          <t xml:space="preserve">Bible_Journey_Canon_Map_v0_5_Exile_Return_Persia.xlsx</t>
        </is>
      </c>
      <c r="C339" s="15" t="inlineStr">
        <is>
          <t xml:space="preserve">CRS-05-026</t>
        </is>
      </c>
      <c r="D339" s="15">
        <v>26</v>
      </c>
      <c r="E339" s="15">
        <v>5</v>
      </c>
      <c r="F339" s="15"/>
      <c r="G339" s="15" t="inlineStr">
        <is>
          <t xml:space="preserve">Return and Reconstruction</t>
        </is>
      </c>
      <c r="H339" s="15"/>
      <c r="I339" s="15" t="inlineStr">
        <is>
          <t xml:space="preserve">Haggai calls the community back to the temple</t>
        </is>
      </c>
      <c r="J339" s="15"/>
      <c r="K339" s="15" t="inlineStr">
        <is>
          <t xml:space="preserve">High</t>
        </is>
      </c>
      <c r="L339" s="15" t="inlineStr">
        <is>
          <t xml:space="preserve">High</t>
        </is>
      </c>
      <c r="M339" s="15" t="inlineStr">
        <is>
          <t xml:space="preserve">520 BCE</t>
        </is>
      </c>
      <c r="N339" s="15" t="inlineStr">
        <is>
          <t xml:space="preserve">Read Haggai 1 immediately before Ezra's notice that rebuilding resumed.</t>
        </is>
      </c>
      <c r="O339" s="15" t="inlineStr">
        <is>
          <t xml:space="preserve">Read Haggai 1 in full; then continue the historical block.</t>
        </is>
      </c>
      <c r="P339" s="15" t="inlineStr">
        <is>
          <t xml:space="preserve">Compare Accounts: Temple restart</t>
        </is>
      </c>
      <c r="Q339" s="15" t="inlineStr">
        <is>
          <t xml:space="preserve">Journey: Temple and Return</t>
        </is>
      </c>
      <c r="R339" s="15"/>
      <c r="S339" s="15" t="inlineStr">
        <is>
          <t xml:space="preserve">SRC-08; SRC-11</t>
        </is>
      </c>
      <c r="T339" s="15"/>
      <c r="U339" s="13" t="inlineStr">
        <is>
          <t xml:space="preserve">Draft</t>
        </is>
      </c>
      <c r="V339" s="15" t="inlineStr">
        <is>
          <t xml:space="preserve">No</t>
        </is>
      </c>
      <c r="W339" s="15" t="inlineStr">
        <is>
          <t xml:space="preserve">Dated prophetic material.</t>
        </is>
      </c>
    </row>
    <row r="340" ht="34" customHeight="1">
      <c r="A340" s="15" t="inlineStr">
        <is>
          <t xml:space="preserve">v0.5</t>
        </is>
      </c>
      <c r="B340" s="15" t="inlineStr">
        <is>
          <t xml:space="preserve">Bible_Journey_Canon_Map_v0_5_Exile_Return_Persia.xlsx</t>
        </is>
      </c>
      <c r="C340" s="15" t="inlineStr">
        <is>
          <t xml:space="preserve">CRS-05-027</t>
        </is>
      </c>
      <c r="D340" s="15">
        <v>27</v>
      </c>
      <c r="E340" s="15">
        <v>5</v>
      </c>
      <c r="F340" s="15"/>
      <c r="G340" s="15" t="inlineStr">
        <is>
          <t xml:space="preserve">Return and Reconstruction</t>
        </is>
      </c>
      <c r="H340" s="15"/>
      <c r="I340" s="15" t="inlineStr">
        <is>
          <t xml:space="preserve">Temple rebuilding resumes</t>
        </is>
      </c>
      <c r="J340" s="15"/>
      <c r="K340" s="15" t="inlineStr">
        <is>
          <t xml:space="preserve">High</t>
        </is>
      </c>
      <c r="L340" s="15" t="inlineStr">
        <is>
          <t xml:space="preserve">High</t>
        </is>
      </c>
      <c r="M340" s="15" t="inlineStr">
        <is>
          <t xml:space="preserve">520 BCE</t>
        </is>
      </c>
      <c r="N340" s="15" t="inlineStr">
        <is>
          <t xml:space="preserve">Read Ezra 4:24-5:2 after Haggai 1.</t>
        </is>
      </c>
      <c r="O340" s="15" t="inlineStr">
        <is>
          <t xml:space="preserve">Read as the narrative response to Haggai.</t>
        </is>
      </c>
      <c r="P340" s="15" t="inlineStr">
        <is>
          <t xml:space="preserve">Compare Accounts: Temple restart</t>
        </is>
      </c>
      <c r="Q340" s="15" t="inlineStr">
        <is>
          <t xml:space="preserve">Journey: Temple and Return</t>
        </is>
      </c>
      <c r="R340" s="15"/>
      <c r="S340" s="15" t="inlineStr">
        <is>
          <t xml:space="preserve">SRC-08; SRC-09</t>
        </is>
      </c>
      <c r="T340" s="15"/>
      <c r="U340" s="13" t="inlineStr">
        <is>
          <t xml:space="preserve">Draft</t>
        </is>
      </c>
      <c r="V340" s="15" t="inlineStr">
        <is>
          <t xml:space="preserve">No</t>
        </is>
      </c>
      <c r="W340" s="15" t="inlineStr">
        <is>
          <t xml:space="preserve">Ezra 4:24 belongs after 4:1-5 despite later material in chapter 4.</t>
        </is>
      </c>
    </row>
    <row r="341" ht="34" customHeight="1">
      <c r="A341" s="15" t="inlineStr">
        <is>
          <t xml:space="preserve">v0.5</t>
        </is>
      </c>
      <c r="B341" s="15" t="inlineStr">
        <is>
          <t xml:space="preserve">Bible_Journey_Canon_Map_v0_5_Exile_Return_Persia.xlsx</t>
        </is>
      </c>
      <c r="C341" s="15" t="inlineStr">
        <is>
          <t xml:space="preserve">CRS-05-028</t>
        </is>
      </c>
      <c r="D341" s="15">
        <v>28</v>
      </c>
      <c r="E341" s="15">
        <v>5</v>
      </c>
      <c r="F341" s="15"/>
      <c r="G341" s="15" t="inlineStr">
        <is>
          <t xml:space="preserve">Return and Reconstruction</t>
        </is>
      </c>
      <c r="H341" s="15"/>
      <c r="I341" s="15" t="inlineStr">
        <is>
          <t xml:space="preserve">Haggai's second temple oracles</t>
        </is>
      </c>
      <c r="J341" s="15"/>
      <c r="K341" s="15" t="inlineStr">
        <is>
          <t xml:space="preserve">High</t>
        </is>
      </c>
      <c r="L341" s="15" t="inlineStr">
        <is>
          <t xml:space="preserve">High</t>
        </is>
      </c>
      <c r="M341" s="15" t="inlineStr">
        <is>
          <t xml:space="preserve">520 BCE</t>
        </is>
      </c>
      <c r="N341" s="15" t="inlineStr">
        <is>
          <t xml:space="preserve">Read as the second dated prophetic block in the restart sequence.</t>
        </is>
      </c>
      <c r="O341" s="15" t="inlineStr">
        <is>
          <t xml:space="preserve">Read in full.</t>
        </is>
      </c>
      <c r="P341" s="15" t="inlineStr">
        <is>
          <t xml:space="preserve">Not applicable</t>
        </is>
      </c>
      <c r="Q341" s="15" t="inlineStr">
        <is>
          <t xml:space="preserve">Journey: Temple and Return</t>
        </is>
      </c>
      <c r="R341" s="15"/>
      <c r="S341" s="15" t="inlineStr">
        <is>
          <t xml:space="preserve">SRC-08; SRC-11</t>
        </is>
      </c>
      <c r="T341" s="15"/>
      <c r="U341" s="13" t="inlineStr">
        <is>
          <t xml:space="preserve">Draft</t>
        </is>
      </c>
      <c r="V341" s="15" t="inlineStr">
        <is>
          <t xml:space="preserve">No</t>
        </is>
      </c>
      <c r="W341" s="15" t="inlineStr">
        <is>
          <t xml:space="preserve">Haggai's remaining oracles speak to the rebuilt community's work, leadership, and future hope.</t>
        </is>
      </c>
    </row>
    <row r="342" ht="34" customHeight="1">
      <c r="A342" s="15" t="inlineStr">
        <is>
          <t xml:space="preserve">v0.5</t>
        </is>
      </c>
      <c r="B342" s="15" t="inlineStr">
        <is>
          <t xml:space="preserve">Bible_Journey_Canon_Map_v0_5_Exile_Return_Persia.xlsx</t>
        </is>
      </c>
      <c r="C342" s="15" t="inlineStr">
        <is>
          <t xml:space="preserve">CRS-05-029</t>
        </is>
      </c>
      <c r="D342" s="15">
        <v>29</v>
      </c>
      <c r="E342" s="15">
        <v>5</v>
      </c>
      <c r="F342" s="15"/>
      <c r="G342" s="15" t="inlineStr">
        <is>
          <t xml:space="preserve">Return and Reconstruction</t>
        </is>
      </c>
      <c r="H342" s="15"/>
      <c r="I342" s="15" t="inlineStr">
        <is>
          <t xml:space="preserve">Zechariah's night visions</t>
        </is>
      </c>
      <c r="J342" s="15"/>
      <c r="K342" s="15" t="inlineStr">
        <is>
          <t xml:space="preserve">High</t>
        </is>
      </c>
      <c r="L342" s="15" t="inlineStr">
        <is>
          <t xml:space="preserve">High</t>
        </is>
      </c>
      <c r="M342" s="15" t="inlineStr">
        <is>
          <t xml:space="preserve">520-519 BCE</t>
        </is>
      </c>
      <c r="N342" s="15" t="inlineStr">
        <is>
          <t xml:space="preserve">Read after Haggai and Ezra's rebuilding restart.</t>
        </is>
      </c>
      <c r="O342" s="15" t="inlineStr">
        <is>
          <t xml:space="preserve">Read in full; visual-symbol study is optional.</t>
        </is>
      </c>
      <c r="P342" s="15" t="inlineStr">
        <is>
          <t xml:space="preserve">Not applicable</t>
        </is>
      </c>
      <c r="Q342" s="15" t="inlineStr">
        <is>
          <t xml:space="preserve">Journey: Temple and Return</t>
        </is>
      </c>
      <c r="R342" s="15"/>
      <c r="S342" s="15" t="inlineStr">
        <is>
          <t xml:space="preserve">SRC-08; SRC-11</t>
        </is>
      </c>
      <c r="T342" s="15"/>
      <c r="U342" s="13" t="inlineStr">
        <is>
          <t xml:space="preserve">Draft</t>
        </is>
      </c>
      <c r="V342" s="15" t="inlineStr">
        <is>
          <t xml:space="preserve">No</t>
        </is>
      </c>
      <c r="W342" s="15" t="inlineStr">
        <is>
          <t xml:space="preserve">Dated opening chapters anchor placement.</t>
        </is>
      </c>
    </row>
    <row r="343" ht="34" customHeight="1">
      <c r="A343" s="15" t="inlineStr">
        <is>
          <t xml:space="preserve">v0.5</t>
        </is>
      </c>
      <c r="B343" s="15" t="inlineStr">
        <is>
          <t xml:space="preserve">Bible_Journey_Canon_Map_v0_5_Exile_Return_Persia.xlsx</t>
        </is>
      </c>
      <c r="C343" s="15" t="inlineStr">
        <is>
          <t xml:space="preserve">CRS-05-030</t>
        </is>
      </c>
      <c r="D343" s="15">
        <v>30</v>
      </c>
      <c r="E343" s="15">
        <v>5</v>
      </c>
      <c r="F343" s="15"/>
      <c r="G343" s="15" t="inlineStr">
        <is>
          <t xml:space="preserve">Return and Reconstruction</t>
        </is>
      </c>
      <c r="H343" s="15"/>
      <c r="I343" s="15" t="inlineStr">
        <is>
          <t xml:space="preserve">Zechariah's questions and restoration vision</t>
        </is>
      </c>
      <c r="J343" s="15"/>
      <c r="K343" s="15" t="inlineStr">
        <is>
          <t xml:space="preserve">High</t>
        </is>
      </c>
      <c r="L343" s="15" t="inlineStr">
        <is>
          <t xml:space="preserve">High</t>
        </is>
      </c>
      <c r="M343" s="15" t="inlineStr">
        <is>
          <t xml:space="preserve">518 BCE</t>
        </is>
      </c>
      <c r="N343" s="15" t="inlineStr">
        <is>
          <t xml:space="preserve">Read after Zechariah 1-6 and before the final temple completion account.</t>
        </is>
      </c>
      <c r="O343" s="15" t="inlineStr">
        <is>
          <t xml:space="preserve">Read in full.</t>
        </is>
      </c>
      <c r="P343" s="15" t="inlineStr">
        <is>
          <t xml:space="preserve">Not applicable</t>
        </is>
      </c>
      <c r="Q343" s="15" t="inlineStr">
        <is>
          <t xml:space="preserve">Journey: Temple and Return</t>
        </is>
      </c>
      <c r="R343" s="15"/>
      <c r="S343" s="15" t="inlineStr">
        <is>
          <t xml:space="preserve">SRC-08; SRC-11</t>
        </is>
      </c>
      <c r="T343" s="15"/>
      <c r="U343" s="13" t="inlineStr">
        <is>
          <t xml:space="preserve">Draft</t>
        </is>
      </c>
      <c r="V343" s="15" t="inlineStr">
        <is>
          <t xml:space="preserve">No</t>
        </is>
      </c>
      <c r="W343" s="15" t="inlineStr">
        <is>
          <t xml:space="preserve">Zechariah 7-8 is placed after the night visions by its internal date during the rebuilding era.</t>
        </is>
      </c>
    </row>
    <row r="344" ht="34" customHeight="1">
      <c r="A344" s="15" t="inlineStr">
        <is>
          <t xml:space="preserve">v0.5</t>
        </is>
      </c>
      <c r="B344" s="15" t="inlineStr">
        <is>
          <t xml:space="preserve">Bible_Journey_Canon_Map_v0_5_Exile_Return_Persia.xlsx</t>
        </is>
      </c>
      <c r="C344" s="15" t="inlineStr">
        <is>
          <t xml:space="preserve">CRS-05-031</t>
        </is>
      </c>
      <c r="D344" s="15">
        <v>31</v>
      </c>
      <c r="E344" s="15">
        <v>5</v>
      </c>
      <c r="F344" s="15"/>
      <c r="G344" s="15" t="inlineStr">
        <is>
          <t xml:space="preserve">Return and Reconstruction</t>
        </is>
      </c>
      <c r="H344" s="15"/>
      <c r="I344" s="15" t="inlineStr">
        <is>
          <t xml:space="preserve">Imperial inquiry under Darius</t>
        </is>
      </c>
      <c r="J344" s="15"/>
      <c r="K344" s="15" t="inlineStr">
        <is>
          <t xml:space="preserve">High</t>
        </is>
      </c>
      <c r="L344" s="15" t="inlineStr">
        <is>
          <t xml:space="preserve">High</t>
        </is>
      </c>
      <c r="M344" s="15" t="inlineStr">
        <is>
          <t xml:space="preserve">520-519 BCE</t>
        </is>
      </c>
      <c r="N344" s="15" t="inlineStr">
        <is>
          <t xml:space="preserve">Read Ezra 5:3-17 after prophetic restart blocks.</t>
        </is>
      </c>
      <c r="O344" s="15" t="inlineStr">
        <is>
          <t xml:space="preserve">Read in full.</t>
        </is>
      </c>
      <c r="P344" s="15" t="inlineStr">
        <is>
          <t xml:space="preserve">Not applicable</t>
        </is>
      </c>
      <c r="Q344" s="15" t="inlineStr">
        <is>
          <t xml:space="preserve">Journey: Temple and Return</t>
        </is>
      </c>
      <c r="R344" s="15"/>
      <c r="S344" s="15" t="inlineStr">
        <is>
          <t xml:space="preserve">SRC-08; SRC-09</t>
        </is>
      </c>
      <c r="T344" s="15"/>
      <c r="U344" s="13" t="inlineStr">
        <is>
          <t xml:space="preserve">Draft</t>
        </is>
      </c>
      <c r="V344" s="15" t="inlineStr">
        <is>
          <t xml:space="preserve">No</t>
        </is>
      </c>
      <c r="W344" s="15" t="inlineStr">
        <is>
          <t xml:space="preserve">A provincial inquiry prompts a search of Persian archives; this is a historical block before the decree and completion.</t>
        </is>
      </c>
    </row>
    <row r="345" ht="34" customHeight="1">
      <c r="A345" s="15" t="inlineStr">
        <is>
          <t xml:space="preserve">v0.5</t>
        </is>
      </c>
      <c r="B345" s="15" t="inlineStr">
        <is>
          <t xml:space="preserve">Bible_Journey_Canon_Map_v0_5_Exile_Return_Persia.xlsx</t>
        </is>
      </c>
      <c r="C345" s="15" t="inlineStr">
        <is>
          <t xml:space="preserve">CRS-05-032</t>
        </is>
      </c>
      <c r="D345" s="15">
        <v>32</v>
      </c>
      <c r="E345" s="15">
        <v>5</v>
      </c>
      <c r="F345" s="15"/>
      <c r="G345" s="15" t="inlineStr">
        <is>
          <t xml:space="preserve">Return and Reconstruction</t>
        </is>
      </c>
      <c r="H345" s="15"/>
      <c r="I345" s="15" t="inlineStr">
        <is>
          <t xml:space="preserve">Darius's decree and the Second Temple completed</t>
        </is>
      </c>
      <c r="J345" s="15"/>
      <c r="K345" s="15" t="inlineStr">
        <is>
          <t xml:space="preserve">High</t>
        </is>
      </c>
      <c r="L345" s="15" t="inlineStr">
        <is>
          <t xml:space="preserve">High</t>
        </is>
      </c>
      <c r="M345" s="15" t="inlineStr">
        <is>
          <t xml:space="preserve">515 BCE</t>
        </is>
      </c>
      <c r="N345" s="15" t="inlineStr">
        <is>
          <t xml:space="preserve">Read Ezra 6 as the culmination of the temple-rebuilding sequence.</t>
        </is>
      </c>
      <c r="O345" s="15" t="inlineStr">
        <is>
          <t xml:space="preserve">Read in full; display a 'milestone completed' narrative card.</t>
        </is>
      </c>
      <c r="P345" s="15" t="inlineStr">
        <is>
          <t xml:space="preserve">Compare Accounts: Temple reconstruction</t>
        </is>
      </c>
      <c r="Q345" s="15" t="inlineStr">
        <is>
          <t xml:space="preserve">Journey: Temple and Return</t>
        </is>
      </c>
      <c r="R345" s="15"/>
      <c r="S345" s="15" t="inlineStr">
        <is>
          <t xml:space="preserve">SRC-08; SRC-09; SRC-10</t>
        </is>
      </c>
      <c r="T345" s="15"/>
      <c r="U345" s="13" t="inlineStr">
        <is>
          <t xml:space="preserve">Draft</t>
        </is>
      </c>
      <c r="V345" s="15" t="inlineStr">
        <is>
          <t xml:space="preserve">No</t>
        </is>
      </c>
      <c r="W345" s="15" t="inlineStr">
        <is>
          <t xml:space="preserve">Ezra 6 resolves the official inquiry and records the completion and dedication of the Second Temple.</t>
        </is>
      </c>
    </row>
    <row r="346" ht="34" customHeight="1">
      <c r="A346" s="15" t="inlineStr">
        <is>
          <t xml:space="preserve">v0.5</t>
        </is>
      </c>
      <c r="B346" s="15" t="inlineStr">
        <is>
          <t xml:space="preserve">Bible_Journey_Canon_Map_v0_5_Exile_Return_Persia.xlsx</t>
        </is>
      </c>
      <c r="C346" s="15" t="inlineStr">
        <is>
          <t xml:space="preserve">CRS-05-033</t>
        </is>
      </c>
      <c r="D346" s="15">
        <v>33</v>
      </c>
      <c r="E346" s="15">
        <v>5</v>
      </c>
      <c r="F346" s="15"/>
      <c r="G346" s="15" t="inlineStr">
        <is>
          <t xml:space="preserve">Postexilic Prophetic Collection</t>
        </is>
      </c>
      <c r="H346" s="15"/>
      <c r="I346" s="15" t="inlineStr">
        <is>
          <t xml:space="preserve">Zechariah 9-14: undated prophetic collection</t>
        </is>
      </c>
      <c r="J346" s="15"/>
      <c r="K346" s="15" t="inlineStr">
        <is>
          <t xml:space="preserve">Debated</t>
        </is>
      </c>
      <c r="L346" s="15" t="inlineStr">
        <is>
          <t xml:space="preserve">Debated</t>
        </is>
      </c>
      <c r="M346" s="15" t="inlineStr">
        <is>
          <t xml:space="preserve">Postexilic; exact placement debated</t>
        </is>
      </c>
      <c r="N346" s="15" t="inlineStr">
        <is>
          <t xml:space="preserve">Read after the dated Zechariah 1-8 block as a study arrangement, not a fixed event chronology.</t>
        </is>
      </c>
      <c r="O346" s="15" t="inlineStr">
        <is>
          <t xml:space="preserve">Read in full; display 'placement debated' before entry.</t>
        </is>
      </c>
      <c r="P346" s="15" t="inlineStr">
        <is>
          <t xml:space="preserve">Not applicable</t>
        </is>
      </c>
      <c r="Q346" s="15" t="inlineStr">
        <is>
          <t xml:space="preserve">Journey: Temple and Return</t>
        </is>
      </c>
      <c r="R346" s="15"/>
      <c r="S346" s="15" t="inlineStr">
        <is>
          <t xml:space="preserve">SRC-08; SRC-11</t>
        </is>
      </c>
      <c r="T346" s="15"/>
      <c r="U346" s="13" t="inlineStr">
        <is>
          <t xml:space="preserve">Draft</t>
        </is>
      </c>
      <c r="V346" s="15" t="inlineStr">
        <is>
          <t xml:space="preserve">Yes</t>
        </is>
      </c>
      <c r="W346" s="15" t="inlineStr">
        <is>
          <t xml:space="preserve">Do not imply a settled historical date or single authorial setting.</t>
        </is>
      </c>
    </row>
    <row r="347" ht="34" customHeight="1">
      <c r="A347" s="15" t="inlineStr">
        <is>
          <t xml:space="preserve">v0.5</t>
        </is>
      </c>
      <c r="B347" s="15" t="inlineStr">
        <is>
          <t xml:space="preserve">Bible_Journey_Canon_Map_v0_5_Exile_Return_Persia.xlsx</t>
        </is>
      </c>
      <c r="C347" s="15" t="inlineStr">
        <is>
          <t xml:space="preserve">CRS-05-034</t>
        </is>
      </c>
      <c r="D347" s="15">
        <v>34</v>
      </c>
      <c r="E347" s="15">
        <v>5</v>
      </c>
      <c r="F347" s="15"/>
      <c r="G347" s="15" t="inlineStr">
        <is>
          <t xml:space="preserve">Persian Period</t>
        </is>
      </c>
      <c r="H347" s="15"/>
      <c r="I347" s="15" t="inlineStr">
        <is>
          <t xml:space="preserve">Ezra 4:6: accusation in Xerxes's reign</t>
        </is>
      </c>
      <c r="J347" s="15"/>
      <c r="K347" s="15" t="inlineStr">
        <is>
          <t xml:space="preserve">High</t>
        </is>
      </c>
      <c r="L347" s="15" t="inlineStr">
        <is>
          <t xml:space="preserve">High</t>
        </is>
      </c>
      <c r="M347" s="15" t="inlineStr">
        <is>
          <t xml:space="preserve">486-465 BCE (Xerxes's reign)</t>
        </is>
      </c>
      <c r="N347" s="15" t="inlineStr">
        <is>
          <t xml:space="preserve">Read as a short historical note after the temple-completion era.</t>
        </is>
      </c>
      <c r="O347" s="15" t="inlineStr">
        <is>
          <t xml:space="preserve">Show as optional in Narrative Flow; required in Complete Reading.</t>
        </is>
      </c>
      <c r="P347" s="15" t="inlineStr">
        <is>
          <t xml:space="preserve">Not applicable</t>
        </is>
      </c>
      <c r="Q347" s="15" t="inlineStr">
        <is>
          <t xml:space="preserve">Journey: Return and Restoration</t>
        </is>
      </c>
      <c r="R347" s="15"/>
      <c r="S347" s="15" t="inlineStr">
        <is>
          <t xml:space="preserve">SRC-09; SRC-12</t>
        </is>
      </c>
      <c r="T347" s="15"/>
      <c r="U347" s="13" t="inlineStr">
        <is>
          <t xml:space="preserve">Draft</t>
        </is>
      </c>
      <c r="V347" s="15" t="inlineStr">
        <is>
          <t xml:space="preserve">No</t>
        </is>
      </c>
      <c r="W347" s="15" t="inlineStr">
        <is>
          <t xml:space="preserve">Book-order exception is a core demonstration of Bible Journey's value.</t>
        </is>
      </c>
    </row>
    <row r="348" ht="34" customHeight="1">
      <c r="A348" s="15" t="inlineStr">
        <is>
          <t xml:space="preserve">v0.5</t>
        </is>
      </c>
      <c r="B348" s="15" t="inlineStr">
        <is>
          <t xml:space="preserve">Bible_Journey_Canon_Map_v0_5_Exile_Return_Persia.xlsx</t>
        </is>
      </c>
      <c r="C348" s="15" t="inlineStr">
        <is>
          <t xml:space="preserve">CRS-05-035</t>
        </is>
      </c>
      <c r="D348" s="15">
        <v>35</v>
      </c>
      <c r="E348" s="15">
        <v>5</v>
      </c>
      <c r="F348" s="15"/>
      <c r="G348" s="15" t="inlineStr">
        <is>
          <t xml:space="preserve">Persian Period</t>
        </is>
      </c>
      <c r="H348" s="15"/>
      <c r="I348" s="15" t="inlineStr">
        <is>
          <t xml:space="preserve">Ezra 4:7-23: city-building opposition under Artaxerxes</t>
        </is>
      </c>
      <c r="J348" s="15"/>
      <c r="K348" s="15" t="inlineStr">
        <is>
          <t xml:space="preserve">High</t>
        </is>
      </c>
      <c r="L348" s="15" t="inlineStr">
        <is>
          <t xml:space="preserve">Probable</t>
        </is>
      </c>
      <c r="M348" s="15" t="inlineStr">
        <is>
          <t xml:space="preserve">Artaxerxes's reign; exact event linkage debated</t>
        </is>
      </c>
      <c r="N348" s="15" t="inlineStr">
        <is>
          <t xml:space="preserve">Read after Ezra 4:6, before Ezra's own commission or alongside a Persian-period context card.</t>
        </is>
      </c>
      <c r="O348" s="15" t="inlineStr">
        <is>
          <t xml:space="preserve">Required in Complete Reading; optional in Narrative Flow with pending-status notice.</t>
        </is>
      </c>
      <c r="P348" s="15" t="inlineStr">
        <is>
          <t xml:space="preserve">Not applicable</t>
        </is>
      </c>
      <c r="Q348" s="15" t="inlineStr">
        <is>
          <t xml:space="preserve">Journey: Return and Restoration</t>
        </is>
      </c>
      <c r="R348" s="15"/>
      <c r="S348" s="15" t="inlineStr">
        <is>
          <t xml:space="preserve">SRC-09; SRC-12</t>
        </is>
      </c>
      <c r="T348" s="15"/>
      <c r="U348" s="13" t="inlineStr">
        <is>
          <t xml:space="preserve">Draft</t>
        </is>
      </c>
      <c r="V348" s="15" t="inlineStr">
        <is>
          <t xml:space="preserve">Yes</t>
        </is>
      </c>
      <c r="W348" s="15" t="inlineStr">
        <is>
          <t xml:space="preserve">Exact identification and relation to Nehemiah-era activity requires editorial review.</t>
        </is>
      </c>
    </row>
    <row r="349" ht="34" customHeight="1">
      <c r="A349" s="15" t="inlineStr">
        <is>
          <t xml:space="preserve">v0.5</t>
        </is>
      </c>
      <c r="B349" s="15" t="inlineStr">
        <is>
          <t xml:space="preserve">Bible_Journey_Canon_Map_v0_5_Exile_Return_Persia.xlsx</t>
        </is>
      </c>
      <c r="C349" s="15" t="inlineStr">
        <is>
          <t xml:space="preserve">CRS-05-036</t>
        </is>
      </c>
      <c r="D349" s="15">
        <v>36</v>
      </c>
      <c r="E349" s="15">
        <v>5</v>
      </c>
      <c r="F349" s="15"/>
      <c r="G349" s="15" t="inlineStr">
        <is>
          <t xml:space="preserve">Persian Period</t>
        </is>
      </c>
      <c r="H349" s="15"/>
      <c r="I349" s="15" t="inlineStr">
        <is>
          <t xml:space="preserve">Ezra's commission and return</t>
        </is>
      </c>
      <c r="J349" s="15"/>
      <c r="K349" s="15" t="inlineStr">
        <is>
          <t xml:space="preserve">High</t>
        </is>
      </c>
      <c r="L349" s="15" t="inlineStr">
        <is>
          <t xml:space="preserve">Debated</t>
        </is>
      </c>
      <c r="M349" s="15" t="inlineStr">
        <is>
          <t xml:space="preserve">Artaxerxes's reign; 458 BCE traditional placement / alternatives debated</t>
        </is>
      </c>
      <c r="N349" s="15" t="inlineStr">
        <is>
          <t xml:space="preserve">Read after the Artaxerxes flash-forward with an explicit placement note.</t>
        </is>
      </c>
      <c r="O349" s="15" t="inlineStr">
        <is>
          <t xml:space="preserve">Read in full; record a chronology choice in user-visible metadata.</t>
        </is>
      </c>
      <c r="P349" s="15" t="inlineStr">
        <is>
          <t xml:space="preserve">Not applicable</t>
        </is>
      </c>
      <c r="Q349" s="15" t="inlineStr">
        <is>
          <t xml:space="preserve">Journey: Return and Restoration</t>
        </is>
      </c>
      <c r="R349" s="15"/>
      <c r="S349" s="15" t="inlineStr">
        <is>
          <t xml:space="preserve">SRC-09; SRC-10; SRC-12</t>
        </is>
      </c>
      <c r="T349" s="15"/>
      <c r="U349" s="13" t="inlineStr">
        <is>
          <t xml:space="preserve">Draft</t>
        </is>
      </c>
      <c r="V349" s="15" t="inlineStr">
        <is>
          <t xml:space="preserve">Yes</t>
        </is>
      </c>
      <c r="W349" s="15" t="inlineStr">
        <is>
          <t xml:space="preserve">Major open decision: 458 versus alternate chronology proposals.</t>
        </is>
      </c>
    </row>
    <row r="350" ht="34" customHeight="1">
      <c r="A350" s="15" t="inlineStr">
        <is>
          <t xml:space="preserve">v0.5</t>
        </is>
      </c>
      <c r="B350" s="15" t="inlineStr">
        <is>
          <t xml:space="preserve">Bible_Journey_Canon_Map_v0_5_Exile_Return_Persia.xlsx</t>
        </is>
      </c>
      <c r="C350" s="15" t="inlineStr">
        <is>
          <t xml:space="preserve">CRS-05-037</t>
        </is>
      </c>
      <c r="D350" s="15">
        <v>37</v>
      </c>
      <c r="E350" s="15">
        <v>5</v>
      </c>
      <c r="F350" s="15"/>
      <c r="G350" s="15" t="inlineStr">
        <is>
          <t xml:space="preserve">Persian Period</t>
        </is>
      </c>
      <c r="H350" s="15"/>
      <c r="I350" s="15" t="inlineStr">
        <is>
          <t xml:space="preserve">Ezra's communal reform</t>
        </is>
      </c>
      <c r="J350" s="15"/>
      <c r="K350" s="15" t="inlineStr">
        <is>
          <t xml:space="preserve">High</t>
        </is>
      </c>
      <c r="L350" s="15" t="inlineStr">
        <is>
          <t xml:space="preserve">Debated</t>
        </is>
      </c>
      <c r="M350" s="15" t="inlineStr">
        <is>
          <t xml:space="preserve">Artaxerxes's reign; relative to Ezra 7-8</t>
        </is>
      </c>
      <c r="N350" s="15" t="inlineStr">
        <is>
          <t xml:space="preserve">Read immediately after Ezra's arrival and reform initiative.</t>
        </is>
      </c>
      <c r="O350" s="15" t="inlineStr">
        <is>
          <t xml:space="preserve">Read in full; attach careful historical-context note.</t>
        </is>
      </c>
      <c r="P350" s="15" t="inlineStr">
        <is>
          <t xml:space="preserve">Not applicable</t>
        </is>
      </c>
      <c r="Q350" s="15" t="inlineStr">
        <is>
          <t xml:space="preserve">Journey: Return and Restoration</t>
        </is>
      </c>
      <c r="R350" s="15"/>
      <c r="S350" s="15" t="inlineStr">
        <is>
          <t xml:space="preserve">SRC-10</t>
        </is>
      </c>
      <c r="T350" s="15"/>
      <c r="U350" s="13" t="inlineStr">
        <is>
          <t xml:space="preserve">Draft</t>
        </is>
      </c>
      <c r="V350" s="15" t="inlineStr">
        <is>
          <t xml:space="preserve">Yes</t>
        </is>
      </c>
      <c r="W350" s="15" t="inlineStr">
        <is>
          <t xml:space="preserve">Interpretive sensitivity: do not reduce complex identity issues to simplistic application.</t>
        </is>
      </c>
    </row>
    <row r="351" ht="34" customHeight="1">
      <c r="A351" s="15" t="inlineStr">
        <is>
          <t xml:space="preserve">v0.5</t>
        </is>
      </c>
      <c r="B351" s="15" t="inlineStr">
        <is>
          <t xml:space="preserve">Bible_Journey_Canon_Map_v0_5_Exile_Return_Persia.xlsx</t>
        </is>
      </c>
      <c r="C351" s="15" t="inlineStr">
        <is>
          <t xml:space="preserve">CRS-05-038</t>
        </is>
      </c>
      <c r="D351" s="15">
        <v>38</v>
      </c>
      <c r="E351" s="15">
        <v>5</v>
      </c>
      <c r="F351" s="15"/>
      <c r="G351" s="15" t="inlineStr">
        <is>
          <t xml:space="preserve">Persian Period</t>
        </is>
      </c>
      <c r="H351" s="15"/>
      <c r="I351" s="15" t="inlineStr">
        <is>
          <t xml:space="preserve">Nehemiah's burden and commission</t>
        </is>
      </c>
      <c r="J351" s="15"/>
      <c r="K351" s="15" t="inlineStr">
        <is>
          <t xml:space="preserve">High</t>
        </is>
      </c>
      <c r="L351" s="15" t="inlineStr">
        <is>
          <t xml:space="preserve">High</t>
        </is>
      </c>
      <c r="M351" s="15" t="inlineStr">
        <is>
          <t xml:space="preserve">445 BCE</t>
        </is>
      </c>
      <c r="N351" s="15" t="inlineStr">
        <is>
          <t xml:space="preserve">Read in narrative sequence with explicit date notes.</t>
        </is>
      </c>
      <c r="O351" s="15" t="inlineStr">
        <is>
          <t xml:space="preserve">Read in full; user can switch to Focus Reader.</t>
        </is>
      </c>
      <c r="P351" s="15" t="inlineStr">
        <is>
          <t xml:space="preserve">Not applicable</t>
        </is>
      </c>
      <c r="Q351" s="15" t="inlineStr">
        <is>
          <t xml:space="preserve">Journey: Return and Restoration</t>
        </is>
      </c>
      <c r="R351" s="15"/>
      <c r="S351" s="15" t="inlineStr">
        <is>
          <t xml:space="preserve">SRC-09; SRC-10; SRC-12</t>
        </is>
      </c>
      <c r="T351" s="15"/>
      <c r="U351" s="13" t="inlineStr">
        <is>
          <t xml:space="preserve">Draft</t>
        </is>
      </c>
      <c r="V351" s="15" t="inlineStr">
        <is>
          <t xml:space="preserve">No</t>
        </is>
      </c>
      <c r="W351" s="15" t="inlineStr">
        <is>
          <t xml:space="preserve">Neh 1:1 and 2:1 provide internal dates.</t>
        </is>
      </c>
    </row>
    <row r="352" ht="34" customHeight="1">
      <c r="A352" s="15" t="inlineStr">
        <is>
          <t xml:space="preserve">v0.5</t>
        </is>
      </c>
      <c r="B352" s="15" t="inlineStr">
        <is>
          <t xml:space="preserve">Bible_Journey_Canon_Map_v0_5_Exile_Return_Persia.xlsx</t>
        </is>
      </c>
      <c r="C352" s="15" t="inlineStr">
        <is>
          <t xml:space="preserve">CRS-05-039</t>
        </is>
      </c>
      <c r="D352" s="15">
        <v>39</v>
      </c>
      <c r="E352" s="15">
        <v>5</v>
      </c>
      <c r="F352" s="15"/>
      <c r="G352" s="15" t="inlineStr">
        <is>
          <t xml:space="preserve">Persian Period</t>
        </is>
      </c>
      <c r="H352" s="15"/>
      <c r="I352" s="15" t="inlineStr">
        <is>
          <t xml:space="preserve">Rebuilding Jerusalem's wall under opposition</t>
        </is>
      </c>
      <c r="J352" s="15"/>
      <c r="K352" s="15" t="inlineStr">
        <is>
          <t xml:space="preserve">High</t>
        </is>
      </c>
      <c r="L352" s="15" t="inlineStr">
        <is>
          <t xml:space="preserve">High</t>
        </is>
      </c>
      <c r="M352" s="15" t="inlineStr">
        <is>
          <t xml:space="preserve">445 BCE</t>
        </is>
      </c>
      <c r="N352" s="15" t="inlineStr">
        <is>
          <t xml:space="preserve">Read in narrative sequence with explicit date notes.</t>
        </is>
      </c>
      <c r="O352" s="15" t="inlineStr">
        <is>
          <t xml:space="preserve">Read in full; user can switch to Focus Reader.</t>
        </is>
      </c>
      <c r="P352" s="15" t="inlineStr">
        <is>
          <t xml:space="preserve">Not applicable</t>
        </is>
      </c>
      <c r="Q352" s="15" t="inlineStr">
        <is>
          <t xml:space="preserve">Journey: Return and Restoration</t>
        </is>
      </c>
      <c r="R352" s="15"/>
      <c r="S352" s="15" t="inlineStr">
        <is>
          <t xml:space="preserve">SRC-09; SRC-10; SRC-12</t>
        </is>
      </c>
      <c r="T352" s="15"/>
      <c r="U352" s="13" t="inlineStr">
        <is>
          <t xml:space="preserve">Draft</t>
        </is>
      </c>
      <c r="V352" s="15" t="inlineStr">
        <is>
          <t xml:space="preserve">No</t>
        </is>
      </c>
      <c r="W352" s="15" t="inlineStr">
        <is>
          <t xml:space="preserve">Follows Nehemiah's arrival.</t>
        </is>
      </c>
    </row>
    <row r="353" ht="34" customHeight="1">
      <c r="A353" s="15" t="inlineStr">
        <is>
          <t xml:space="preserve">v0.5</t>
        </is>
      </c>
      <c r="B353" s="15" t="inlineStr">
        <is>
          <t xml:space="preserve">Bible_Journey_Canon_Map_v0_5_Exile_Return_Persia.xlsx</t>
        </is>
      </c>
      <c r="C353" s="15" t="inlineStr">
        <is>
          <t xml:space="preserve">CRS-05-040</t>
        </is>
      </c>
      <c r="D353" s="15">
        <v>40</v>
      </c>
      <c r="E353" s="15">
        <v>5</v>
      </c>
      <c r="F353" s="15"/>
      <c r="G353" s="15" t="inlineStr">
        <is>
          <t xml:space="preserve">Persian Period</t>
        </is>
      </c>
      <c r="H353" s="15"/>
      <c r="I353" s="15" t="inlineStr">
        <is>
          <t xml:space="preserve">Economic justice within the rebuilding community</t>
        </is>
      </c>
      <c r="J353" s="15"/>
      <c r="K353" s="15" t="inlineStr">
        <is>
          <t xml:space="preserve">High</t>
        </is>
      </c>
      <c r="L353" s="15" t="inlineStr">
        <is>
          <t xml:space="preserve">Probable</t>
        </is>
      </c>
      <c r="M353" s="15" t="inlineStr">
        <is>
          <t xml:space="preserve">445 BCE</t>
        </is>
      </c>
      <c r="N353" s="15" t="inlineStr">
        <is>
          <t xml:space="preserve">Read in narrative sequence with explicit date notes.</t>
        </is>
      </c>
      <c r="O353" s="15" t="inlineStr">
        <is>
          <t xml:space="preserve">Read in full; user can switch to Focus Reader.</t>
        </is>
      </c>
      <c r="P353" s="15" t="inlineStr">
        <is>
          <t xml:space="preserve">Not applicable</t>
        </is>
      </c>
      <c r="Q353" s="15" t="inlineStr">
        <is>
          <t xml:space="preserve">Journey: Return and Restoration</t>
        </is>
      </c>
      <c r="R353" s="15"/>
      <c r="S353" s="15" t="inlineStr">
        <is>
          <t xml:space="preserve">SRC-09; SRC-10; SRC-12</t>
        </is>
      </c>
      <c r="T353" s="15"/>
      <c r="U353" s="13" t="inlineStr">
        <is>
          <t xml:space="preserve">Draft</t>
        </is>
      </c>
      <c r="V353" s="15" t="inlineStr">
        <is>
          <t xml:space="preserve">No</t>
        </is>
      </c>
      <c r="W353" s="15" t="inlineStr">
        <is>
          <t xml:space="preserve">Placed within the rebuilding campaign.</t>
        </is>
      </c>
    </row>
    <row r="354" ht="34" customHeight="1">
      <c r="A354" s="15" t="inlineStr">
        <is>
          <t xml:space="preserve">v0.5</t>
        </is>
      </c>
      <c r="B354" s="15" t="inlineStr">
        <is>
          <t xml:space="preserve">Bible_Journey_Canon_Map_v0_5_Exile_Return_Persia.xlsx</t>
        </is>
      </c>
      <c r="C354" s="15" t="inlineStr">
        <is>
          <t xml:space="preserve">CRS-05-041</t>
        </is>
      </c>
      <c r="D354" s="15">
        <v>41</v>
      </c>
      <c r="E354" s="15">
        <v>5</v>
      </c>
      <c r="F354" s="15"/>
      <c r="G354" s="15" t="inlineStr">
        <is>
          <t xml:space="preserve">Persian Period</t>
        </is>
      </c>
      <c r="H354" s="15"/>
      <c r="I354" s="15" t="inlineStr">
        <is>
          <t xml:space="preserve">Wall completed and community registers</t>
        </is>
      </c>
      <c r="J354" s="15"/>
      <c r="K354" s="15" t="inlineStr">
        <is>
          <t xml:space="preserve">High</t>
        </is>
      </c>
      <c r="L354" s="15" t="inlineStr">
        <is>
          <t xml:space="preserve">High</t>
        </is>
      </c>
      <c r="M354" s="15" t="inlineStr">
        <is>
          <t xml:space="preserve">445 BCE</t>
        </is>
      </c>
      <c r="N354" s="15" t="inlineStr">
        <is>
          <t xml:space="preserve">Read in narrative sequence with explicit date notes.</t>
        </is>
      </c>
      <c r="O354" s="15" t="inlineStr">
        <is>
          <t xml:space="preserve">Read in full; user can switch to Focus Reader.</t>
        </is>
      </c>
      <c r="P354" s="15" t="inlineStr">
        <is>
          <t xml:space="preserve">Not applicable</t>
        </is>
      </c>
      <c r="Q354" s="15" t="inlineStr">
        <is>
          <t xml:space="preserve">Journey: Return and Restoration</t>
        </is>
      </c>
      <c r="R354" s="15"/>
      <c r="S354" s="15" t="inlineStr">
        <is>
          <t xml:space="preserve">SRC-09; SRC-10; SRC-12</t>
        </is>
      </c>
      <c r="T354" s="15"/>
      <c r="U354" s="13" t="inlineStr">
        <is>
          <t xml:space="preserve">Draft</t>
        </is>
      </c>
      <c r="V354" s="15" t="inlineStr">
        <is>
          <t xml:space="preserve">No</t>
        </is>
      </c>
      <c r="W354" s="15" t="inlineStr">
        <is>
          <t xml:space="preserve">Follows work completion in book sequence.</t>
        </is>
      </c>
    </row>
    <row r="355" ht="34" customHeight="1">
      <c r="A355" s="15" t="inlineStr">
        <is>
          <t xml:space="preserve">v0.5</t>
        </is>
      </c>
      <c r="B355" s="15" t="inlineStr">
        <is>
          <t xml:space="preserve">Bible_Journey_Canon_Map_v0_5_Exile_Return_Persia.xlsx</t>
        </is>
      </c>
      <c r="C355" s="15" t="inlineStr">
        <is>
          <t xml:space="preserve">CRS-05-042</t>
        </is>
      </c>
      <c r="D355" s="15">
        <v>42</v>
      </c>
      <c r="E355" s="15">
        <v>5</v>
      </c>
      <c r="F355" s="15"/>
      <c r="G355" s="15" t="inlineStr">
        <is>
          <t xml:space="preserve">Persian Period</t>
        </is>
      </c>
      <c r="H355" s="15"/>
      <c r="I355" s="15" t="inlineStr">
        <is>
          <t xml:space="preserve">Public Torah reading</t>
        </is>
      </c>
      <c r="J355" s="15"/>
      <c r="K355" s="15" t="inlineStr">
        <is>
          <t xml:space="preserve">High</t>
        </is>
      </c>
      <c r="L355" s="15" t="inlineStr">
        <is>
          <t xml:space="preserve">Probable</t>
        </is>
      </c>
      <c r="M355" s="15" t="inlineStr">
        <is>
          <t xml:space="preserve">445 BCE (traditional reading)</t>
        </is>
      </c>
      <c r="N355" s="15" t="inlineStr">
        <is>
          <t xml:space="preserve">Read in narrative sequence with explicit date notes.</t>
        </is>
      </c>
      <c r="O355" s="15" t="inlineStr">
        <is>
          <t xml:space="preserve">Read in full; user can switch to Focus Reader.</t>
        </is>
      </c>
      <c r="P355" s="15" t="inlineStr">
        <is>
          <t xml:space="preserve">Not applicable</t>
        </is>
      </c>
      <c r="Q355" s="15" t="inlineStr">
        <is>
          <t xml:space="preserve">Journey: Return and Restoration</t>
        </is>
      </c>
      <c r="R355" s="15"/>
      <c r="S355" s="15" t="inlineStr">
        <is>
          <t xml:space="preserve">SRC-09; SRC-10; SRC-12</t>
        </is>
      </c>
      <c r="T355" s="15"/>
      <c r="U355" s="13" t="inlineStr">
        <is>
          <t xml:space="preserve">Draft</t>
        </is>
      </c>
      <c r="V355" s="15" t="inlineStr">
        <is>
          <t xml:space="preserve">No</t>
        </is>
      </c>
      <c r="W355" s="15" t="inlineStr">
        <is>
          <t xml:space="preserve">Placed after wall completion; relation to Ezra chronology requires transparency.</t>
        </is>
      </c>
    </row>
    <row r="356" ht="34" customHeight="1">
      <c r="A356" s="15" t="inlineStr">
        <is>
          <t xml:space="preserve">v0.5</t>
        </is>
      </c>
      <c r="B356" s="15" t="inlineStr">
        <is>
          <t xml:space="preserve">Bible_Journey_Canon_Map_v0_5_Exile_Return_Persia.xlsx</t>
        </is>
      </c>
      <c r="C356" s="15" t="inlineStr">
        <is>
          <t xml:space="preserve">CRS-05-043</t>
        </is>
      </c>
      <c r="D356" s="15">
        <v>43</v>
      </c>
      <c r="E356" s="15">
        <v>5</v>
      </c>
      <c r="F356" s="15"/>
      <c r="G356" s="15" t="inlineStr">
        <is>
          <t xml:space="preserve">Persian Period</t>
        </is>
      </c>
      <c r="H356" s="15"/>
      <c r="I356" s="15" t="inlineStr">
        <is>
          <t xml:space="preserve">Confession and covenant</t>
        </is>
      </c>
      <c r="J356" s="15"/>
      <c r="K356" s="15" t="inlineStr">
        <is>
          <t xml:space="preserve">High</t>
        </is>
      </c>
      <c r="L356" s="15" t="inlineStr">
        <is>
          <t xml:space="preserve">Probable</t>
        </is>
      </c>
      <c r="M356" s="15" t="inlineStr">
        <is>
          <t xml:space="preserve">445 BCE (traditional reading)</t>
        </is>
      </c>
      <c r="N356" s="15" t="inlineStr">
        <is>
          <t xml:space="preserve">Read in narrative sequence with explicit date notes.</t>
        </is>
      </c>
      <c r="O356" s="15" t="inlineStr">
        <is>
          <t xml:space="preserve">Read in full; user can switch to Focus Reader.</t>
        </is>
      </c>
      <c r="P356" s="15" t="inlineStr">
        <is>
          <t xml:space="preserve">Not applicable</t>
        </is>
      </c>
      <c r="Q356" s="15" t="inlineStr">
        <is>
          <t xml:space="preserve">Journey: Return and Restoration</t>
        </is>
      </c>
      <c r="R356" s="15"/>
      <c r="S356" s="15" t="inlineStr">
        <is>
          <t xml:space="preserve">SRC-09; SRC-10; SRC-12</t>
        </is>
      </c>
      <c r="T356" s="15"/>
      <c r="U356" s="13" t="inlineStr">
        <is>
          <t xml:space="preserve">Draft</t>
        </is>
      </c>
      <c r="V356" s="15" t="inlineStr">
        <is>
          <t xml:space="preserve">No</t>
        </is>
      </c>
      <c r="W356" s="15" t="inlineStr">
        <is>
          <t xml:space="preserve">Read after Nehemiah 8.</t>
        </is>
      </c>
    </row>
    <row r="357" ht="34" customHeight="1">
      <c r="A357" s="15" t="inlineStr">
        <is>
          <t xml:space="preserve">v0.5</t>
        </is>
      </c>
      <c r="B357" s="15" t="inlineStr">
        <is>
          <t xml:space="preserve">Bible_Journey_Canon_Map_v0_5_Exile_Return_Persia.xlsx</t>
        </is>
      </c>
      <c r="C357" s="15" t="inlineStr">
        <is>
          <t xml:space="preserve">CRS-05-044</t>
        </is>
      </c>
      <c r="D357" s="15">
        <v>44</v>
      </c>
      <c r="E357" s="15">
        <v>5</v>
      </c>
      <c r="F357" s="15"/>
      <c r="G357" s="15" t="inlineStr">
        <is>
          <t xml:space="preserve">Persian Period</t>
        </is>
      </c>
      <c r="H357" s="15"/>
      <c r="I357" s="15" t="inlineStr">
        <is>
          <t xml:space="preserve">Resettlement and wall dedication</t>
        </is>
      </c>
      <c r="J357" s="15"/>
      <c r="K357" s="15" t="inlineStr">
        <is>
          <t xml:space="preserve">High</t>
        </is>
      </c>
      <c r="L357" s="15" t="inlineStr">
        <is>
          <t xml:space="preserve">Probable</t>
        </is>
      </c>
      <c r="M357" s="15" t="inlineStr">
        <is>
          <t xml:space="preserve">Post-445 BCE</t>
        </is>
      </c>
      <c r="N357" s="15" t="inlineStr">
        <is>
          <t xml:space="preserve">Read in narrative sequence with explicit date notes.</t>
        </is>
      </c>
      <c r="O357" s="15" t="inlineStr">
        <is>
          <t xml:space="preserve">Read in full; user can switch to Focus Reader.</t>
        </is>
      </c>
      <c r="P357" s="15" t="inlineStr">
        <is>
          <t xml:space="preserve">Not applicable</t>
        </is>
      </c>
      <c r="Q357" s="15" t="inlineStr">
        <is>
          <t xml:space="preserve">Journey: Return and Restoration</t>
        </is>
      </c>
      <c r="R357" s="15"/>
      <c r="S357" s="15" t="inlineStr">
        <is>
          <t xml:space="preserve">SRC-09; SRC-10; SRC-12</t>
        </is>
      </c>
      <c r="T357" s="15"/>
      <c r="U357" s="13" t="inlineStr">
        <is>
          <t xml:space="preserve">Draft</t>
        </is>
      </c>
      <c r="V357" s="15" t="inlineStr">
        <is>
          <t xml:space="preserve">No</t>
        </is>
      </c>
      <c r="W357" s="15" t="inlineStr">
        <is>
          <t xml:space="preserve">Placed after covenant material.</t>
        </is>
      </c>
    </row>
    <row r="358" ht="34" customHeight="1">
      <c r="A358" s="15" t="inlineStr">
        <is>
          <t xml:space="preserve">v0.5</t>
        </is>
      </c>
      <c r="B358" s="15" t="inlineStr">
        <is>
          <t xml:space="preserve">Bible_Journey_Canon_Map_v0_5_Exile_Return_Persia.xlsx</t>
        </is>
      </c>
      <c r="C358" s="15" t="inlineStr">
        <is>
          <t xml:space="preserve">CRS-05-045</t>
        </is>
      </c>
      <c r="D358" s="15">
        <v>45</v>
      </c>
      <c r="E358" s="15">
        <v>5</v>
      </c>
      <c r="F358" s="15"/>
      <c r="G358" s="15" t="inlineStr">
        <is>
          <t xml:space="preserve">Persian Period</t>
        </is>
      </c>
      <c r="H358" s="15"/>
      <c r="I358" s="15" t="inlineStr">
        <is>
          <t xml:space="preserve">Nehemiah's later reforms</t>
        </is>
      </c>
      <c r="J358" s="15"/>
      <c r="K358" s="15" t="inlineStr">
        <is>
          <t xml:space="preserve">High</t>
        </is>
      </c>
      <c r="L358" s="15" t="inlineStr">
        <is>
          <t xml:space="preserve">Debated</t>
        </is>
      </c>
      <c r="M358" s="15" t="inlineStr">
        <is>
          <t xml:space="preserve">Later Persian period</t>
        </is>
      </c>
      <c r="N358" s="15" t="inlineStr">
        <is>
          <t xml:space="preserve">Read in narrative sequence with explicit date notes.</t>
        </is>
      </c>
      <c r="O358" s="15" t="inlineStr">
        <is>
          <t xml:space="preserve">Read in full; user can switch to Focus Reader.</t>
        </is>
      </c>
      <c r="P358" s="15" t="inlineStr">
        <is>
          <t xml:space="preserve">Not applicable</t>
        </is>
      </c>
      <c r="Q358" s="15" t="inlineStr">
        <is>
          <t xml:space="preserve">Journey: Return and Restoration</t>
        </is>
      </c>
      <c r="R358" s="15"/>
      <c r="S358" s="15" t="inlineStr">
        <is>
          <t xml:space="preserve">SRC-09; SRC-10; SRC-12</t>
        </is>
      </c>
      <c r="T358" s="15"/>
      <c r="U358" s="13" t="inlineStr">
        <is>
          <t xml:space="preserve">Draft</t>
        </is>
      </c>
      <c r="V358" s="15" t="inlineStr">
        <is>
          <t xml:space="preserve">Yes</t>
        </is>
      </c>
      <c r="W358" s="15" t="inlineStr">
        <is>
          <t xml:space="preserve">Read after dedication with a broad date label.</t>
        </is>
      </c>
    </row>
    <row r="359" ht="34" customHeight="1">
      <c r="A359" s="15" t="inlineStr">
        <is>
          <t xml:space="preserve">v0.5</t>
        </is>
      </c>
      <c r="B359" s="15" t="inlineStr">
        <is>
          <t xml:space="preserve">Bible_Journey_Canon_Map_v0_5_Exile_Return_Persia.xlsx</t>
        </is>
      </c>
      <c r="C359" s="15" t="inlineStr">
        <is>
          <t xml:space="preserve">CRS-05-046</t>
        </is>
      </c>
      <c r="D359" s="15">
        <v>46</v>
      </c>
      <c r="E359" s="15">
        <v>5</v>
      </c>
      <c r="F359" s="15"/>
      <c r="G359" s="15" t="inlineStr">
        <is>
          <t xml:space="preserve">Postexilic Prophetic Collection</t>
        </is>
      </c>
      <c r="H359" s="15"/>
      <c r="I359" s="15" t="inlineStr">
        <is>
          <t xml:space="preserve">Malachi: worship, covenant, and communal faithfulness</t>
        </is>
      </c>
      <c r="J359" s="15"/>
      <c r="K359" s="15" t="inlineStr">
        <is>
          <t xml:space="preserve">Debated</t>
        </is>
      </c>
      <c r="L359" s="15" t="inlineStr">
        <is>
          <t xml:space="preserve">Debated</t>
        </is>
      </c>
      <c r="M359" s="15" t="inlineStr">
        <is>
          <t xml:space="preserve">Postexilic / Persian period; exact placement debated</t>
        </is>
      </c>
      <c r="N359" s="15" t="inlineStr">
        <is>
          <t xml:space="preserve">Read after Nehemiah 13 with a transparent placement note.</t>
        </is>
      </c>
      <c r="O359" s="15" t="inlineStr">
        <is>
          <t xml:space="preserve">Read in full; no chronology claim stronger than available evidence.</t>
        </is>
      </c>
      <c r="P359" s="15" t="inlineStr">
        <is>
          <t xml:space="preserve">Not applicable</t>
        </is>
      </c>
      <c r="Q359" s="15" t="inlineStr">
        <is>
          <t xml:space="preserve">Journey: Return and Restoration</t>
        </is>
      </c>
      <c r="R359" s="15"/>
      <c r="S359" s="15" t="inlineStr">
        <is>
          <t xml:space="preserve">SRC-14; SRC-24</t>
        </is>
      </c>
      <c r="T359" s="15"/>
      <c r="U359" s="13" t="inlineStr">
        <is>
          <t xml:space="preserve">Draft</t>
        </is>
      </c>
      <c r="V359" s="15" t="inlineStr">
        <is>
          <t xml:space="preserve">Yes</t>
        </is>
      </c>
      <c r="W359" s="15" t="inlineStr">
        <is>
          <t xml:space="preserve">Do not identify Malachi with Ezra or assign a fixed year without a stated framework.</t>
        </is>
      </c>
    </row>
    <row r="360" ht="34" customHeight="1">
      <c r="A360" s="15" t="inlineStr">
        <is>
          <t xml:space="preserve">v0.6</t>
        </is>
      </c>
      <c r="B360" s="15" t="inlineStr">
        <is>
          <t xml:space="preserve">Bible_Journey_Canon_Map_v0_6_Esther_Intertestamental_Bridge.xlsx</t>
        </is>
      </c>
      <c r="C360" s="15" t="inlineStr">
        <is>
          <t xml:space="preserve">CRS-06-001</t>
        </is>
      </c>
      <c r="D360" s="15">
        <v>1</v>
      </c>
      <c r="E360" s="15">
        <v>6</v>
      </c>
      <c r="F360" s="15" t="inlineStr">
        <is>
          <t xml:space="preserve">Canonical Reading Set</t>
        </is>
      </c>
      <c r="G360" s="15" t="inlineStr">
        <is>
          <t xml:space="preserve">Persian Period</t>
        </is>
      </c>
      <c r="H360" s="15"/>
      <c r="I360" s="15" t="inlineStr">
        <is>
          <t xml:space="preserve">Esther: royal court and queen selection</t>
        </is>
      </c>
      <c r="J360" s="15"/>
      <c r="K360" s="15" t="inlineStr">
        <is>
          <t xml:space="preserve">Debated</t>
        </is>
      </c>
      <c r="L360" s="15" t="inlineStr">
        <is>
          <t xml:space="preserve">Probable</t>
        </is>
      </c>
      <c r="M360" s="15" t="inlineStr">
        <is>
          <t xml:space="preserve">Narrative setting: reign of Ahasuerus/Xerxes (486-465 BCE)</t>
        </is>
      </c>
      <c r="N360" s="15" t="inlineStr">
        <is>
          <t xml:space="preserve">Read Esther 1-2 intact after the Persian-context card. This is required Scripture in the stream.</t>
        </is>
      </c>
      <c r="O360" s="15" t="inlineStr">
        <is>
          <t xml:space="preserve">Read Esther 1-2 intact. No parallel canonical account is deferred.</t>
        </is>
      </c>
      <c r="P360" s="15" t="inlineStr">
        <is>
          <t xml:space="preserve">Not applicable</t>
        </is>
      </c>
      <c r="Q360" s="15" t="inlineStr">
        <is>
          <t xml:space="preserve">Journey: Exile and Return</t>
        </is>
      </c>
      <c r="R360" s="15"/>
      <c r="S360" s="15" t="inlineStr">
        <is>
          <t xml:space="preserve">SRC-06-01; SRC-06-02; SRC-06-03</t>
        </is>
      </c>
      <c r="T360" s="15"/>
      <c r="U360" s="13" t="inlineStr">
        <is>
          <t xml:space="preserve">Draft</t>
        </is>
      </c>
      <c r="V360" s="15" t="inlineStr">
        <is>
          <t xml:space="preserve">Yes</t>
        </is>
      </c>
      <c r="W360" s="15" t="inlineStr">
        <is>
          <t xml:space="preserve">Narrative setting is not equivalent to a settled historical reconstruction or composition date.</t>
        </is>
      </c>
    </row>
    <row r="361" ht="34" customHeight="1">
      <c r="A361" s="15" t="inlineStr">
        <is>
          <t xml:space="preserve">v0.6</t>
        </is>
      </c>
      <c r="B361" s="15" t="inlineStr">
        <is>
          <t xml:space="preserve">Bible_Journey_Canon_Map_v0_6_Esther_Intertestamental_Bridge.xlsx</t>
        </is>
      </c>
      <c r="C361" s="15" t="inlineStr">
        <is>
          <t xml:space="preserve">CRS-06-002</t>
        </is>
      </c>
      <c r="D361" s="15">
        <v>2</v>
      </c>
      <c r="E361" s="15">
        <v>6</v>
      </c>
      <c r="F361" s="15" t="inlineStr">
        <is>
          <t xml:space="preserve">Canonical Reading Set</t>
        </is>
      </c>
      <c r="G361" s="15" t="inlineStr">
        <is>
          <t xml:space="preserve">Persian Period</t>
        </is>
      </c>
      <c r="H361" s="15"/>
      <c r="I361" s="15" t="inlineStr">
        <is>
          <t xml:space="preserve">Esther: decree, fear, and decision</t>
        </is>
      </c>
      <c r="J361" s="15"/>
      <c r="K361" s="15" t="inlineStr">
        <is>
          <t xml:space="preserve">Debated</t>
        </is>
      </c>
      <c r="L361" s="15" t="inlineStr">
        <is>
          <t xml:space="preserve">Probable</t>
        </is>
      </c>
      <c r="M361" s="15" t="inlineStr">
        <is>
          <t xml:space="preserve">Narrative setting: reign of Ahasuerus/Xerxes (486-465 BCE)</t>
        </is>
      </c>
      <c r="N361" s="15" t="inlineStr">
        <is>
          <t xml:space="preserve">Read Esther 3-4 intact as the next canonical block.</t>
        </is>
      </c>
      <c r="O361" s="15" t="inlineStr">
        <is>
          <t xml:space="preserve">Read Esther 3-4 intact.</t>
        </is>
      </c>
      <c r="P361" s="15" t="inlineStr">
        <is>
          <t xml:space="preserve">Not applicable</t>
        </is>
      </c>
      <c r="Q361" s="15" t="inlineStr">
        <is>
          <t xml:space="preserve">Journey: Exile and Return</t>
        </is>
      </c>
      <c r="R361" s="15"/>
      <c r="S361" s="15" t="inlineStr">
        <is>
          <t xml:space="preserve">SRC-06-01; SRC-06-02; SRC-06-04</t>
        </is>
      </c>
      <c r="T361" s="15"/>
      <c r="U361" s="13" t="inlineStr">
        <is>
          <t xml:space="preserve">Draft</t>
        </is>
      </c>
      <c r="V361" s="15" t="inlineStr">
        <is>
          <t xml:space="preserve">Yes</t>
        </is>
      </c>
      <c r="W361" s="15" t="inlineStr">
        <is>
          <t xml:space="preserve">Do not insert non-biblical historical narration inside the chapter text.</t>
        </is>
      </c>
    </row>
    <row r="362" ht="34" customHeight="1">
      <c r="A362" s="15" t="inlineStr">
        <is>
          <t xml:space="preserve">v0.6</t>
        </is>
      </c>
      <c r="B362" s="15" t="inlineStr">
        <is>
          <t xml:space="preserve">Bible_Journey_Canon_Map_v0_6_Esther_Intertestamental_Bridge.xlsx</t>
        </is>
      </c>
      <c r="C362" s="15" t="inlineStr">
        <is>
          <t xml:space="preserve">CRS-06-003</t>
        </is>
      </c>
      <c r="D362" s="15">
        <v>3</v>
      </c>
      <c r="E362" s="15">
        <v>6</v>
      </c>
      <c r="F362" s="15" t="inlineStr">
        <is>
          <t xml:space="preserve">Canonical Reading Set</t>
        </is>
      </c>
      <c r="G362" s="15" t="inlineStr">
        <is>
          <t xml:space="preserve">Persian Period</t>
        </is>
      </c>
      <c r="H362" s="15"/>
      <c r="I362" s="15" t="inlineStr">
        <is>
          <t xml:space="preserve">Esther: banquets and reversal</t>
        </is>
      </c>
      <c r="J362" s="15"/>
      <c r="K362" s="15" t="inlineStr">
        <is>
          <t xml:space="preserve">Debated</t>
        </is>
      </c>
      <c r="L362" s="15" t="inlineStr">
        <is>
          <t xml:space="preserve">Probable</t>
        </is>
      </c>
      <c r="M362" s="15" t="inlineStr">
        <is>
          <t xml:space="preserve">Narrative setting: reign of Ahasuerus/Xerxes (486-465 BCE)</t>
        </is>
      </c>
      <c r="N362" s="15" t="inlineStr">
        <is>
          <t xml:space="preserve">Read Esther 5-7 intact as the next canonical block.</t>
        </is>
      </c>
      <c r="O362" s="15" t="inlineStr">
        <is>
          <t xml:space="preserve">Read Esther 5-7 intact.</t>
        </is>
      </c>
      <c r="P362" s="15" t="inlineStr">
        <is>
          <t xml:space="preserve">Not applicable</t>
        </is>
      </c>
      <c r="Q362" s="15" t="inlineStr">
        <is>
          <t xml:space="preserve">Journey: Exile and Return</t>
        </is>
      </c>
      <c r="R362" s="15"/>
      <c r="S362" s="15" t="inlineStr">
        <is>
          <t xml:space="preserve">SRC-06-02; SRC-06-03</t>
        </is>
      </c>
      <c r="T362" s="15"/>
      <c r="U362" s="13" t="inlineStr">
        <is>
          <t xml:space="preserve">Draft</t>
        </is>
      </c>
      <c r="V362" s="15" t="inlineStr">
        <is>
          <t xml:space="preserve">No</t>
        </is>
      </c>
      <c r="W362" s="15" t="inlineStr">
        <is>
          <t xml:space="preserve">The book's literary character and historical reconstruction should remain available in Study Mode, not in the reader's main text.</t>
        </is>
      </c>
    </row>
    <row r="363" ht="34" customHeight="1">
      <c r="A363" s="15" t="inlineStr">
        <is>
          <t xml:space="preserve">v0.6</t>
        </is>
      </c>
      <c r="B363" s="15" t="inlineStr">
        <is>
          <t xml:space="preserve">Bible_Journey_Canon_Map_v0_6_Esther_Intertestamental_Bridge.xlsx</t>
        </is>
      </c>
      <c r="C363" s="15" t="inlineStr">
        <is>
          <t xml:space="preserve">CRS-06-004</t>
        </is>
      </c>
      <c r="D363" s="15">
        <v>4</v>
      </c>
      <c r="E363" s="15">
        <v>6</v>
      </c>
      <c r="F363" s="15" t="inlineStr">
        <is>
          <t xml:space="preserve">Canonical Reading Set</t>
        </is>
      </c>
      <c r="G363" s="15" t="inlineStr">
        <is>
          <t xml:space="preserve">Persian Period</t>
        </is>
      </c>
      <c r="H363" s="15"/>
      <c r="I363" s="15" t="inlineStr">
        <is>
          <t xml:space="preserve">Esther: deliverance and Purim</t>
        </is>
      </c>
      <c r="J363" s="15"/>
      <c r="K363" s="15" t="inlineStr">
        <is>
          <t xml:space="preserve">Debated</t>
        </is>
      </c>
      <c r="L363" s="15" t="inlineStr">
        <is>
          <t xml:space="preserve">Probable</t>
        </is>
      </c>
      <c r="M363" s="15" t="inlineStr">
        <is>
          <t xml:space="preserve">Narrative setting: reign of Ahasuerus/Xerxes (486-465 BCE)</t>
        </is>
      </c>
      <c r="N363" s="15" t="inlineStr">
        <is>
          <t xml:space="preserve">Read Esther 8-10 intact. Mark Esther complete only after all four canonical blocks are read.</t>
        </is>
      </c>
      <c r="O363" s="15" t="inlineStr">
        <is>
          <t xml:space="preserve">Read Esther 8-10 intact.</t>
        </is>
      </c>
      <c r="P363" s="15" t="inlineStr">
        <is>
          <t xml:space="preserve">Not applicable</t>
        </is>
      </c>
      <c r="Q363" s="15" t="inlineStr">
        <is>
          <t xml:space="preserve">Journey: Exile and Return</t>
        </is>
      </c>
      <c r="R363" s="15"/>
      <c r="S363" s="15" t="inlineStr">
        <is>
          <t xml:space="preserve">SRC-06-02; SRC-06-14</t>
        </is>
      </c>
      <c r="T363" s="15"/>
      <c r="U363" s="13" t="inlineStr">
        <is>
          <t xml:space="preserve">Draft</t>
        </is>
      </c>
      <c r="V363" s="15" t="inlineStr">
        <is>
          <t xml:space="preserve">No</t>
        </is>
      </c>
      <c r="W363" s="15" t="inlineStr">
        <is>
          <t xml:space="preserve">Historical context card after Esther should explain that later Persian-period and Hellenistic developments are not biblical text.</t>
        </is>
      </c>
    </row>
    <row r="364" ht="34" customHeight="1">
      <c r="A364" s="15" t="inlineStr">
        <is>
          <t xml:space="preserve">v0.7</t>
        </is>
      </c>
      <c r="B364" s="15" t="inlineStr">
        <is>
          <t xml:space="preserve">Bible_Journey_Canon_Map_v0_7_Gospel_Chronology.xlsx</t>
        </is>
      </c>
      <c r="C364" s="15" t="inlineStr">
        <is>
          <t xml:space="preserve">CRS-07-001</t>
        </is>
      </c>
      <c r="D364" s="15">
        <v>1</v>
      </c>
      <c r="E364" s="15">
        <v>7</v>
      </c>
      <c r="F364" s="15" t="inlineStr">
        <is>
          <t xml:space="preserve">Canonical Reading Set</t>
        </is>
      </c>
      <c r="G364" s="15" t="inlineStr">
        <is>
          <t xml:space="preserve">Gospels / Ministry of Jesus</t>
        </is>
      </c>
      <c r="H364" s="15"/>
      <c r="I364" s="15" t="inlineStr">
        <is>
          <t xml:space="preserve">Luke's prologue</t>
        </is>
      </c>
      <c r="J364" s="15"/>
      <c r="K364" s="15" t="inlineStr">
        <is>
          <t xml:space="preserve">High confidence</t>
        </is>
      </c>
      <c r="L364" s="15" t="inlineStr">
        <is>
          <t xml:space="preserve">High confidence</t>
        </is>
      </c>
      <c r="M364" s="15" t="inlineStr">
        <is>
          <t xml:space="preserve">Literary opening</t>
        </is>
      </c>
      <c r="N364" s="15" t="inlineStr">
        <is>
          <t xml:space="preserve">Read Luke 1:1-4 as the opening canonical block.</t>
        </is>
      </c>
      <c r="O364" s="15" t="inlineStr">
        <is>
          <t xml:space="preserve">Read Luke 1:1-4; it is not a parallel account.</t>
        </is>
      </c>
      <c r="P364" s="15" t="inlineStr">
        <is>
          <t xml:space="preserve">Not applicable</t>
        </is>
      </c>
      <c r="Q364" s="15" t="inlineStr">
        <is>
          <t xml:space="preserve">Journey: The Life of Jesus | Act I: Beginnings</t>
        </is>
      </c>
      <c r="R364" s="15"/>
      <c r="S364" s="15" t="inlineStr">
        <is>
          <t xml:space="preserve">SRC-07-01; SRC-07-03</t>
        </is>
      </c>
      <c r="T364" s="15"/>
      <c r="U364" s="13" t="inlineStr">
        <is>
          <t xml:space="preserve">Draft</t>
        </is>
      </c>
      <c r="V364" s="15" t="inlineStr">
        <is>
          <t xml:space="preserve">No</t>
        </is>
      </c>
      <c r="W364" s="15" t="inlineStr">
        <is>
          <t xml:space="preserve">Reader labels this as a literary prologue, not a chronology claim.</t>
        </is>
      </c>
    </row>
    <row r="365" ht="34" customHeight="1">
      <c r="A365" s="15" t="inlineStr">
        <is>
          <t xml:space="preserve">v0.7</t>
        </is>
      </c>
      <c r="B365" s="15" t="inlineStr">
        <is>
          <t xml:space="preserve">Bible_Journey_Canon_Map_v0_7_Gospel_Chronology.xlsx</t>
        </is>
      </c>
      <c r="C365" s="15" t="inlineStr">
        <is>
          <t xml:space="preserve">CRS-07-002</t>
        </is>
      </c>
      <c r="D365" s="15">
        <v>2</v>
      </c>
      <c r="E365" s="15">
        <v>7</v>
      </c>
      <c r="F365" s="15" t="inlineStr">
        <is>
          <t xml:space="preserve">Canonical Reading Set</t>
        </is>
      </c>
      <c r="G365" s="15" t="inlineStr">
        <is>
          <t xml:space="preserve">Gospels / Ministry of Jesus</t>
        </is>
      </c>
      <c r="H365" s="15"/>
      <c r="I365" s="15" t="inlineStr">
        <is>
          <t xml:space="preserve">John's prologue</t>
        </is>
      </c>
      <c r="J365" s="15"/>
      <c r="K365" s="15" t="inlineStr">
        <is>
          <t xml:space="preserve">High confidence</t>
        </is>
      </c>
      <c r="L365" s="15" t="inlineStr">
        <is>
          <t xml:space="preserve">High confidence</t>
        </is>
      </c>
      <c r="M365" s="15" t="inlineStr">
        <is>
          <t xml:space="preserve">Literary opening</t>
        </is>
      </c>
      <c r="N365" s="15" t="inlineStr">
        <is>
          <t xml:space="preserve">Read John 1:1-18 as a literary prologue before the narrated chronology.</t>
        </is>
      </c>
      <c r="O365" s="15" t="inlineStr">
        <is>
          <t xml:space="preserve">Read John 1:1-18; it is not a parallel account.</t>
        </is>
      </c>
      <c r="P365" s="15" t="inlineStr">
        <is>
          <t xml:space="preserve">Not applicable</t>
        </is>
      </c>
      <c r="Q365" s="15" t="inlineStr">
        <is>
          <t xml:space="preserve">Journey: The Life of Jesus | Act I: Beginnings</t>
        </is>
      </c>
      <c r="R365" s="15"/>
      <c r="S365" s="15" t="inlineStr">
        <is>
          <t xml:space="preserve">SRC-07-03; SRC-07-10</t>
        </is>
      </c>
      <c r="T365" s="15"/>
      <c r="U365" s="13" t="inlineStr">
        <is>
          <t xml:space="preserve">Draft</t>
        </is>
      </c>
      <c r="V365" s="15" t="inlineStr">
        <is>
          <t xml:space="preserve">No</t>
        </is>
      </c>
      <c r="W365" s="15" t="inlineStr">
        <is>
          <t xml:space="preserve">Keep literary function separate from historical-event metadata.</t>
        </is>
      </c>
    </row>
    <row r="366" ht="34" customHeight="1">
      <c r="A366" s="15" t="inlineStr">
        <is>
          <t xml:space="preserve">v0.7</t>
        </is>
      </c>
      <c r="B366" s="15" t="inlineStr">
        <is>
          <t xml:space="preserve">Bible_Journey_Canon_Map_v0_7_Gospel_Chronology.xlsx</t>
        </is>
      </c>
      <c r="C366" s="15" t="inlineStr">
        <is>
          <t xml:space="preserve">CRS-07-003</t>
        </is>
      </c>
      <c r="D366" s="15">
        <v>3</v>
      </c>
      <c r="E366" s="15">
        <v>7</v>
      </c>
      <c r="F366" s="15" t="inlineStr">
        <is>
          <t xml:space="preserve">Canonical Reading Set</t>
        </is>
      </c>
      <c r="G366" s="15" t="inlineStr">
        <is>
          <t xml:space="preserve">Gospels / Ministry of Jesus</t>
        </is>
      </c>
      <c r="H366" s="15"/>
      <c r="I366" s="15" t="inlineStr">
        <is>
          <t xml:space="preserve">Matthew's genealogy</t>
        </is>
      </c>
      <c r="J366" s="15"/>
      <c r="K366" s="15" t="inlineStr">
        <is>
          <t xml:space="preserve">High confidence</t>
        </is>
      </c>
      <c r="L366" s="15" t="inlineStr">
        <is>
          <t xml:space="preserve">High confidence</t>
        </is>
      </c>
      <c r="M366" s="15" t="inlineStr">
        <is>
          <t xml:space="preserve">Infancy and origins</t>
        </is>
      </c>
      <c r="N366" s="15" t="inlineStr">
        <is>
          <t xml:space="preserve">Read Matthew 1:1-17 before the infancy accounts.</t>
        </is>
      </c>
      <c r="O366" s="15" t="inlineStr">
        <is>
          <t xml:space="preserve">Read Matthew 1:1-17; no direct Lukan parallel is forced.</t>
        </is>
      </c>
      <c r="P366" s="15" t="inlineStr">
        <is>
          <t xml:space="preserve">Compare Accounts is not automatically offered. Matthew 1 and Luke 3 are distinct literary presentations.</t>
        </is>
      </c>
      <c r="Q366" s="15" t="inlineStr">
        <is>
          <t xml:space="preserve">Journey: The Life of Jesus | Act I: Beginnings</t>
        </is>
      </c>
      <c r="R366" s="15"/>
      <c r="S366" s="15" t="inlineStr">
        <is>
          <t xml:space="preserve">SRC-07-04; SRC-07-11</t>
        </is>
      </c>
      <c r="T366" s="15"/>
      <c r="U366" s="13" t="inlineStr">
        <is>
          <t xml:space="preserve">Draft</t>
        </is>
      </c>
      <c r="V366" s="15" t="inlineStr">
        <is>
          <t xml:space="preserve">Yes</t>
        </is>
      </c>
      <c r="W366" s="15" t="inlineStr">
        <is>
          <t xml:space="preserve">Matthew 1 and Luke 3 are cross-linked in Study Mode, not mechanically harmonized.</t>
        </is>
      </c>
    </row>
    <row r="367" ht="34" customHeight="1">
      <c r="A367" s="15" t="inlineStr">
        <is>
          <t xml:space="preserve">v0.7</t>
        </is>
      </c>
      <c r="B367" s="15" t="inlineStr">
        <is>
          <t xml:space="preserve">Bible_Journey_Canon_Map_v0_7_Gospel_Chronology.xlsx</t>
        </is>
      </c>
      <c r="C367" s="15" t="inlineStr">
        <is>
          <t xml:space="preserve">CRS-07-004</t>
        </is>
      </c>
      <c r="D367" s="15">
        <v>4</v>
      </c>
      <c r="E367" s="15">
        <v>7</v>
      </c>
      <c r="F367" s="15" t="inlineStr">
        <is>
          <t xml:space="preserve">Canonical Reading Set</t>
        </is>
      </c>
      <c r="G367" s="15" t="inlineStr">
        <is>
          <t xml:space="preserve">Gospels / Ministry of Jesus</t>
        </is>
      </c>
      <c r="H367" s="15"/>
      <c r="I367" s="15" t="inlineStr">
        <is>
          <t xml:space="preserve">Announcements to Zechariah and Mary</t>
        </is>
      </c>
      <c r="J367" s="15"/>
      <c r="K367" s="15" t="inlineStr">
        <is>
          <t xml:space="preserve">High confidence</t>
        </is>
      </c>
      <c r="L367" s="15" t="inlineStr">
        <is>
          <t xml:space="preserve">Probable</t>
        </is>
      </c>
      <c r="M367" s="15" t="inlineStr">
        <is>
          <t xml:space="preserve">Infancy and origins</t>
        </is>
      </c>
      <c r="N367" s="15" t="inlineStr">
        <is>
          <t xml:space="preserve">Read Luke 1:5-56 intact.</t>
        </is>
      </c>
      <c r="O367" s="15" t="inlineStr">
        <is>
          <t xml:space="preserve">Read Luke 1:5-56; unique Lukan material remains in Narrative Flow.</t>
        </is>
      </c>
      <c r="P367" s="15" t="inlineStr">
        <is>
          <t xml:space="preserve">Not applicable</t>
        </is>
      </c>
      <c r="Q367" s="15" t="inlineStr">
        <is>
          <t xml:space="preserve">Journey: The Life of Jesus | Act I: Beginnings</t>
        </is>
      </c>
      <c r="R367" s="15"/>
      <c r="S367" s="15" t="inlineStr">
        <is>
          <t xml:space="preserve">SRC-07-04</t>
        </is>
      </c>
      <c r="T367" s="15"/>
      <c r="U367" s="13" t="inlineStr">
        <is>
          <t xml:space="preserve">Draft</t>
        </is>
      </c>
      <c r="V367" s="15" t="inlineStr">
        <is>
          <t xml:space="preserve">No</t>
        </is>
      </c>
      <c r="W367" s="15" t="inlineStr">
        <is>
          <t xml:space="preserve">Luke narrates the announcements concerning John and Jesus, followed by Mary's visit to Elizabeth.</t>
        </is>
      </c>
    </row>
    <row r="368" ht="34" customHeight="1">
      <c r="A368" s="15" t="inlineStr">
        <is>
          <t xml:space="preserve">v0.7</t>
        </is>
      </c>
      <c r="B368" s="15" t="inlineStr">
        <is>
          <t xml:space="preserve">Bible_Journey_Canon_Map_v0_7_Gospel_Chronology.xlsx</t>
        </is>
      </c>
      <c r="C368" s="15" t="inlineStr">
        <is>
          <t xml:space="preserve">CRS-07-005</t>
        </is>
      </c>
      <c r="D368" s="15">
        <v>5</v>
      </c>
      <c r="E368" s="15">
        <v>7</v>
      </c>
      <c r="F368" s="15" t="inlineStr">
        <is>
          <t xml:space="preserve">Canonical Reading Set</t>
        </is>
      </c>
      <c r="G368" s="15" t="inlineStr">
        <is>
          <t xml:space="preserve">Gospels / Ministry of Jesus</t>
        </is>
      </c>
      <c r="H368" s="15"/>
      <c r="I368" s="15" t="inlineStr">
        <is>
          <t xml:space="preserve">Joseph's dream and naming of Jesus</t>
        </is>
      </c>
      <c r="J368" s="15"/>
      <c r="K368" s="15" t="inlineStr">
        <is>
          <t xml:space="preserve">High confidence</t>
        </is>
      </c>
      <c r="L368" s="15" t="inlineStr">
        <is>
          <t xml:space="preserve">Probable</t>
        </is>
      </c>
      <c r="M368" s="15" t="inlineStr">
        <is>
          <t xml:space="preserve">Infancy and origins</t>
        </is>
      </c>
      <c r="N368" s="15" t="inlineStr">
        <is>
          <t xml:space="preserve">Read Matthew 1:18-25 intact after Luke's annunciation material.</t>
        </is>
      </c>
      <c r="O368" s="15" t="inlineStr">
        <is>
          <t xml:space="preserve">Read Matthew 1:18-25; unique Matthean material.</t>
        </is>
      </c>
      <c r="P368" s="15" t="inlineStr">
        <is>
          <t xml:space="preserve">Not applicable</t>
        </is>
      </c>
      <c r="Q368" s="15" t="inlineStr">
        <is>
          <t xml:space="preserve">Journey: The Life of Jesus | Act I: Beginnings</t>
        </is>
      </c>
      <c r="R368" s="15"/>
      <c r="S368" s="15" t="inlineStr">
        <is>
          <t xml:space="preserve">SRC-07-04</t>
        </is>
      </c>
      <c r="T368" s="15"/>
      <c r="U368" s="13" t="inlineStr">
        <is>
          <t xml:space="preserve">Draft</t>
        </is>
      </c>
      <c r="V368" s="15" t="inlineStr">
        <is>
          <t xml:space="preserve">No</t>
        </is>
      </c>
      <c r="W368" s="15" t="inlineStr">
        <is>
          <t xml:space="preserve">The relative sequence between Luke's and Matthew's infancy scenes is a working narrative arrangement.</t>
        </is>
      </c>
    </row>
    <row r="369" ht="34" customHeight="1">
      <c r="A369" s="15" t="inlineStr">
        <is>
          <t xml:space="preserve">v0.7</t>
        </is>
      </c>
      <c r="B369" s="15" t="inlineStr">
        <is>
          <t xml:space="preserve">Bible_Journey_Canon_Map_v0_7_Gospel_Chronology.xlsx</t>
        </is>
      </c>
      <c r="C369" s="15" t="inlineStr">
        <is>
          <t xml:space="preserve">CRS-07-006</t>
        </is>
      </c>
      <c r="D369" s="15">
        <v>6</v>
      </c>
      <c r="E369" s="15">
        <v>7</v>
      </c>
      <c r="F369" s="15" t="inlineStr">
        <is>
          <t xml:space="preserve">Canonical Reading Set</t>
        </is>
      </c>
      <c r="G369" s="15" t="inlineStr">
        <is>
          <t xml:space="preserve">Gospels / Ministry of Jesus</t>
        </is>
      </c>
      <c r="H369" s="15"/>
      <c r="I369" s="15" t="inlineStr">
        <is>
          <t xml:space="preserve">Birth narratives, naming, and presentation</t>
        </is>
      </c>
      <c r="J369" s="15"/>
      <c r="K369" s="15" t="inlineStr">
        <is>
          <t xml:space="preserve">High confidence</t>
        </is>
      </c>
      <c r="L369" s="15" t="inlineStr">
        <is>
          <t xml:space="preserve">Probable</t>
        </is>
      </c>
      <c r="M369" s="15" t="inlineStr">
        <is>
          <t xml:space="preserve">Infancy and origins</t>
        </is>
      </c>
      <c r="N369" s="15" t="inlineStr">
        <is>
          <t xml:space="preserve">Read Luke 1:57-2:20 intact.</t>
        </is>
      </c>
      <c r="O369" s="15" t="inlineStr">
        <is>
          <t xml:space="preserve">Read Luke 1:57-2:20; unique Lukan material.</t>
        </is>
      </c>
      <c r="P369" s="15" t="inlineStr">
        <is>
          <t xml:space="preserve">Not applicable</t>
        </is>
      </c>
      <c r="Q369" s="15" t="inlineStr">
        <is>
          <t xml:space="preserve">Journey: The Life of Jesus | Act I: Beginnings</t>
        </is>
      </c>
      <c r="R369" s="15"/>
      <c r="S369" s="15" t="inlineStr">
        <is>
          <t xml:space="preserve">SRC-07-04</t>
        </is>
      </c>
      <c r="T369" s="15"/>
      <c r="U369" s="13" t="inlineStr">
        <is>
          <t xml:space="preserve">Draft</t>
        </is>
      </c>
      <c r="V369" s="15" t="inlineStr">
        <is>
          <t xml:space="preserve">No</t>
        </is>
      </c>
      <c r="W369" s="15" t="inlineStr">
        <is>
          <t xml:space="preserve">No fixed calendar date should be displayed as canonical fact.</t>
        </is>
      </c>
    </row>
    <row r="370" ht="34" customHeight="1">
      <c r="A370" s="15" t="inlineStr">
        <is>
          <t xml:space="preserve">v0.7</t>
        </is>
      </c>
      <c r="B370" s="15" t="inlineStr">
        <is>
          <t xml:space="preserve">Bible_Journey_Canon_Map_v0_7_Gospel_Chronology.xlsx</t>
        </is>
      </c>
      <c r="C370" s="15" t="inlineStr">
        <is>
          <t xml:space="preserve">CRS-07-007</t>
        </is>
      </c>
      <c r="D370" s="15">
        <v>7</v>
      </c>
      <c r="E370" s="15">
        <v>7</v>
      </c>
      <c r="F370" s="15" t="inlineStr">
        <is>
          <t xml:space="preserve">Canonical Reading Set</t>
        </is>
      </c>
      <c r="G370" s="15" t="inlineStr">
        <is>
          <t xml:space="preserve">Gospels / Ministry of Jesus</t>
        </is>
      </c>
      <c r="H370" s="15"/>
      <c r="I370" s="15" t="inlineStr">
        <is>
          <t xml:space="preserve">Magi, flight, and return</t>
        </is>
      </c>
      <c r="J370" s="15"/>
      <c r="K370" s="15" t="inlineStr">
        <is>
          <t xml:space="preserve">Probable</t>
        </is>
      </c>
      <c r="L370" s="15" t="inlineStr">
        <is>
          <t xml:space="preserve">Probable</t>
        </is>
      </c>
      <c r="M370" s="15" t="inlineStr">
        <is>
          <t xml:space="preserve">Infancy and origins</t>
        </is>
      </c>
      <c r="N370" s="15" t="inlineStr">
        <is>
          <t xml:space="preserve">Read Matthew 2 intact.</t>
        </is>
      </c>
      <c r="O370" s="15" t="inlineStr">
        <is>
          <t xml:space="preserve">Read Matthew 2 intact; no corresponding Lukan block is deferred.</t>
        </is>
      </c>
      <c r="P370" s="15" t="inlineStr">
        <is>
          <t xml:space="preserve">Not applicable</t>
        </is>
      </c>
      <c r="Q370" s="15" t="inlineStr">
        <is>
          <t xml:space="preserve">Journey: The Life of Jesus | Act I: Beginnings</t>
        </is>
      </c>
      <c r="R370" s="15"/>
      <c r="S370" s="15" t="inlineStr">
        <is>
          <t xml:space="preserve">SRC-07-04; SRC-07-11</t>
        </is>
      </c>
      <c r="T370" s="15"/>
      <c r="U370" s="13" t="inlineStr">
        <is>
          <t xml:space="preserve">Draft</t>
        </is>
      </c>
      <c r="V370" s="15" t="inlineStr">
        <is>
          <t xml:space="preserve">Yes</t>
        </is>
      </c>
      <c r="W370" s="15" t="inlineStr">
        <is>
          <t xml:space="preserve">Matthew and Luke infancy material is complementary but not fused.</t>
        </is>
      </c>
    </row>
    <row r="371" ht="34" customHeight="1">
      <c r="A371" s="15" t="inlineStr">
        <is>
          <t xml:space="preserve">v0.7</t>
        </is>
      </c>
      <c r="B371" s="15" t="inlineStr">
        <is>
          <t xml:space="preserve">Bible_Journey_Canon_Map_v0_7_Gospel_Chronology.xlsx</t>
        </is>
      </c>
      <c r="C371" s="15" t="inlineStr">
        <is>
          <t xml:space="preserve">CRS-07-008</t>
        </is>
      </c>
      <c r="D371" s="15">
        <v>8</v>
      </c>
      <c r="E371" s="15">
        <v>7</v>
      </c>
      <c r="F371" s="15" t="inlineStr">
        <is>
          <t xml:space="preserve">Canonical Reading Set</t>
        </is>
      </c>
      <c r="G371" s="15" t="inlineStr">
        <is>
          <t xml:space="preserve">Gospels / Ministry of Jesus</t>
        </is>
      </c>
      <c r="H371" s="15"/>
      <c r="I371" s="15" t="inlineStr">
        <is>
          <t xml:space="preserve">Presentation and childhood in Nazareth</t>
        </is>
      </c>
      <c r="J371" s="15"/>
      <c r="K371" s="15" t="inlineStr">
        <is>
          <t xml:space="preserve">High confidence</t>
        </is>
      </c>
      <c r="L371" s="15" t="inlineStr">
        <is>
          <t xml:space="preserve">Probable</t>
        </is>
      </c>
      <c r="M371" s="15" t="inlineStr">
        <is>
          <t xml:space="preserve">Infancy and origins</t>
        </is>
      </c>
      <c r="N371" s="15" t="inlineStr">
        <is>
          <t xml:space="preserve">Read Luke 2:21-52 intact.</t>
        </is>
      </c>
      <c r="O371" s="15" t="inlineStr">
        <is>
          <t xml:space="preserve">Read Luke 2:21-52; unique Lukan material.</t>
        </is>
      </c>
      <c r="P371" s="15" t="inlineStr">
        <is>
          <t xml:space="preserve">Not applicable</t>
        </is>
      </c>
      <c r="Q371" s="15" t="inlineStr">
        <is>
          <t xml:space="preserve">Journey: The Life of Jesus | Act I: Beginnings</t>
        </is>
      </c>
      <c r="R371" s="15"/>
      <c r="S371" s="15" t="inlineStr">
        <is>
          <t xml:space="preserve">SRC-07-04</t>
        </is>
      </c>
      <c r="T371" s="15"/>
      <c r="U371" s="13" t="inlineStr">
        <is>
          <t xml:space="preserve">Draft</t>
        </is>
      </c>
      <c r="V371" s="15" t="inlineStr">
        <is>
          <t xml:space="preserve">No</t>
        </is>
      </c>
      <c r="W371" s="15" t="inlineStr">
        <is>
          <t xml:space="preserve">Related infancy notes are linked but not harmonized with Matthew 2.</t>
        </is>
      </c>
    </row>
    <row r="372" ht="34" customHeight="1">
      <c r="A372" s="15" t="inlineStr">
        <is>
          <t xml:space="preserve">v0.7</t>
        </is>
      </c>
      <c r="B372" s="15" t="inlineStr">
        <is>
          <t xml:space="preserve">Bible_Journey_Canon_Map_v0_7_Gospel_Chronology.xlsx</t>
        </is>
      </c>
      <c r="C372" s="15" t="inlineStr">
        <is>
          <t xml:space="preserve">CRS-07-009</t>
        </is>
      </c>
      <c r="D372" s="15">
        <v>9</v>
      </c>
      <c r="E372" s="15">
        <v>7</v>
      </c>
      <c r="F372" s="15" t="inlineStr">
        <is>
          <t xml:space="preserve">Canonical Reading Set</t>
        </is>
      </c>
      <c r="G372" s="15" t="inlineStr">
        <is>
          <t xml:space="preserve">Gospels / Ministry of Jesus</t>
        </is>
      </c>
      <c r="H372" s="15"/>
      <c r="I372" s="15" t="inlineStr">
        <is>
          <t xml:space="preserve">John the Baptist's witness in John</t>
        </is>
      </c>
      <c r="J372" s="15"/>
      <c r="K372" s="15" t="inlineStr">
        <is>
          <t xml:space="preserve">High confidence</t>
        </is>
      </c>
      <c r="L372" s="15" t="inlineStr">
        <is>
          <t xml:space="preserve">Probable</t>
        </is>
      </c>
      <c r="M372" s="15" t="inlineStr">
        <is>
          <t xml:space="preserve">Preparation and first witness</t>
        </is>
      </c>
      <c r="N372" s="15" t="inlineStr">
        <is>
          <t xml:space="preserve">Read John 1:19-34 intact.</t>
        </is>
      </c>
      <c r="O372" s="15" t="inlineStr">
        <is>
          <t xml:space="preserve">Read John 1:19-34; distinct Johannine witness material.</t>
        </is>
      </c>
      <c r="P372" s="15" t="inlineStr">
        <is>
          <t xml:space="preserve">Compare Accounts: related to Synoptic baptism/wilderness accounts; do not force verse-level alignment.</t>
        </is>
      </c>
      <c r="Q372" s="15" t="inlineStr">
        <is>
          <t xml:space="preserve">Journey: The Life of Jesus | Act I: Beginnings</t>
        </is>
      </c>
      <c r="R372" s="15"/>
      <c r="S372" s="15" t="inlineStr">
        <is>
          <t xml:space="preserve">SRC-07-01; SRC-07-02</t>
        </is>
      </c>
      <c r="T372" s="15"/>
      <c r="U372" s="13" t="inlineStr">
        <is>
          <t xml:space="preserve">Draft</t>
        </is>
      </c>
      <c r="V372" s="15" t="inlineStr">
        <is>
          <t xml:space="preserve">Yes</t>
        </is>
      </c>
      <c r="W372" s="15" t="inlineStr">
        <is>
          <t xml:space="preserve">Baptism is implied in John; label as related account.</t>
        </is>
      </c>
    </row>
    <row r="373" ht="34" customHeight="1">
      <c r="A373" s="15" t="inlineStr">
        <is>
          <t xml:space="preserve">v0.7</t>
        </is>
      </c>
      <c r="B373" s="15" t="inlineStr">
        <is>
          <t xml:space="preserve">Bible_Journey_Canon_Map_v0_7_Gospel_Chronology.xlsx</t>
        </is>
      </c>
      <c r="C373" s="15" t="inlineStr">
        <is>
          <t xml:space="preserve">CRS-07-010</t>
        </is>
      </c>
      <c r="D373" s="15">
        <v>10</v>
      </c>
      <c r="E373" s="15">
        <v>7</v>
      </c>
      <c r="F373" s="15" t="inlineStr">
        <is>
          <t xml:space="preserve">Canonical Reading Set</t>
        </is>
      </c>
      <c r="G373" s="15" t="inlineStr">
        <is>
          <t xml:space="preserve">Gospels / Ministry of Jesus</t>
        </is>
      </c>
      <c r="H373" s="15"/>
      <c r="I373" s="15" t="inlineStr">
        <is>
          <t xml:space="preserve">John the Baptist, baptism, and Luke's genealogy</t>
        </is>
      </c>
      <c r="J373" s="15"/>
      <c r="K373" s="15" t="inlineStr">
        <is>
          <t xml:space="preserve">High confidence</t>
        </is>
      </c>
      <c r="L373" s="15" t="inlineStr">
        <is>
          <t xml:space="preserve">High confidence</t>
        </is>
      </c>
      <c r="M373" s="15" t="inlineStr">
        <is>
          <t xml:space="preserve">Preparation and first witness</t>
        </is>
      </c>
      <c r="N373" s="15" t="inlineStr">
        <is>
          <t xml:space="preserve">Read Mark 1:1-11, Matthew 3, and Luke 3:1-38 in the listed order.</t>
        </is>
      </c>
      <c r="O373" s="15" t="inlineStr">
        <is>
          <t xml:space="preserve">Read Mark 1:1-11 as shared account and Luke 3:23-38 as unique genealogy; parallel blocks remain visible.</t>
        </is>
      </c>
      <c r="P373" s="15" t="inlineStr">
        <is>
          <t xml:space="preserve">Compare Accounts: baptism and John the Baptist material across Mark, Matthew, and Luke.</t>
        </is>
      </c>
      <c r="Q373" s="15" t="inlineStr">
        <is>
          <t xml:space="preserve">Journey: The Life of Jesus | Act I: Beginnings</t>
        </is>
      </c>
      <c r="R373" s="15"/>
      <c r="S373" s="15" t="inlineStr">
        <is>
          <t xml:space="preserve">SRC-07-01; SRC-07-02</t>
        </is>
      </c>
      <c r="T373" s="15"/>
      <c r="U373" s="13" t="inlineStr">
        <is>
          <t xml:space="preserve">Draft</t>
        </is>
      </c>
      <c r="V373" s="15" t="inlineStr">
        <is>
          <t xml:space="preserve">No</t>
        </is>
      </c>
      <c r="W373" s="15" t="inlineStr">
        <is>
          <t xml:space="preserve">Mark is a Narrative Flow anchor for shared Synoptic sequence; editorial convenience, not historical priority.</t>
        </is>
      </c>
    </row>
    <row r="374" ht="34" customHeight="1">
      <c r="A374" s="15" t="inlineStr">
        <is>
          <t xml:space="preserve">v0.7</t>
        </is>
      </c>
      <c r="B374" s="15" t="inlineStr">
        <is>
          <t xml:space="preserve">Bible_Journey_Canon_Map_v0_7_Gospel_Chronology.xlsx</t>
        </is>
      </c>
      <c r="C374" s="15" t="inlineStr">
        <is>
          <t xml:space="preserve">CRS-07-011</t>
        </is>
      </c>
      <c r="D374" s="15">
        <v>11</v>
      </c>
      <c r="E374" s="15">
        <v>7</v>
      </c>
      <c r="F374" s="15" t="inlineStr">
        <is>
          <t xml:space="preserve">Canonical Reading Set</t>
        </is>
      </c>
      <c r="G374" s="15" t="inlineStr">
        <is>
          <t xml:space="preserve">Gospels / Ministry of Jesus</t>
        </is>
      </c>
      <c r="H374" s="15"/>
      <c r="I374" s="15" t="inlineStr">
        <is>
          <t xml:space="preserve">Temptation in the wilderness</t>
        </is>
      </c>
      <c r="J374" s="15"/>
      <c r="K374" s="15" t="inlineStr">
        <is>
          <t xml:space="preserve">High confidence</t>
        </is>
      </c>
      <c r="L374" s="15" t="inlineStr">
        <is>
          <t xml:space="preserve">High confidence</t>
        </is>
      </c>
      <c r="M374" s="15" t="inlineStr">
        <is>
          <t xml:space="preserve">Preparation and first witness</t>
        </is>
      </c>
      <c r="N374" s="15" t="inlineStr">
        <is>
          <t xml:space="preserve">Read Mark 1:12-13, Matthew 4:1-11, and Luke 4:1-13.</t>
        </is>
      </c>
      <c r="O374" s="15" t="inlineStr">
        <is>
          <t xml:space="preserve">Read Mark 1:12-13 as compact anchor; Matthew and Luke remain available.</t>
        </is>
      </c>
      <c r="P374" s="15" t="inlineStr">
        <is>
          <t xml:space="preserve">Compare Accounts: temptation accounts across Mark, Matthew, and Luke.</t>
        </is>
      </c>
      <c r="Q374" s="15" t="inlineStr">
        <is>
          <t xml:space="preserve">Journey: The Life of Jesus | Act I: Beginnings</t>
        </is>
      </c>
      <c r="R374" s="15"/>
      <c r="S374" s="15" t="inlineStr">
        <is>
          <t xml:space="preserve">SRC-07-01; SRC-07-02</t>
        </is>
      </c>
      <c r="T374" s="15"/>
      <c r="U374" s="13" t="inlineStr">
        <is>
          <t xml:space="preserve">Draft</t>
        </is>
      </c>
      <c r="V374" s="15" t="inlineStr">
        <is>
          <t xml:space="preserve">No</t>
        </is>
      </c>
      <c r="W374" s="15" t="inlineStr">
        <is>
          <t xml:space="preserve">The Synoptic Gospels narrate Jesus's temptation following the baptismal sequence.</t>
        </is>
      </c>
    </row>
    <row r="375" ht="34" customHeight="1">
      <c r="A375" s="15" t="inlineStr">
        <is>
          <t xml:space="preserve">v0.7</t>
        </is>
      </c>
      <c r="B375" s="15" t="inlineStr">
        <is>
          <t xml:space="preserve">Bible_Journey_Canon_Map_v0_7_Gospel_Chronology.xlsx</t>
        </is>
      </c>
      <c r="C375" s="15" t="inlineStr">
        <is>
          <t xml:space="preserve">CRS-07-012</t>
        </is>
      </c>
      <c r="D375" s="15">
        <v>12</v>
      </c>
      <c r="E375" s="15">
        <v>7</v>
      </c>
      <c r="F375" s="15" t="inlineStr">
        <is>
          <t xml:space="preserve">Canonical Reading Set</t>
        </is>
      </c>
      <c r="G375" s="15" t="inlineStr">
        <is>
          <t xml:space="preserve">Gospels / Ministry of Jesus</t>
        </is>
      </c>
      <c r="H375" s="15"/>
      <c r="I375" s="15" t="inlineStr">
        <is>
          <t xml:space="preserve">First disciples in John</t>
        </is>
      </c>
      <c r="J375" s="15"/>
      <c r="K375" s="15" t="inlineStr">
        <is>
          <t xml:space="preserve">High confidence</t>
        </is>
      </c>
      <c r="L375" s="15" t="inlineStr">
        <is>
          <t xml:space="preserve">Probable</t>
        </is>
      </c>
      <c r="M375" s="15" t="inlineStr">
        <is>
          <t xml:space="preserve">Early ministry</t>
        </is>
      </c>
      <c r="N375" s="15" t="inlineStr">
        <is>
          <t xml:space="preserve">Read John 1:35-51 intact.</t>
        </is>
      </c>
      <c r="O375" s="15" t="inlineStr">
        <is>
          <t xml:space="preserve">Read John 1:35-51; distinct Johannine material.</t>
        </is>
      </c>
      <c r="P375" s="15" t="inlineStr">
        <is>
          <t xml:space="preserve">Compare Accounts is not automatic; Study Mode cross-links the Synoptic call narratives.</t>
        </is>
      </c>
      <c r="Q375" s="15" t="inlineStr">
        <is>
          <t xml:space="preserve">Journey: The Life of Jesus | Act I: Beginnings</t>
        </is>
      </c>
      <c r="R375" s="15"/>
      <c r="S375" s="15" t="inlineStr">
        <is>
          <t xml:space="preserve">SRC-07-01; SRC-07-10</t>
        </is>
      </c>
      <c r="T375" s="15"/>
      <c r="U375" s="13" t="inlineStr">
        <is>
          <t xml:space="preserve">Draft</t>
        </is>
      </c>
      <c r="V375" s="15" t="inlineStr">
        <is>
          <t xml:space="preserve">No</t>
        </is>
      </c>
      <c r="W375" s="15" t="inlineStr">
        <is>
          <t xml:space="preserve">John narrates the first disciples' encounters with Jesus after the Baptist's witness.</t>
        </is>
      </c>
    </row>
    <row r="376" ht="34" customHeight="1">
      <c r="A376" s="15" t="inlineStr">
        <is>
          <t xml:space="preserve">v0.7</t>
        </is>
      </c>
      <c r="B376" s="15" t="inlineStr">
        <is>
          <t xml:space="preserve">Bible_Journey_Canon_Map_v0_7_Gospel_Chronology.xlsx</t>
        </is>
      </c>
      <c r="C376" s="15" t="inlineStr">
        <is>
          <t xml:space="preserve">CRS-07-013</t>
        </is>
      </c>
      <c r="D376" s="15">
        <v>13</v>
      </c>
      <c r="E376" s="15">
        <v>7</v>
      </c>
      <c r="F376" s="15" t="inlineStr">
        <is>
          <t xml:space="preserve">Canonical Reading Set</t>
        </is>
      </c>
      <c r="G376" s="15" t="inlineStr">
        <is>
          <t xml:space="preserve">Gospels / Ministry of Jesus</t>
        </is>
      </c>
      <c r="H376" s="15"/>
      <c r="I376" s="15" t="inlineStr">
        <is>
          <t xml:space="preserve">Wedding at Cana</t>
        </is>
      </c>
      <c r="J376" s="15"/>
      <c r="K376" s="15" t="inlineStr">
        <is>
          <t xml:space="preserve">High confidence</t>
        </is>
      </c>
      <c r="L376" s="15" t="inlineStr">
        <is>
          <t xml:space="preserve">Probable</t>
        </is>
      </c>
      <c r="M376" s="15" t="inlineStr">
        <is>
          <t xml:space="preserve">Early ministry</t>
        </is>
      </c>
      <c r="N376" s="15" t="inlineStr">
        <is>
          <t xml:space="preserve">Read John 2:1-12 intact.</t>
        </is>
      </c>
      <c r="O376" s="15" t="inlineStr">
        <is>
          <t xml:space="preserve">Read John 2:1-12; unique Johannine material.</t>
        </is>
      </c>
      <c r="P376" s="15" t="inlineStr">
        <is>
          <t xml:space="preserve">Not applicable</t>
        </is>
      </c>
      <c r="Q376" s="15" t="inlineStr">
        <is>
          <t xml:space="preserve">Journey: The Life of Jesus | Act I: Beginnings</t>
        </is>
      </c>
      <c r="R376" s="15"/>
      <c r="S376" s="15" t="inlineStr">
        <is>
          <t xml:space="preserve">SRC-07-10</t>
        </is>
      </c>
      <c r="T376" s="15"/>
      <c r="U376" s="13" t="inlineStr">
        <is>
          <t xml:space="preserve">Draft</t>
        </is>
      </c>
      <c r="V376" s="15" t="inlineStr">
        <is>
          <t xml:space="preserve">No</t>
        </is>
      </c>
      <c r="W376" s="15" t="inlineStr">
        <is>
          <t xml:space="preserve">John narrates the wedding at Cana and the first sign in this Gospel.</t>
        </is>
      </c>
    </row>
    <row r="377" ht="34" customHeight="1">
      <c r="A377" s="15" t="inlineStr">
        <is>
          <t xml:space="preserve">v0.7</t>
        </is>
      </c>
      <c r="B377" s="15" t="inlineStr">
        <is>
          <t xml:space="preserve">Bible_Journey_Canon_Map_v0_7_Gospel_Chronology.xlsx</t>
        </is>
      </c>
      <c r="C377" s="15" t="inlineStr">
        <is>
          <t xml:space="preserve">CRS-07-014</t>
        </is>
      </c>
      <c r="D377" s="15">
        <v>14</v>
      </c>
      <c r="E377" s="15">
        <v>7</v>
      </c>
      <c r="F377" s="15" t="inlineStr">
        <is>
          <t xml:space="preserve">Canonical Reading Set</t>
        </is>
      </c>
      <c r="G377" s="15" t="inlineStr">
        <is>
          <t xml:space="preserve">Gospels / Ministry of Jesus</t>
        </is>
      </c>
      <c r="H377" s="15"/>
      <c r="I377" s="15" t="inlineStr">
        <is>
          <t xml:space="preserve">Temple cleansing in John</t>
        </is>
      </c>
      <c r="J377" s="15"/>
      <c r="K377" s="15" t="inlineStr">
        <is>
          <t xml:space="preserve">High confidence</t>
        </is>
      </c>
      <c r="L377" s="15" t="inlineStr">
        <is>
          <t xml:space="preserve">Debated</t>
        </is>
      </c>
      <c r="M377" s="15" t="inlineStr">
        <is>
          <t xml:space="preserve">Early ministry / Jerusalem</t>
        </is>
      </c>
      <c r="N377" s="15" t="inlineStr">
        <is>
          <t xml:space="preserve">Read John 2:13-25 intact at this working location.</t>
        </is>
      </c>
      <c r="O377" s="15" t="inlineStr">
        <is>
          <t xml:space="preserve">Read John 2:13-25; keep the later Synoptic Temple-cleansing set in the flow.</t>
        </is>
      </c>
      <c r="P377" s="15" t="inlineStr">
        <is>
          <t xml:space="preserve">Compare Accounts: show the Synoptic cleansing as related; do not assert that the two accounts are one or two historical incidents.</t>
        </is>
      </c>
      <c r="Q377" s="15" t="inlineStr">
        <is>
          <t xml:space="preserve">Journey: The Life of Jesus | Act I: Beginnings</t>
        </is>
      </c>
      <c r="R377" s="15"/>
      <c r="S377" s="15" t="inlineStr">
        <is>
          <t xml:space="preserve">SRC-07-01; SRC-07-10</t>
        </is>
      </c>
      <c r="T377" s="15"/>
      <c r="U377" s="13" t="inlineStr">
        <is>
          <t xml:space="preserve">Draft</t>
        </is>
      </c>
      <c r="V377" s="15" t="inlineStr">
        <is>
          <t xml:space="preserve">Yes</t>
        </is>
      </c>
      <c r="W377" s="15" t="inlineStr">
        <is>
          <t xml:space="preserve">User must be able to inspect alternate placement and identity notes.</t>
        </is>
      </c>
    </row>
    <row r="378" ht="34" customHeight="1">
      <c r="A378" s="15" t="inlineStr">
        <is>
          <t xml:space="preserve">v0.7</t>
        </is>
      </c>
      <c r="B378" s="15" t="inlineStr">
        <is>
          <t xml:space="preserve">Bible_Journey_Canon_Map_v0_7_Gospel_Chronology.xlsx</t>
        </is>
      </c>
      <c r="C378" s="15" t="inlineStr">
        <is>
          <t xml:space="preserve">CRS-07-015</t>
        </is>
      </c>
      <c r="D378" s="15">
        <v>15</v>
      </c>
      <c r="E378" s="15">
        <v>7</v>
      </c>
      <c r="F378" s="15" t="inlineStr">
        <is>
          <t xml:space="preserve">Canonical Reading Set</t>
        </is>
      </c>
      <c r="G378" s="15" t="inlineStr">
        <is>
          <t xml:space="preserve">Gospels / Ministry of Jesus</t>
        </is>
      </c>
      <c r="H378" s="15"/>
      <c r="I378" s="15" t="inlineStr">
        <is>
          <t xml:space="preserve">Nicodemus and new birth</t>
        </is>
      </c>
      <c r="J378" s="15"/>
      <c r="K378" s="15" t="inlineStr">
        <is>
          <t xml:space="preserve">High confidence</t>
        </is>
      </c>
      <c r="L378" s="15" t="inlineStr">
        <is>
          <t xml:space="preserve">Probable</t>
        </is>
      </c>
      <c r="M378" s="15" t="inlineStr">
        <is>
          <t xml:space="preserve">Early ministry / Jerusalem</t>
        </is>
      </c>
      <c r="N378" s="15" t="inlineStr">
        <is>
          <t xml:space="preserve">Read John 3:1-21 intact.</t>
        </is>
      </c>
      <c r="O378" s="15" t="inlineStr">
        <is>
          <t xml:space="preserve">Read John 3:1-21; unique Johannine material.</t>
        </is>
      </c>
      <c r="P378" s="15" t="inlineStr">
        <is>
          <t xml:space="preserve">Not applicable</t>
        </is>
      </c>
      <c r="Q378" s="15" t="inlineStr">
        <is>
          <t xml:space="preserve">Journey: The Life of Jesus | Act I: Beginnings</t>
        </is>
      </c>
      <c r="R378" s="15"/>
      <c r="S378" s="15" t="inlineStr">
        <is>
          <t xml:space="preserve">SRC-07-10</t>
        </is>
      </c>
      <c r="T378" s="15"/>
      <c r="U378" s="13" t="inlineStr">
        <is>
          <t xml:space="preserve">Draft</t>
        </is>
      </c>
      <c r="V378" s="15" t="inlineStr">
        <is>
          <t xml:space="preserve">No</t>
        </is>
      </c>
      <c r="W378" s="15" t="inlineStr">
        <is>
          <t xml:space="preserve">John narrates Jesus's conversation with Nicodemus.</t>
        </is>
      </c>
    </row>
    <row r="379" ht="34" customHeight="1">
      <c r="A379" s="15" t="inlineStr">
        <is>
          <t xml:space="preserve">v0.7</t>
        </is>
      </c>
      <c r="B379" s="15" t="inlineStr">
        <is>
          <t xml:space="preserve">Bible_Journey_Canon_Map_v0_7_Gospel_Chronology.xlsx</t>
        </is>
      </c>
      <c r="C379" s="15" t="inlineStr">
        <is>
          <t xml:space="preserve">CRS-07-016</t>
        </is>
      </c>
      <c r="D379" s="15">
        <v>16</v>
      </c>
      <c r="E379" s="15">
        <v>7</v>
      </c>
      <c r="F379" s="15" t="inlineStr">
        <is>
          <t xml:space="preserve">Canonical Reading Set</t>
        </is>
      </c>
      <c r="G379" s="15" t="inlineStr">
        <is>
          <t xml:space="preserve">Gospels / Ministry of Jesus</t>
        </is>
      </c>
      <c r="H379" s="15"/>
      <c r="I379" s="15" t="inlineStr">
        <is>
          <t xml:space="preserve">Judean ministry and John the Baptist's testimony</t>
        </is>
      </c>
      <c r="J379" s="15"/>
      <c r="K379" s="15" t="inlineStr">
        <is>
          <t xml:space="preserve">High confidence</t>
        </is>
      </c>
      <c r="L379" s="15" t="inlineStr">
        <is>
          <t xml:space="preserve">Probable</t>
        </is>
      </c>
      <c r="M379" s="15" t="inlineStr">
        <is>
          <t xml:space="preserve">Early ministry / Judea</t>
        </is>
      </c>
      <c r="N379" s="15" t="inlineStr">
        <is>
          <t xml:space="preserve">Read John 3:22-36 intact.</t>
        </is>
      </c>
      <c r="O379" s="15" t="inlineStr">
        <is>
          <t xml:space="preserve">Read John 3:22-36; unique Johannine material.</t>
        </is>
      </c>
      <c r="P379" s="15" t="inlineStr">
        <is>
          <t xml:space="preserve">Not applicable</t>
        </is>
      </c>
      <c r="Q379" s="15" t="inlineStr">
        <is>
          <t xml:space="preserve">Journey: The Life of Jesus | Act I: Beginnings</t>
        </is>
      </c>
      <c r="R379" s="15"/>
      <c r="S379" s="15" t="inlineStr">
        <is>
          <t xml:space="preserve">SRC-07-10</t>
        </is>
      </c>
      <c r="T379" s="15"/>
      <c r="U379" s="13" t="inlineStr">
        <is>
          <t xml:space="preserve">Draft</t>
        </is>
      </c>
      <c r="V379" s="15" t="inlineStr">
        <is>
          <t xml:space="preserve">No</t>
        </is>
      </c>
      <c r="W379" s="15" t="inlineStr">
        <is>
          <t xml:space="preserve">John narrates Jesus's Judean activity and a final testimony from John the Baptist.</t>
        </is>
      </c>
    </row>
    <row r="380" ht="34" customHeight="1">
      <c r="A380" s="15" t="inlineStr">
        <is>
          <t xml:space="preserve">v0.7</t>
        </is>
      </c>
      <c r="B380" s="15" t="inlineStr">
        <is>
          <t xml:space="preserve">Bible_Journey_Canon_Map_v0_7_Gospel_Chronology.xlsx</t>
        </is>
      </c>
      <c r="C380" s="15" t="inlineStr">
        <is>
          <t xml:space="preserve">CRS-07-017</t>
        </is>
      </c>
      <c r="D380" s="15">
        <v>17</v>
      </c>
      <c r="E380" s="15">
        <v>7</v>
      </c>
      <c r="F380" s="15" t="inlineStr">
        <is>
          <t xml:space="preserve">Canonical Reading Set</t>
        </is>
      </c>
      <c r="G380" s="15" t="inlineStr">
        <is>
          <t xml:space="preserve">Gospels / Ministry of Jesus</t>
        </is>
      </c>
      <c r="H380" s="15"/>
      <c r="I380" s="15" t="inlineStr">
        <is>
          <t xml:space="preserve">Samaria and the Samaritan woman</t>
        </is>
      </c>
      <c r="J380" s="15"/>
      <c r="K380" s="15" t="inlineStr">
        <is>
          <t xml:space="preserve">High confidence</t>
        </is>
      </c>
      <c r="L380" s="15" t="inlineStr">
        <is>
          <t xml:space="preserve">Probable</t>
        </is>
      </c>
      <c r="M380" s="15" t="inlineStr">
        <is>
          <t xml:space="preserve">Early ministry / Samaria</t>
        </is>
      </c>
      <c r="N380" s="15" t="inlineStr">
        <is>
          <t xml:space="preserve">Read John 4:1-42 intact.</t>
        </is>
      </c>
      <c r="O380" s="15" t="inlineStr">
        <is>
          <t xml:space="preserve">Read John 4:1-42; unique Johannine material.</t>
        </is>
      </c>
      <c r="P380" s="15" t="inlineStr">
        <is>
          <t xml:space="preserve">Not applicable</t>
        </is>
      </c>
      <c r="Q380" s="15" t="inlineStr">
        <is>
          <t xml:space="preserve">Journey: The Life of Jesus | Act I: Beginnings</t>
        </is>
      </c>
      <c r="R380" s="15"/>
      <c r="S380" s="15" t="inlineStr">
        <is>
          <t xml:space="preserve">SRC-07-03; SRC-07-10</t>
        </is>
      </c>
      <c r="T380" s="15"/>
      <c r="U380" s="13" t="inlineStr">
        <is>
          <t xml:space="preserve">Draft</t>
        </is>
      </c>
      <c r="V380" s="15" t="inlineStr">
        <is>
          <t xml:space="preserve">No</t>
        </is>
      </c>
      <c r="W380" s="15" t="inlineStr">
        <is>
          <t xml:space="preserve">John narrates Jesus's journey through Samaria and the encounter at Jacob's well.</t>
        </is>
      </c>
    </row>
    <row r="381" ht="34" customHeight="1">
      <c r="A381" s="15" t="inlineStr">
        <is>
          <t xml:space="preserve">v0.7</t>
        </is>
      </c>
      <c r="B381" s="15" t="inlineStr">
        <is>
          <t xml:space="preserve">Bible_Journey_Canon_Map_v0_7_Gospel_Chronology.xlsx</t>
        </is>
      </c>
      <c r="C381" s="15" t="inlineStr">
        <is>
          <t xml:space="preserve">CRS-07-018</t>
        </is>
      </c>
      <c r="D381" s="15">
        <v>18</v>
      </c>
      <c r="E381" s="15">
        <v>7</v>
      </c>
      <c r="F381" s="15" t="inlineStr">
        <is>
          <t xml:space="preserve">Canonical Reading Set</t>
        </is>
      </c>
      <c r="G381" s="15" t="inlineStr">
        <is>
          <t xml:space="preserve">Gospels / Ministry of Jesus</t>
        </is>
      </c>
      <c r="H381" s="15"/>
      <c r="I381" s="15" t="inlineStr">
        <is>
          <t xml:space="preserve">Return to Galilee and the royal official</t>
        </is>
      </c>
      <c r="J381" s="15"/>
      <c r="K381" s="15" t="inlineStr">
        <is>
          <t xml:space="preserve">Probable</t>
        </is>
      </c>
      <c r="L381" s="15" t="inlineStr">
        <is>
          <t xml:space="preserve">Probable</t>
        </is>
      </c>
      <c r="M381" s="15" t="inlineStr">
        <is>
          <t xml:space="preserve">Early Galilean ministry</t>
        </is>
      </c>
      <c r="N381" s="15" t="inlineStr">
        <is>
          <t xml:space="preserve">Read Mark 1:14-15, Matthew 4:12-17, and John 4:43-54.</t>
        </is>
      </c>
      <c r="O381" s="15" t="inlineStr">
        <is>
          <t xml:space="preserve">Read Mark 1:14-15 and John 4:43-54; Matthew remains visible.</t>
        </is>
      </c>
      <c r="P381" s="15" t="inlineStr">
        <is>
          <t xml:space="preserve">Compare Accounts: compare Mark and Matthew transition notices; John 4:43-54 is a distinct event in the same broad transition.</t>
        </is>
      </c>
      <c r="Q381" s="15" t="inlineStr">
        <is>
          <t xml:space="preserve">Journey: The Life of Jesus | Act II: Galilee</t>
        </is>
      </c>
      <c r="R381" s="15"/>
      <c r="S381" s="15" t="inlineStr">
        <is>
          <t xml:space="preserve">SRC-07-01; SRC-07-02; SRC-07-10</t>
        </is>
      </c>
      <c r="T381" s="15"/>
      <c r="U381" s="13" t="inlineStr">
        <is>
          <t xml:space="preserve">Draft</t>
        </is>
      </c>
      <c r="V381" s="15" t="inlineStr">
        <is>
          <t xml:space="preserve">No</t>
        </is>
      </c>
      <c r="W381" s="15" t="inlineStr">
        <is>
          <t xml:space="preserve">John narrates a Galilean healing while Mark and Matthew describe the beginning of Jesus's public Galilean proclamation.</t>
        </is>
      </c>
    </row>
    <row r="382" ht="34" customHeight="1">
      <c r="A382" s="15" t="inlineStr">
        <is>
          <t xml:space="preserve">v0.7</t>
        </is>
      </c>
      <c r="B382" s="15" t="inlineStr">
        <is>
          <t xml:space="preserve">Bible_Journey_Canon_Map_v0_7_Gospel_Chronology.xlsx</t>
        </is>
      </c>
      <c r="C382" s="15" t="inlineStr">
        <is>
          <t xml:space="preserve">CRS-07-019</t>
        </is>
      </c>
      <c r="D382" s="15">
        <v>19</v>
      </c>
      <c r="E382" s="15">
        <v>7</v>
      </c>
      <c r="F382" s="15" t="inlineStr">
        <is>
          <t xml:space="preserve">Canonical Reading Set</t>
        </is>
      </c>
      <c r="G382" s="15" t="inlineStr">
        <is>
          <t xml:space="preserve">Gospels / Ministry of Jesus</t>
        </is>
      </c>
      <c r="H382" s="15"/>
      <c r="I382" s="15" t="inlineStr">
        <is>
          <t xml:space="preserve">Nazareth proclamation in Luke</t>
        </is>
      </c>
      <c r="J382" s="15"/>
      <c r="K382" s="15" t="inlineStr">
        <is>
          <t xml:space="preserve">Probable</t>
        </is>
      </c>
      <c r="L382" s="15" t="inlineStr">
        <is>
          <t xml:space="preserve">Debated</t>
        </is>
      </c>
      <c r="M382" s="15" t="inlineStr">
        <is>
          <t xml:space="preserve">Early Galilean ministry</t>
        </is>
      </c>
      <c r="N382" s="15" t="inlineStr">
        <is>
          <t xml:space="preserve">Read Luke 4:16-30 intact.</t>
        </is>
      </c>
      <c r="O382" s="15" t="inlineStr">
        <is>
          <t xml:space="preserve">Read Luke 4:16-30; later accounts remain separate.</t>
        </is>
      </c>
      <c r="P382" s="15" t="inlineStr">
        <is>
          <t xml:space="preserve">Compare Accounts: related Nazareth traditions; no automatic event identity.</t>
        </is>
      </c>
      <c r="Q382" s="15" t="inlineStr">
        <is>
          <t xml:space="preserve">Journey: The Life of Jesus | Act II: Galilee</t>
        </is>
      </c>
      <c r="R382" s="15"/>
      <c r="S382" s="15" t="inlineStr">
        <is>
          <t xml:space="preserve">SRC-07-01; SRC-07-03</t>
        </is>
      </c>
      <c r="T382" s="15"/>
      <c r="U382" s="13" t="inlineStr">
        <is>
          <t xml:space="preserve">Draft</t>
        </is>
      </c>
      <c r="V382" s="15" t="inlineStr">
        <is>
          <t xml:space="preserve">Yes</t>
        </is>
      </c>
      <c r="W382" s="15" t="inlineStr">
        <is>
          <t xml:space="preserve">Luke narrates Jesus's synagogue proclamation and rejection at Nazareth. Its relation to later Nazareth-rejection accounts in Matthew and Mark remains debated.</t>
        </is>
      </c>
    </row>
    <row r="383" ht="34" customHeight="1">
      <c r="A383" s="15" t="inlineStr">
        <is>
          <t xml:space="preserve">v0.7</t>
        </is>
      </c>
      <c r="B383" s="15" t="inlineStr">
        <is>
          <t xml:space="preserve">Bible_Journey_Canon_Map_v0_7_Gospel_Chronology.xlsx</t>
        </is>
      </c>
      <c r="C383" s="15" t="inlineStr">
        <is>
          <t xml:space="preserve">CRS-07-020</t>
        </is>
      </c>
      <c r="D383" s="15">
        <v>20</v>
      </c>
      <c r="E383" s="15">
        <v>7</v>
      </c>
      <c r="F383" s="15" t="inlineStr">
        <is>
          <t xml:space="preserve">Canonical Reading Set</t>
        </is>
      </c>
      <c r="G383" s="15" t="inlineStr">
        <is>
          <t xml:space="preserve">Gospels / Ministry of Jesus</t>
        </is>
      </c>
      <c r="H383" s="15"/>
      <c r="I383" s="15" t="inlineStr">
        <is>
          <t xml:space="preserve">Call of the first Galilean disciples</t>
        </is>
      </c>
      <c r="J383" s="15"/>
      <c r="K383" s="15" t="inlineStr">
        <is>
          <t xml:space="preserve">High confidence</t>
        </is>
      </c>
      <c r="L383" s="15" t="inlineStr">
        <is>
          <t xml:space="preserve">Probable</t>
        </is>
      </c>
      <c r="M383" s="15" t="inlineStr">
        <is>
          <t xml:space="preserve">Early Galilean ministry</t>
        </is>
      </c>
      <c r="N383" s="15" t="inlineStr">
        <is>
          <t xml:space="preserve">Read Mark 1:16-20, Matthew 4:18-22, and Luke 5:1-11.</t>
        </is>
      </c>
      <c r="O383" s="15" t="inlineStr">
        <is>
          <t xml:space="preserve">Read Mark 1:16-20 and Luke 5:1-11; Matthew remains visible.</t>
        </is>
      </c>
      <c r="P383" s="15" t="inlineStr">
        <is>
          <t xml:space="preserve">Compare Accounts: disciple-call traditions across Mark, Matthew, and Luke.</t>
        </is>
      </c>
      <c r="Q383" s="15" t="inlineStr">
        <is>
          <t xml:space="preserve">Journey: The Life of Jesus | Act II: Galilee</t>
        </is>
      </c>
      <c r="R383" s="15"/>
      <c r="S383" s="15" t="inlineStr">
        <is>
          <t xml:space="preserve">SRC-07-01; SRC-07-02</t>
        </is>
      </c>
      <c r="T383" s="15"/>
      <c r="U383" s="13" t="inlineStr">
        <is>
          <t xml:space="preserve">Draft</t>
        </is>
      </c>
      <c r="V383" s="15" t="inlineStr">
        <is>
          <t xml:space="preserve">No</t>
        </is>
      </c>
      <c r="W383" s="15" t="inlineStr">
        <is>
          <t xml:space="preserve">Matthew, Mark, and Luke narrate calls associated with the first disciples; Luke's fishing scene has distinctive detail.</t>
        </is>
      </c>
    </row>
    <row r="384" ht="34" customHeight="1">
      <c r="A384" s="15" t="inlineStr">
        <is>
          <t xml:space="preserve">v0.7</t>
        </is>
      </c>
      <c r="B384" s="15" t="inlineStr">
        <is>
          <t xml:space="preserve">Bible_Journey_Canon_Map_v0_7_Gospel_Chronology.xlsx</t>
        </is>
      </c>
      <c r="C384" s="15" t="inlineStr">
        <is>
          <t xml:space="preserve">CRS-07-021</t>
        </is>
      </c>
      <c r="D384" s="15">
        <v>21</v>
      </c>
      <c r="E384" s="15">
        <v>7</v>
      </c>
      <c r="F384" s="15" t="inlineStr">
        <is>
          <t xml:space="preserve">Canonical Reading Set</t>
        </is>
      </c>
      <c r="G384" s="15" t="inlineStr">
        <is>
          <t xml:space="preserve">Gospels / Ministry of Jesus</t>
        </is>
      </c>
      <c r="H384" s="15"/>
      <c r="I384" s="15" t="inlineStr">
        <is>
          <t xml:space="preserve">Teaching and exorcism in Capernaum</t>
        </is>
      </c>
      <c r="J384" s="15"/>
      <c r="K384" s="15" t="inlineStr">
        <is>
          <t xml:space="preserve">High confidence</t>
        </is>
      </c>
      <c r="L384" s="15" t="inlineStr">
        <is>
          <t xml:space="preserve">Probable</t>
        </is>
      </c>
      <c r="M384" s="15" t="inlineStr">
        <is>
          <t xml:space="preserve">Early Galilean ministry</t>
        </is>
      </c>
      <c r="N384" s="15" t="inlineStr">
        <is>
          <t xml:space="preserve">Read Mark 1:21-28 and Luke 4:31-37.</t>
        </is>
      </c>
      <c r="O384" s="15" t="inlineStr">
        <is>
          <t xml:space="preserve">Read Mark 1:21-28; Luke remains visible.</t>
        </is>
      </c>
      <c r="P384" s="15" t="inlineStr">
        <is>
          <t xml:space="preserve">Compare Accounts: Capernaum exorcism.</t>
        </is>
      </c>
      <c r="Q384" s="15" t="inlineStr">
        <is>
          <t xml:space="preserve">Journey: The Life of Jesus | Act II: Galilee</t>
        </is>
      </c>
      <c r="R384" s="15"/>
      <c r="S384" s="15" t="inlineStr">
        <is>
          <t xml:space="preserve">SRC-07-01; SRC-07-02</t>
        </is>
      </c>
      <c r="T384" s="15"/>
      <c r="U384" s="13" t="inlineStr">
        <is>
          <t xml:space="preserve">Draft</t>
        </is>
      </c>
      <c r="V384" s="15" t="inlineStr">
        <is>
          <t xml:space="preserve">No</t>
        </is>
      </c>
      <c r="W384" s="15" t="inlineStr">
        <is>
          <t xml:space="preserve">Mark and Luke narrate teaching and an exorcism in Capernaum.</t>
        </is>
      </c>
    </row>
    <row r="385" ht="34" customHeight="1">
      <c r="A385" s="15" t="inlineStr">
        <is>
          <t xml:space="preserve">v0.7</t>
        </is>
      </c>
      <c r="B385" s="15" t="inlineStr">
        <is>
          <t xml:space="preserve">Bible_Journey_Canon_Map_v0_7_Gospel_Chronology.xlsx</t>
        </is>
      </c>
      <c r="C385" s="15" t="inlineStr">
        <is>
          <t xml:space="preserve">CRS-07-022</t>
        </is>
      </c>
      <c r="D385" s="15">
        <v>22</v>
      </c>
      <c r="E385" s="15">
        <v>7</v>
      </c>
      <c r="F385" s="15" t="inlineStr">
        <is>
          <t xml:space="preserve">Canonical Reading Set</t>
        </is>
      </c>
      <c r="G385" s="15" t="inlineStr">
        <is>
          <t xml:space="preserve">Gospels / Ministry of Jesus</t>
        </is>
      </c>
      <c r="H385" s="15"/>
      <c r="I385" s="15" t="inlineStr">
        <is>
          <t xml:space="preserve">Healings in Simon's house and the evening crowds</t>
        </is>
      </c>
      <c r="J385" s="15"/>
      <c r="K385" s="15" t="inlineStr">
        <is>
          <t xml:space="preserve">High confidence</t>
        </is>
      </c>
      <c r="L385" s="15" t="inlineStr">
        <is>
          <t xml:space="preserve">Probable</t>
        </is>
      </c>
      <c r="M385" s="15" t="inlineStr">
        <is>
          <t xml:space="preserve">Early Galilean ministry</t>
        </is>
      </c>
      <c r="N385" s="15" t="inlineStr">
        <is>
          <t xml:space="preserve">Read Mark 1:29-34, Matthew 8:14-17, and Luke 4:38-41.</t>
        </is>
      </c>
      <c r="O385" s="15" t="inlineStr">
        <is>
          <t xml:space="preserve">Read Mark 1:29-34; other accounts remain visible.</t>
        </is>
      </c>
      <c r="P385" s="15" t="inlineStr">
        <is>
          <t xml:space="preserve">Compare Accounts: healings in Simon's house.</t>
        </is>
      </c>
      <c r="Q385" s="15" t="inlineStr">
        <is>
          <t xml:space="preserve">Journey: The Life of Jesus | Act II: Galilee</t>
        </is>
      </c>
      <c r="R385" s="15"/>
      <c r="S385" s="15" t="inlineStr">
        <is>
          <t xml:space="preserve">SRC-07-01; SRC-07-02</t>
        </is>
      </c>
      <c r="T385" s="15"/>
      <c r="U385" s="13" t="inlineStr">
        <is>
          <t xml:space="preserve">Draft</t>
        </is>
      </c>
      <c r="V385" s="15" t="inlineStr">
        <is>
          <t xml:space="preserve">No</t>
        </is>
      </c>
      <c r="W385" s="15" t="inlineStr">
        <is>
          <t xml:space="preserve">Mark, Matthew, and Luke narrate healing in Simon's house and wider evening healing activity.</t>
        </is>
      </c>
    </row>
    <row r="386" ht="34" customHeight="1">
      <c r="A386" s="15" t="inlineStr">
        <is>
          <t xml:space="preserve">v0.7</t>
        </is>
      </c>
      <c r="B386" s="15" t="inlineStr">
        <is>
          <t xml:space="preserve">Bible_Journey_Canon_Map_v0_7_Gospel_Chronology.xlsx</t>
        </is>
      </c>
      <c r="C386" s="15" t="inlineStr">
        <is>
          <t xml:space="preserve">CRS-07-023</t>
        </is>
      </c>
      <c r="D386" s="15">
        <v>23</v>
      </c>
      <c r="E386" s="15">
        <v>7</v>
      </c>
      <c r="F386" s="15" t="inlineStr">
        <is>
          <t xml:space="preserve">Canonical Reading Set</t>
        </is>
      </c>
      <c r="G386" s="15" t="inlineStr">
        <is>
          <t xml:space="preserve">Gospels / Ministry of Jesus</t>
        </is>
      </c>
      <c r="H386" s="15"/>
      <c r="I386" s="15" t="inlineStr">
        <is>
          <t xml:space="preserve">Prayer, preaching, and cleansing of a man with leprosy</t>
        </is>
      </c>
      <c r="J386" s="15"/>
      <c r="K386" s="15" t="inlineStr">
        <is>
          <t xml:space="preserve">High confidence</t>
        </is>
      </c>
      <c r="L386" s="15" t="inlineStr">
        <is>
          <t xml:space="preserve">Probable</t>
        </is>
      </c>
      <c r="M386" s="15" t="inlineStr">
        <is>
          <t xml:space="preserve">Early Galilean ministry</t>
        </is>
      </c>
      <c r="N386" s="15" t="inlineStr">
        <is>
          <t xml:space="preserve">Read Mark 1:35-45, Matthew 8:1-4, and Luke 5:12-16.</t>
        </is>
      </c>
      <c r="O386" s="15" t="inlineStr">
        <is>
          <t xml:space="preserve">Read Mark 1:35-45; other accounts remain visible.</t>
        </is>
      </c>
      <c r="P386" s="15" t="inlineStr">
        <is>
          <t xml:space="preserve">Compare Accounts: leprosy healing.</t>
        </is>
      </c>
      <c r="Q386" s="15" t="inlineStr">
        <is>
          <t xml:space="preserve">Journey: The Life of Jesus | Act II: Galilee</t>
        </is>
      </c>
      <c r="R386" s="15"/>
      <c r="S386" s="15" t="inlineStr">
        <is>
          <t xml:space="preserve">SRC-07-01; SRC-07-02</t>
        </is>
      </c>
      <c r="T386" s="15"/>
      <c r="U386" s="13" t="inlineStr">
        <is>
          <t xml:space="preserve">Draft</t>
        </is>
      </c>
      <c r="V386" s="15" t="inlineStr">
        <is>
          <t xml:space="preserve">No</t>
        </is>
      </c>
      <c r="W386" s="15" t="inlineStr">
        <is>
          <t xml:space="preserve">Jesus withdraws to pray, continues preaching, and heals a man with leprosy in parallel Synoptic accounts.</t>
        </is>
      </c>
    </row>
    <row r="387" ht="34" customHeight="1">
      <c r="A387" s="15" t="inlineStr">
        <is>
          <t xml:space="preserve">v0.7</t>
        </is>
      </c>
      <c r="B387" s="15" t="inlineStr">
        <is>
          <t xml:space="preserve">Bible_Journey_Canon_Map_v0_7_Gospel_Chronology.xlsx</t>
        </is>
      </c>
      <c r="C387" s="15" t="inlineStr">
        <is>
          <t xml:space="preserve">CRS-07-024</t>
        </is>
      </c>
      <c r="D387" s="15">
        <v>24</v>
      </c>
      <c r="E387" s="15">
        <v>7</v>
      </c>
      <c r="F387" s="15" t="inlineStr">
        <is>
          <t xml:space="preserve">Canonical Reading Set</t>
        </is>
      </c>
      <c r="G387" s="15" t="inlineStr">
        <is>
          <t xml:space="preserve">Gospels / Ministry of Jesus</t>
        </is>
      </c>
      <c r="H387" s="15"/>
      <c r="I387" s="15" t="inlineStr">
        <is>
          <t xml:space="preserve">Healing at Bethesda in John</t>
        </is>
      </c>
      <c r="J387" s="15"/>
      <c r="K387" s="15" t="inlineStr">
        <is>
          <t xml:space="preserve">High confidence</t>
        </is>
      </c>
      <c r="L387" s="15" t="inlineStr">
        <is>
          <t xml:space="preserve">Debated</t>
        </is>
      </c>
      <c r="M387" s="15" t="inlineStr">
        <is>
          <t xml:space="preserve">Jerusalem / festival ministry</t>
        </is>
      </c>
      <c r="N387" s="15" t="inlineStr">
        <is>
          <t xml:space="preserve">Read John 5 intact at this working location.</t>
        </is>
      </c>
      <c r="O387" s="15" t="inlineStr">
        <is>
          <t xml:space="preserve">Read John 5; unique Johannine material.</t>
        </is>
      </c>
      <c r="P387" s="15" t="inlineStr">
        <is>
          <t xml:space="preserve">Not applicable</t>
        </is>
      </c>
      <c r="Q387" s="15" t="inlineStr">
        <is>
          <t xml:space="preserve">Journey: The Life of Jesus | Act II: Galilee</t>
        </is>
      </c>
      <c r="R387" s="15"/>
      <c r="S387" s="15" t="inlineStr">
        <is>
          <t xml:space="preserve">SRC-07-01; SRC-07-10</t>
        </is>
      </c>
      <c r="T387" s="15"/>
      <c r="U387" s="13" t="inlineStr">
        <is>
          <t xml:space="preserve">Draft</t>
        </is>
      </c>
      <c r="V387" s="15" t="inlineStr">
        <is>
          <t xml:space="preserve">Yes</t>
        </is>
      </c>
      <c r="W387" s="15" t="inlineStr">
        <is>
          <t xml:space="preserve">John narrates a healing at a Jerusalem pool and a subsequent controversy. Its relation to the Synoptic sequence is not resolved by the texts.</t>
        </is>
      </c>
    </row>
    <row r="388" ht="34" customHeight="1">
      <c r="A388" s="15" t="inlineStr">
        <is>
          <t xml:space="preserve">v0.7</t>
        </is>
      </c>
      <c r="B388" s="15" t="inlineStr">
        <is>
          <t xml:space="preserve">Bible_Journey_Canon_Map_v0_7_Gospel_Chronology.xlsx</t>
        </is>
      </c>
      <c r="C388" s="15" t="inlineStr">
        <is>
          <t xml:space="preserve">CRS-07-025</t>
        </is>
      </c>
      <c r="D388" s="15">
        <v>25</v>
      </c>
      <c r="E388" s="15">
        <v>7</v>
      </c>
      <c r="F388" s="15" t="inlineStr">
        <is>
          <t xml:space="preserve">Canonical Reading Set</t>
        </is>
      </c>
      <c r="G388" s="15" t="inlineStr">
        <is>
          <t xml:space="preserve">Gospels / Ministry of Jesus</t>
        </is>
      </c>
      <c r="H388" s="15"/>
      <c r="I388" s="15" t="inlineStr">
        <is>
          <t xml:space="preserve">Healing of the paralytic</t>
        </is>
      </c>
      <c r="J388" s="15"/>
      <c r="K388" s="15" t="inlineStr">
        <is>
          <t xml:space="preserve">High confidence</t>
        </is>
      </c>
      <c r="L388" s="15" t="inlineStr">
        <is>
          <t xml:space="preserve">Probable</t>
        </is>
      </c>
      <c r="M388" s="15" t="inlineStr">
        <is>
          <t xml:space="preserve">Galilean ministry</t>
        </is>
      </c>
      <c r="N388" s="15" t="inlineStr">
        <is>
          <t xml:space="preserve">Read Mark 2:1-12, Matthew 9:1-8, and Luke 5:17-26.</t>
        </is>
      </c>
      <c r="O388" s="15" t="inlineStr">
        <is>
          <t xml:space="preserve">Read Mark 2:1-12; accounts remain visible.</t>
        </is>
      </c>
      <c r="P388" s="15" t="inlineStr">
        <is>
          <t xml:space="preserve">Compare Accounts: healing of the paralytic.</t>
        </is>
      </c>
      <c r="Q388" s="15" t="inlineStr">
        <is>
          <t xml:space="preserve">Journey: The Life of Jesus | Act II: Galilee</t>
        </is>
      </c>
      <c r="R388" s="15"/>
      <c r="S388" s="15" t="inlineStr">
        <is>
          <t xml:space="preserve">SRC-07-01; SRC-07-02</t>
        </is>
      </c>
      <c r="T388" s="15"/>
      <c r="U388" s="13" t="inlineStr">
        <is>
          <t xml:space="preserve">Draft</t>
        </is>
      </c>
      <c r="V388" s="15" t="inlineStr">
        <is>
          <t xml:space="preserve">No</t>
        </is>
      </c>
      <c r="W388" s="15" t="inlineStr">
        <is>
          <t xml:space="preserve">Mark, Matthew, and Luke narrate a paralytic brought to Jesus and the forgiveness controversy.</t>
        </is>
      </c>
    </row>
    <row r="389" ht="34" customHeight="1">
      <c r="A389" s="15" t="inlineStr">
        <is>
          <t xml:space="preserve">v0.7</t>
        </is>
      </c>
      <c r="B389" s="15" t="inlineStr">
        <is>
          <t xml:space="preserve">Bible_Journey_Canon_Map_v0_7_Gospel_Chronology.xlsx</t>
        </is>
      </c>
      <c r="C389" s="15" t="inlineStr">
        <is>
          <t xml:space="preserve">CRS-07-026</t>
        </is>
      </c>
      <c r="D389" s="15">
        <v>26</v>
      </c>
      <c r="E389" s="15">
        <v>7</v>
      </c>
      <c r="F389" s="15" t="inlineStr">
        <is>
          <t xml:space="preserve">Canonical Reading Set</t>
        </is>
      </c>
      <c r="G389" s="15" t="inlineStr">
        <is>
          <t xml:space="preserve">Gospels / Ministry of Jesus</t>
        </is>
      </c>
      <c r="H389" s="15"/>
      <c r="I389" s="15" t="inlineStr">
        <is>
          <t xml:space="preserve">Call of Levi and table fellowship</t>
        </is>
      </c>
      <c r="J389" s="15"/>
      <c r="K389" s="15" t="inlineStr">
        <is>
          <t xml:space="preserve">High confidence</t>
        </is>
      </c>
      <c r="L389" s="15" t="inlineStr">
        <is>
          <t xml:space="preserve">Probable</t>
        </is>
      </c>
      <c r="M389" s="15" t="inlineStr">
        <is>
          <t xml:space="preserve">Galilean ministry</t>
        </is>
      </c>
      <c r="N389" s="15" t="inlineStr">
        <is>
          <t xml:space="preserve">Read Mark 2:13-17, Matthew 9:9-13, and Luke 5:27-32.</t>
        </is>
      </c>
      <c r="O389" s="15" t="inlineStr">
        <is>
          <t xml:space="preserve">Read Mark 2:13-17; other accounts remain visible.</t>
        </is>
      </c>
      <c r="P389" s="15" t="inlineStr">
        <is>
          <t xml:space="preserve">Compare Accounts: call of Levi/Matthew.</t>
        </is>
      </c>
      <c r="Q389" s="15" t="inlineStr">
        <is>
          <t xml:space="preserve">Journey: The Life of Jesus | Act II: Galilee</t>
        </is>
      </c>
      <c r="R389" s="15"/>
      <c r="S389" s="15" t="inlineStr">
        <is>
          <t xml:space="preserve">SRC-07-01; SRC-07-02</t>
        </is>
      </c>
      <c r="T389" s="15"/>
      <c r="U389" s="13" t="inlineStr">
        <is>
          <t xml:space="preserve">Draft</t>
        </is>
      </c>
      <c r="V389" s="15" t="inlineStr">
        <is>
          <t xml:space="preserve">No</t>
        </is>
      </c>
      <c r="W389" s="15" t="inlineStr">
        <is>
          <t xml:space="preserve">Mark, Matthew, and Luke narrate the call of a tax collector and the meal controversy.</t>
        </is>
      </c>
    </row>
    <row r="390" ht="34" customHeight="1">
      <c r="A390" s="15" t="inlineStr">
        <is>
          <t xml:space="preserve">v0.7</t>
        </is>
      </c>
      <c r="B390" s="15" t="inlineStr">
        <is>
          <t xml:space="preserve">Bible_Journey_Canon_Map_v0_7_Gospel_Chronology.xlsx</t>
        </is>
      </c>
      <c r="C390" s="15" t="inlineStr">
        <is>
          <t xml:space="preserve">CRS-07-027</t>
        </is>
      </c>
      <c r="D390" s="15">
        <v>27</v>
      </c>
      <c r="E390" s="15">
        <v>7</v>
      </c>
      <c r="F390" s="15" t="inlineStr">
        <is>
          <t xml:space="preserve">Canonical Reading Set</t>
        </is>
      </c>
      <c r="G390" s="15" t="inlineStr">
        <is>
          <t xml:space="preserve">Gospels / Ministry of Jesus</t>
        </is>
      </c>
      <c r="H390" s="15"/>
      <c r="I390" s="15" t="inlineStr">
        <is>
          <t xml:space="preserve">Question about fasting</t>
        </is>
      </c>
      <c r="J390" s="15"/>
      <c r="K390" s="15" t="inlineStr">
        <is>
          <t xml:space="preserve">High confidence</t>
        </is>
      </c>
      <c r="L390" s="15" t="inlineStr">
        <is>
          <t xml:space="preserve">Probable</t>
        </is>
      </c>
      <c r="M390" s="15" t="inlineStr">
        <is>
          <t xml:space="preserve">Galilean ministry</t>
        </is>
      </c>
      <c r="N390" s="15" t="inlineStr">
        <is>
          <t xml:space="preserve">Read Mark 2:18-22, Matthew 9:14-17, and Luke 5:33-39.</t>
        </is>
      </c>
      <c r="O390" s="15" t="inlineStr">
        <is>
          <t xml:space="preserve">Read Mark 2:18-22; other accounts remain visible.</t>
        </is>
      </c>
      <c r="P390" s="15" t="inlineStr">
        <is>
          <t xml:space="preserve">Compare Accounts: fasting question.</t>
        </is>
      </c>
      <c r="Q390" s="15" t="inlineStr">
        <is>
          <t xml:space="preserve">Journey: The Life of Jesus | Act II: Galilee</t>
        </is>
      </c>
      <c r="R390" s="15"/>
      <c r="S390" s="15" t="inlineStr">
        <is>
          <t xml:space="preserve">SRC-07-01; SRC-07-02</t>
        </is>
      </c>
      <c r="T390" s="15"/>
      <c r="U390" s="13" t="inlineStr">
        <is>
          <t xml:space="preserve">Draft</t>
        </is>
      </c>
      <c r="V390" s="15" t="inlineStr">
        <is>
          <t xml:space="preserve">No</t>
        </is>
      </c>
      <c r="W390" s="15" t="inlineStr">
        <is>
          <t xml:space="preserve">Mark, Matthew, and Luke narrate questions about fasting and bridegroom/wineskin imagery.</t>
        </is>
      </c>
    </row>
    <row r="391" ht="34" customHeight="1">
      <c r="A391" s="15" t="inlineStr">
        <is>
          <t xml:space="preserve">v0.7</t>
        </is>
      </c>
      <c r="B391" s="15" t="inlineStr">
        <is>
          <t xml:space="preserve">Bible_Journey_Canon_Map_v0_7_Gospel_Chronology.xlsx</t>
        </is>
      </c>
      <c r="C391" s="15" t="inlineStr">
        <is>
          <t xml:space="preserve">CRS-07-028</t>
        </is>
      </c>
      <c r="D391" s="15">
        <v>28</v>
      </c>
      <c r="E391" s="15">
        <v>7</v>
      </c>
      <c r="F391" s="15" t="inlineStr">
        <is>
          <t xml:space="preserve">Canonical Reading Set</t>
        </is>
      </c>
      <c r="G391" s="15" t="inlineStr">
        <is>
          <t xml:space="preserve">Gospels / Ministry of Jesus</t>
        </is>
      </c>
      <c r="H391" s="15"/>
      <c r="I391" s="15" t="inlineStr">
        <is>
          <t xml:space="preserve">Sabbath controversies</t>
        </is>
      </c>
      <c r="J391" s="15"/>
      <c r="K391" s="15" t="inlineStr">
        <is>
          <t xml:space="preserve">High confidence</t>
        </is>
      </c>
      <c r="L391" s="15" t="inlineStr">
        <is>
          <t xml:space="preserve">Probable</t>
        </is>
      </c>
      <c r="M391" s="15" t="inlineStr">
        <is>
          <t xml:space="preserve">Galilean ministry</t>
        </is>
      </c>
      <c r="N391" s="15" t="inlineStr">
        <is>
          <t xml:space="preserve">Read Mark 2:23-3:6, Matthew 12:1-14, and Luke 6:1-11.</t>
        </is>
      </c>
      <c r="O391" s="15" t="inlineStr">
        <is>
          <t xml:space="preserve">Read Mark 2:23-3:6; parallel accounts remain visible.</t>
        </is>
      </c>
      <c r="P391" s="15" t="inlineStr">
        <is>
          <t xml:space="preserve">Compare Accounts: Sabbath controversies.</t>
        </is>
      </c>
      <c r="Q391" s="15" t="inlineStr">
        <is>
          <t xml:space="preserve">Journey: The Life of Jesus | Act II: Galilee</t>
        </is>
      </c>
      <c r="R391" s="15"/>
      <c r="S391" s="15" t="inlineStr">
        <is>
          <t xml:space="preserve">SRC-07-01; SRC-07-02</t>
        </is>
      </c>
      <c r="T391" s="15"/>
      <c r="U391" s="13" t="inlineStr">
        <is>
          <t xml:space="preserve">Draft</t>
        </is>
      </c>
      <c r="V391" s="15" t="inlineStr">
        <is>
          <t xml:space="preserve">No</t>
        </is>
      </c>
      <c r="W391" s="15" t="inlineStr">
        <is>
          <t xml:space="preserve">The Synoptics narrate grain-plucking and healing controversies that culminate in opposition.</t>
        </is>
      </c>
    </row>
    <row r="392" ht="34" customHeight="1">
      <c r="A392" s="15" t="inlineStr">
        <is>
          <t xml:space="preserve">v0.7</t>
        </is>
      </c>
      <c r="B392" s="15" t="inlineStr">
        <is>
          <t xml:space="preserve">Bible_Journey_Canon_Map_v0_7_Gospel_Chronology.xlsx</t>
        </is>
      </c>
      <c r="C392" s="15" t="inlineStr">
        <is>
          <t xml:space="preserve">CRS-07-029</t>
        </is>
      </c>
      <c r="D392" s="15">
        <v>29</v>
      </c>
      <c r="E392" s="15">
        <v>7</v>
      </c>
      <c r="F392" s="15" t="inlineStr">
        <is>
          <t xml:space="preserve">Canonical Reading Set</t>
        </is>
      </c>
      <c r="G392" s="15" t="inlineStr">
        <is>
          <t xml:space="preserve">Gospels / Ministry of Jesus</t>
        </is>
      </c>
      <c r="H392" s="15"/>
      <c r="I392" s="15" t="inlineStr">
        <is>
          <t xml:space="preserve">Appointment of the Twelve</t>
        </is>
      </c>
      <c r="J392" s="15"/>
      <c r="K392" s="15" t="inlineStr">
        <is>
          <t xml:space="preserve">High confidence</t>
        </is>
      </c>
      <c r="L392" s="15" t="inlineStr">
        <is>
          <t xml:space="preserve">Probable</t>
        </is>
      </c>
      <c r="M392" s="15" t="inlineStr">
        <is>
          <t xml:space="preserve">Galilean ministry</t>
        </is>
      </c>
      <c r="N392" s="15" t="inlineStr">
        <is>
          <t xml:space="preserve">Read Mark 3:7-19, Matthew 10:1-4, and Luke 6:12-16.</t>
        </is>
      </c>
      <c r="O392" s="15" t="inlineStr">
        <is>
          <t xml:space="preserve">Read Mark 3:7-19; other lists remain visible.</t>
        </is>
      </c>
      <c r="P392" s="15" t="inlineStr">
        <is>
          <t xml:space="preserve">Compare Accounts: the Twelve.</t>
        </is>
      </c>
      <c r="Q392" s="15" t="inlineStr">
        <is>
          <t xml:space="preserve">Journey: The Life of Jesus | Act II: Galilee</t>
        </is>
      </c>
      <c r="R392" s="15"/>
      <c r="S392" s="15" t="inlineStr">
        <is>
          <t xml:space="preserve">SRC-07-01; SRC-07-02</t>
        </is>
      </c>
      <c r="T392" s="15"/>
      <c r="U392" s="13" t="inlineStr">
        <is>
          <t xml:space="preserve">Draft</t>
        </is>
      </c>
      <c r="V392" s="15" t="inlineStr">
        <is>
          <t xml:space="preserve">No</t>
        </is>
      </c>
      <c r="W392" s="15" t="inlineStr">
        <is>
          <t xml:space="preserve">Mark, Matthew, and Luke list the Twelve in related contexts.</t>
        </is>
      </c>
    </row>
    <row r="393" ht="34" customHeight="1">
      <c r="A393" s="15" t="inlineStr">
        <is>
          <t xml:space="preserve">v0.7</t>
        </is>
      </c>
      <c r="B393" s="15" t="inlineStr">
        <is>
          <t xml:space="preserve">Bible_Journey_Canon_Map_v0_7_Gospel_Chronology.xlsx</t>
        </is>
      </c>
      <c r="C393" s="15" t="inlineStr">
        <is>
          <t xml:space="preserve">CRS-07-030</t>
        </is>
      </c>
      <c r="D393" s="15">
        <v>30</v>
      </c>
      <c r="E393" s="15">
        <v>7</v>
      </c>
      <c r="F393" s="15" t="inlineStr">
        <is>
          <t xml:space="preserve">Canonical Reading Set</t>
        </is>
      </c>
      <c r="G393" s="15" t="inlineStr">
        <is>
          <t xml:space="preserve">Gospels / Ministry of Jesus</t>
        </is>
      </c>
      <c r="H393" s="15"/>
      <c r="I393" s="15" t="inlineStr">
        <is>
          <t xml:space="preserve">Major discourse: mountain and plain</t>
        </is>
      </c>
      <c r="J393" s="15"/>
      <c r="K393" s="15" t="inlineStr">
        <is>
          <t xml:space="preserve">Probable</t>
        </is>
      </c>
      <c r="L393" s="15" t="inlineStr">
        <is>
          <t xml:space="preserve">Debated</t>
        </is>
      </c>
      <c r="M393" s="15" t="inlineStr">
        <is>
          <t xml:space="preserve">Galilean ministry</t>
        </is>
      </c>
      <c r="N393" s="15" t="inlineStr">
        <is>
          <t xml:space="preserve">Read Matthew 5-7 and Luke 6:17-49 as related discourse blocks.</t>
        </is>
      </c>
      <c r="O393" s="15" t="inlineStr">
        <is>
          <t xml:space="preserve">Read Matthew 5-7; Luke 6:17-49 remains related.</t>
        </is>
      </c>
      <c r="P393" s="15" t="inlineStr">
        <is>
          <t xml:space="preserve">Compare Accounts: overlapping teaching traditions with explicit related-discourse label.</t>
        </is>
      </c>
      <c r="Q393" s="15" t="inlineStr">
        <is>
          <t xml:space="preserve">Journey: The Life of Jesus | Act II: Galilee</t>
        </is>
      </c>
      <c r="R393" s="15"/>
      <c r="S393" s="15" t="inlineStr">
        <is>
          <t xml:space="preserve">SRC-07-01; SRC-07-02</t>
        </is>
      </c>
      <c r="T393" s="15"/>
      <c r="U393" s="13" t="inlineStr">
        <is>
          <t xml:space="preserve">Draft</t>
        </is>
      </c>
      <c r="V393" s="15" t="inlineStr">
        <is>
          <t xml:space="preserve">Yes</t>
        </is>
      </c>
      <c r="W393" s="15" t="inlineStr">
        <is>
          <t xml:space="preserve">Do not label these automatically as one verbatim sermon.</t>
        </is>
      </c>
    </row>
    <row r="394" ht="34" customHeight="1">
      <c r="A394" s="15" t="inlineStr">
        <is>
          <t xml:space="preserve">v0.7</t>
        </is>
      </c>
      <c r="B394" s="15" t="inlineStr">
        <is>
          <t xml:space="preserve">Bible_Journey_Canon_Map_v0_7_Gospel_Chronology.xlsx</t>
        </is>
      </c>
      <c r="C394" s="15" t="inlineStr">
        <is>
          <t xml:space="preserve">CRS-07-031</t>
        </is>
      </c>
      <c r="D394" s="15">
        <v>31</v>
      </c>
      <c r="E394" s="15">
        <v>7</v>
      </c>
      <c r="F394" s="15" t="inlineStr">
        <is>
          <t xml:space="preserve">Canonical Reading Set</t>
        </is>
      </c>
      <c r="G394" s="15" t="inlineStr">
        <is>
          <t xml:space="preserve">Gospels / Ministry of Jesus</t>
        </is>
      </c>
      <c r="H394" s="15"/>
      <c r="I394" s="15" t="inlineStr">
        <is>
          <t xml:space="preserve">Centurion's servant</t>
        </is>
      </c>
      <c r="J394" s="15"/>
      <c r="K394" s="15" t="inlineStr">
        <is>
          <t xml:space="preserve">High confidence</t>
        </is>
      </c>
      <c r="L394" s="15" t="inlineStr">
        <is>
          <t xml:space="preserve">Probable</t>
        </is>
      </c>
      <c r="M394" s="15" t="inlineStr">
        <is>
          <t xml:space="preserve">Galilean ministry</t>
        </is>
      </c>
      <c r="N394" s="15" t="inlineStr">
        <is>
          <t xml:space="preserve">Read Matthew 8:5-13 and Luke 7:1-10.</t>
        </is>
      </c>
      <c r="O394" s="15" t="inlineStr">
        <is>
          <t xml:space="preserve">Read Matthew 8:5-13; Luke remains visible.</t>
        </is>
      </c>
      <c r="P394" s="15" t="inlineStr">
        <is>
          <t xml:space="preserve">Compare Accounts: centurion's servant.</t>
        </is>
      </c>
      <c r="Q394" s="15" t="inlineStr">
        <is>
          <t xml:space="preserve">Journey: The Life of Jesus | Act II: Galilee</t>
        </is>
      </c>
      <c r="R394" s="15"/>
      <c r="S394" s="15" t="inlineStr">
        <is>
          <t xml:space="preserve">SRC-07-01; SRC-07-02</t>
        </is>
      </c>
      <c r="T394" s="15"/>
      <c r="U394" s="13" t="inlineStr">
        <is>
          <t xml:space="preserve">Draft</t>
        </is>
      </c>
      <c r="V394" s="15" t="inlineStr">
        <is>
          <t xml:space="preserve">No</t>
        </is>
      </c>
      <c r="W394" s="15" t="inlineStr">
        <is>
          <t xml:space="preserve">Matthew and Luke narrate a centurion's request and Jesus's response.</t>
        </is>
      </c>
    </row>
    <row r="395" ht="34" customHeight="1">
      <c r="A395" s="15" t="inlineStr">
        <is>
          <t xml:space="preserve">v0.7</t>
        </is>
      </c>
      <c r="B395" s="15" t="inlineStr">
        <is>
          <t xml:space="preserve">Bible_Journey_Canon_Map_v0_7_Gospel_Chronology.xlsx</t>
        </is>
      </c>
      <c r="C395" s="15" t="inlineStr">
        <is>
          <t xml:space="preserve">CRS-07-032</t>
        </is>
      </c>
      <c r="D395" s="15">
        <v>32</v>
      </c>
      <c r="E395" s="15">
        <v>7</v>
      </c>
      <c r="F395" s="15" t="inlineStr">
        <is>
          <t xml:space="preserve">Canonical Reading Set</t>
        </is>
      </c>
      <c r="G395" s="15" t="inlineStr">
        <is>
          <t xml:space="preserve">Gospels / Ministry of Jesus</t>
        </is>
      </c>
      <c r="H395" s="15"/>
      <c r="I395" s="15" t="inlineStr">
        <is>
          <t xml:space="preserve">Widow of Nain</t>
        </is>
      </c>
      <c r="J395" s="15"/>
      <c r="K395" s="15" t="inlineStr">
        <is>
          <t xml:space="preserve">High confidence</t>
        </is>
      </c>
      <c r="L395" s="15" t="inlineStr">
        <is>
          <t xml:space="preserve">Probable</t>
        </is>
      </c>
      <c r="M395" s="15" t="inlineStr">
        <is>
          <t xml:space="preserve">Galilean ministry</t>
        </is>
      </c>
      <c r="N395" s="15" t="inlineStr">
        <is>
          <t xml:space="preserve">Read Luke 7:11-17.</t>
        </is>
      </c>
      <c r="O395" s="15" t="inlineStr">
        <is>
          <t xml:space="preserve">Read Luke 7:11-17.</t>
        </is>
      </c>
      <c r="P395" s="15" t="inlineStr">
        <is>
          <t xml:space="preserve">Not applicable</t>
        </is>
      </c>
      <c r="Q395" s="15" t="inlineStr">
        <is>
          <t xml:space="preserve">Journey: The Life of Jesus | Act II: Galilee</t>
        </is>
      </c>
      <c r="R395" s="15"/>
      <c r="S395" s="15" t="inlineStr">
        <is>
          <t xml:space="preserve">SRC-07-03</t>
        </is>
      </c>
      <c r="T395" s="15"/>
      <c r="U395" s="13" t="inlineStr">
        <is>
          <t xml:space="preserve">Draft</t>
        </is>
      </c>
      <c r="V395" s="15" t="inlineStr">
        <is>
          <t xml:space="preserve">No</t>
        </is>
      </c>
      <c r="W395" s="15" t="inlineStr">
        <is>
          <t xml:space="preserve">Luke narrates the raising of the widow's son at Nain.</t>
        </is>
      </c>
    </row>
    <row r="396" ht="34" customHeight="1">
      <c r="A396" s="15" t="inlineStr">
        <is>
          <t xml:space="preserve">v0.7</t>
        </is>
      </c>
      <c r="B396" s="15" t="inlineStr">
        <is>
          <t xml:space="preserve">Bible_Journey_Canon_Map_v0_7_Gospel_Chronology.xlsx</t>
        </is>
      </c>
      <c r="C396" s="15" t="inlineStr">
        <is>
          <t xml:space="preserve">CRS-07-033</t>
        </is>
      </c>
      <c r="D396" s="15">
        <v>33</v>
      </c>
      <c r="E396" s="15">
        <v>7</v>
      </c>
      <c r="F396" s="15" t="inlineStr">
        <is>
          <t xml:space="preserve">Canonical Reading Set</t>
        </is>
      </c>
      <c r="G396" s="15" t="inlineStr">
        <is>
          <t xml:space="preserve">Gospels / Ministry of Jesus</t>
        </is>
      </c>
      <c r="H396" s="15"/>
      <c r="I396" s="15" t="inlineStr">
        <is>
          <t xml:space="preserve">John the Baptist's question and Jesus's response</t>
        </is>
      </c>
      <c r="J396" s="15"/>
      <c r="K396" s="15" t="inlineStr">
        <is>
          <t xml:space="preserve">High confidence</t>
        </is>
      </c>
      <c r="L396" s="15" t="inlineStr">
        <is>
          <t xml:space="preserve">Probable</t>
        </is>
      </c>
      <c r="M396" s="15" t="inlineStr">
        <is>
          <t xml:space="preserve">Galilean ministry</t>
        </is>
      </c>
      <c r="N396" s="15" t="inlineStr">
        <is>
          <t xml:space="preserve">Read Matthew 11:2-30 and Luke 7:18-35.</t>
        </is>
      </c>
      <c r="O396" s="15" t="inlineStr">
        <is>
          <t xml:space="preserve">Read Matthew 11:2-30; Luke remains visible.</t>
        </is>
      </c>
      <c r="P396" s="15" t="inlineStr">
        <is>
          <t xml:space="preserve">Compare Accounts: John the Baptist's question.</t>
        </is>
      </c>
      <c r="Q396" s="15" t="inlineStr">
        <is>
          <t xml:space="preserve">Journey: The Life of Jesus | Act II: Galilee</t>
        </is>
      </c>
      <c r="R396" s="15"/>
      <c r="S396" s="15" t="inlineStr">
        <is>
          <t xml:space="preserve">SRC-07-01; SRC-07-02</t>
        </is>
      </c>
      <c r="T396" s="15"/>
      <c r="U396" s="13" t="inlineStr">
        <is>
          <t xml:space="preserve">Draft</t>
        </is>
      </c>
      <c r="V396" s="15" t="inlineStr">
        <is>
          <t xml:space="preserve">No</t>
        </is>
      </c>
      <c r="W396" s="15" t="inlineStr">
        <is>
          <t xml:space="preserve">Matthew and Luke narrate John the Baptist's question and related teaching.</t>
        </is>
      </c>
    </row>
    <row r="397" ht="34" customHeight="1">
      <c r="A397" s="15" t="inlineStr">
        <is>
          <t xml:space="preserve">v0.7</t>
        </is>
      </c>
      <c r="B397" s="15" t="inlineStr">
        <is>
          <t xml:space="preserve">Bible_Journey_Canon_Map_v0_7_Gospel_Chronology.xlsx</t>
        </is>
      </c>
      <c r="C397" s="15" t="inlineStr">
        <is>
          <t xml:space="preserve">CRS-07-034</t>
        </is>
      </c>
      <c r="D397" s="15">
        <v>34</v>
      </c>
      <c r="E397" s="15">
        <v>7</v>
      </c>
      <c r="F397" s="15" t="inlineStr">
        <is>
          <t xml:space="preserve">Canonical Reading Set</t>
        </is>
      </c>
      <c r="G397" s="15" t="inlineStr">
        <is>
          <t xml:space="preserve">Gospels / Ministry of Jesus</t>
        </is>
      </c>
      <c r="H397" s="15"/>
      <c r="I397" s="15" t="inlineStr">
        <is>
          <t xml:space="preserve">Anointing by a woman in Luke</t>
        </is>
      </c>
      <c r="J397" s="15"/>
      <c r="K397" s="15" t="inlineStr">
        <is>
          <t xml:space="preserve">High confidence</t>
        </is>
      </c>
      <c r="L397" s="15" t="inlineStr">
        <is>
          <t xml:space="preserve">Probable</t>
        </is>
      </c>
      <c r="M397" s="15" t="inlineStr">
        <is>
          <t xml:space="preserve">Galilean ministry</t>
        </is>
      </c>
      <c r="N397" s="15" t="inlineStr">
        <is>
          <t xml:space="preserve">Read Luke 7:36-50.</t>
        </is>
      </c>
      <c r="O397" s="15" t="inlineStr">
        <is>
          <t xml:space="preserve">Read Luke 7:36-50.</t>
        </is>
      </c>
      <c r="P397" s="15" t="inlineStr">
        <is>
          <t xml:space="preserve">Compare Accounts is off by default; Study Mode offers a related-anointing note.</t>
        </is>
      </c>
      <c r="Q397" s="15" t="inlineStr">
        <is>
          <t xml:space="preserve">Journey: The Life of Jesus | Act II: Galilee</t>
        </is>
      </c>
      <c r="R397" s="15"/>
      <c r="S397" s="15" t="inlineStr">
        <is>
          <t xml:space="preserve">SRC-07-03; SRC-07-09</t>
        </is>
      </c>
      <c r="T397" s="15"/>
      <c r="U397" s="13" t="inlineStr">
        <is>
          <t xml:space="preserve">Draft</t>
        </is>
      </c>
      <c r="V397" s="15" t="inlineStr">
        <is>
          <t xml:space="preserve">Yes</t>
        </is>
      </c>
      <c r="W397" s="15" t="inlineStr">
        <is>
          <t xml:space="preserve">Luke narrates an anointing in a Pharisee's house. It is not automatically merged with later Bethany anointing accounts.</t>
        </is>
      </c>
    </row>
    <row r="398" ht="34" customHeight="1">
      <c r="A398" s="15" t="inlineStr">
        <is>
          <t xml:space="preserve">v0.7</t>
        </is>
      </c>
      <c r="B398" s="15" t="inlineStr">
        <is>
          <t xml:space="preserve">Bible_Journey_Canon_Map_v0_7_Gospel_Chronology.xlsx</t>
        </is>
      </c>
      <c r="C398" s="15" t="inlineStr">
        <is>
          <t xml:space="preserve">CRS-07-035</t>
        </is>
      </c>
      <c r="D398" s="15">
        <v>35</v>
      </c>
      <c r="E398" s="15">
        <v>7</v>
      </c>
      <c r="F398" s="15" t="inlineStr">
        <is>
          <t xml:space="preserve">Canonical Reading Set</t>
        </is>
      </c>
      <c r="G398" s="15" t="inlineStr">
        <is>
          <t xml:space="preserve">Gospels / Ministry of Jesus</t>
        </is>
      </c>
      <c r="H398" s="15"/>
      <c r="I398" s="15" t="inlineStr">
        <is>
          <t xml:space="preserve">Women, family, and authority conflict</t>
        </is>
      </c>
      <c r="J398" s="15"/>
      <c r="K398" s="15" t="inlineStr">
        <is>
          <t xml:space="preserve">Probable</t>
        </is>
      </c>
      <c r="L398" s="15" t="inlineStr">
        <is>
          <t xml:space="preserve">Debated</t>
        </is>
      </c>
      <c r="M398" s="15" t="inlineStr">
        <is>
          <t xml:space="preserve">Galilean ministry</t>
        </is>
      </c>
      <c r="N398" s="15" t="inlineStr">
        <is>
          <t xml:space="preserve">Read all linked blocks; each preserves its Gospel form.</t>
        </is>
      </c>
      <c r="O398" s="15" t="inlineStr">
        <is>
          <t xml:space="preserve">Read Luke 8:1-3 and Mark 3:20-35; related accounts remain visible.</t>
        </is>
      </c>
      <c r="P398" s="15" t="inlineStr">
        <is>
          <t xml:space="preserve">Compare Accounts: family/conflict traditions at pericope-level.</t>
        </is>
      </c>
      <c r="Q398" s="15" t="inlineStr">
        <is>
          <t xml:space="preserve">Journey: The Life of Jesus | Act II: Galilee</t>
        </is>
      </c>
      <c r="R398" s="15"/>
      <c r="S398" s="15" t="inlineStr">
        <is>
          <t xml:space="preserve">SRC-07-01; SRC-07-02; SRC-07-03</t>
        </is>
      </c>
      <c r="T398" s="15"/>
      <c r="U398" s="13" t="inlineStr">
        <is>
          <t xml:space="preserve">Draft</t>
        </is>
      </c>
      <c r="V398" s="15" t="inlineStr">
        <is>
          <t xml:space="preserve">Yes</t>
        </is>
      </c>
      <c r="W398" s="15" t="inlineStr">
        <is>
          <t xml:space="preserve">Luke introduces women who support the ministry; Mark, Matthew, and Luke preserve family and authority-conflict traditions.</t>
        </is>
      </c>
    </row>
    <row r="399" ht="34" customHeight="1">
      <c r="A399" s="15" t="inlineStr">
        <is>
          <t xml:space="preserve">v0.7</t>
        </is>
      </c>
      <c r="B399" s="15" t="inlineStr">
        <is>
          <t xml:space="preserve">Bible_Journey_Canon_Map_v0_7_Gospel_Chronology.xlsx</t>
        </is>
      </c>
      <c r="C399" s="15" t="inlineStr">
        <is>
          <t xml:space="preserve">CRS-07-036</t>
        </is>
      </c>
      <c r="D399" s="15">
        <v>36</v>
      </c>
      <c r="E399" s="15">
        <v>7</v>
      </c>
      <c r="F399" s="15" t="inlineStr">
        <is>
          <t xml:space="preserve">Canonical Reading Set</t>
        </is>
      </c>
      <c r="G399" s="15" t="inlineStr">
        <is>
          <t xml:space="preserve">Gospels / Ministry of Jesus</t>
        </is>
      </c>
      <c r="H399" s="15"/>
      <c r="I399" s="15" t="inlineStr">
        <is>
          <t xml:space="preserve">Parables of the kingdom</t>
        </is>
      </c>
      <c r="J399" s="15"/>
      <c r="K399" s="15" t="inlineStr">
        <is>
          <t xml:space="preserve">Probable</t>
        </is>
      </c>
      <c r="L399" s="15" t="inlineStr">
        <is>
          <t xml:space="preserve">Probable</t>
        </is>
      </c>
      <c r="M399" s="15" t="inlineStr">
        <is>
          <t xml:space="preserve">Galilean ministry</t>
        </is>
      </c>
      <c r="N399" s="15" t="inlineStr">
        <is>
          <t xml:space="preserve">Read Mark 4:1-34, Matthew 13:1-52, and Luke 8:4-18.</t>
        </is>
      </c>
      <c r="O399" s="15" t="inlineStr">
        <is>
          <t xml:space="preserve">Read Mark 4:1-34; other collections remain visible.</t>
        </is>
      </c>
      <c r="P399" s="15" t="inlineStr">
        <is>
          <t xml:space="preserve">Compare Accounts: parables by individual pericope, not synthetic sermon.</t>
        </is>
      </c>
      <c r="Q399" s="15" t="inlineStr">
        <is>
          <t xml:space="preserve">Journey: The Life of Jesus | Act II: Galilee</t>
        </is>
      </c>
      <c r="R399" s="15"/>
      <c r="S399" s="15" t="inlineStr">
        <is>
          <t xml:space="preserve">SRC-07-01; SRC-07-02</t>
        </is>
      </c>
      <c r="T399" s="15"/>
      <c r="U399" s="13" t="inlineStr">
        <is>
          <t xml:space="preserve">Draft</t>
        </is>
      </c>
      <c r="V399" s="15" t="inlineStr">
        <is>
          <t xml:space="preserve">No</t>
        </is>
      </c>
      <c r="W399" s="15" t="inlineStr">
        <is>
          <t xml:space="preserve">Matthew, Mark, and Luke preserve overlapping parable material in differently structured collections.</t>
        </is>
      </c>
    </row>
    <row r="400" ht="34" customHeight="1">
      <c r="A400" s="15" t="inlineStr">
        <is>
          <t xml:space="preserve">v0.7</t>
        </is>
      </c>
      <c r="B400" s="15" t="inlineStr">
        <is>
          <t xml:space="preserve">Bible_Journey_Canon_Map_v0_7_Gospel_Chronology.xlsx</t>
        </is>
      </c>
      <c r="C400" s="15" t="inlineStr">
        <is>
          <t xml:space="preserve">CRS-07-037</t>
        </is>
      </c>
      <c r="D400" s="15">
        <v>37</v>
      </c>
      <c r="E400" s="15">
        <v>7</v>
      </c>
      <c r="F400" s="15" t="inlineStr">
        <is>
          <t xml:space="preserve">Canonical Reading Set</t>
        </is>
      </c>
      <c r="G400" s="15" t="inlineStr">
        <is>
          <t xml:space="preserve">Gospels / Ministry of Jesus</t>
        </is>
      </c>
      <c r="H400" s="15"/>
      <c r="I400" s="15" t="inlineStr">
        <is>
          <t xml:space="preserve">Calming the storm</t>
        </is>
      </c>
      <c r="J400" s="15"/>
      <c r="K400" s="15" t="inlineStr">
        <is>
          <t xml:space="preserve">High confidence</t>
        </is>
      </c>
      <c r="L400" s="15" t="inlineStr">
        <is>
          <t xml:space="preserve">Probable</t>
        </is>
      </c>
      <c r="M400" s="15" t="inlineStr">
        <is>
          <t xml:space="preserve">Galilean ministry</t>
        </is>
      </c>
      <c r="N400" s="15" t="inlineStr">
        <is>
          <t xml:space="preserve">Read Mark 4:35-41, Matthew 8:23-27, and Luke 8:22-25.</t>
        </is>
      </c>
      <c r="O400" s="15" t="inlineStr">
        <is>
          <t xml:space="preserve">Read Mark 4:35-41; parallel accounts remain visible.</t>
        </is>
      </c>
      <c r="P400" s="15" t="inlineStr">
        <is>
          <t xml:space="preserve">Compare Accounts: calming the storm.</t>
        </is>
      </c>
      <c r="Q400" s="15" t="inlineStr">
        <is>
          <t xml:space="preserve">Journey: The Life of Jesus | Act II: Galilee</t>
        </is>
      </c>
      <c r="R400" s="15"/>
      <c r="S400" s="15" t="inlineStr">
        <is>
          <t xml:space="preserve">SRC-07-01; SRC-07-02</t>
        </is>
      </c>
      <c r="T400" s="15"/>
      <c r="U400" s="13" t="inlineStr">
        <is>
          <t xml:space="preserve">Draft</t>
        </is>
      </c>
      <c r="V400" s="15" t="inlineStr">
        <is>
          <t xml:space="preserve">No</t>
        </is>
      </c>
      <c r="W400" s="15" t="inlineStr">
        <is>
          <t xml:space="preserve">Matthew, Mark, and Luke narrate Jesus calming a storm.</t>
        </is>
      </c>
    </row>
    <row r="401" ht="34" customHeight="1">
      <c r="A401" s="15" t="inlineStr">
        <is>
          <t xml:space="preserve">v0.7</t>
        </is>
      </c>
      <c r="B401" s="15" t="inlineStr">
        <is>
          <t xml:space="preserve">Bible_Journey_Canon_Map_v0_7_Gospel_Chronology.xlsx</t>
        </is>
      </c>
      <c r="C401" s="15" t="inlineStr">
        <is>
          <t xml:space="preserve">CRS-07-038</t>
        </is>
      </c>
      <c r="D401" s="15">
        <v>38</v>
      </c>
      <c r="E401" s="15">
        <v>7</v>
      </c>
      <c r="F401" s="15" t="inlineStr">
        <is>
          <t xml:space="preserve">Canonical Reading Set</t>
        </is>
      </c>
      <c r="G401" s="15" t="inlineStr">
        <is>
          <t xml:space="preserve">Gospels / Ministry of Jesus</t>
        </is>
      </c>
      <c r="H401" s="15"/>
      <c r="I401" s="15" t="inlineStr">
        <is>
          <t xml:space="preserve">Healing of the Gerasene/Gadarene demoniac</t>
        </is>
      </c>
      <c r="J401" s="15"/>
      <c r="K401" s="15" t="inlineStr">
        <is>
          <t xml:space="preserve">High confidence</t>
        </is>
      </c>
      <c r="L401" s="15" t="inlineStr">
        <is>
          <t xml:space="preserve">Probable</t>
        </is>
      </c>
      <c r="M401" s="15" t="inlineStr">
        <is>
          <t xml:space="preserve">Galilean ministry</t>
        </is>
      </c>
      <c r="N401" s="15" t="inlineStr">
        <is>
          <t xml:space="preserve">Read Mark 5:1-20, Matthew 8:28-34, and Luke 8:26-39.</t>
        </is>
      </c>
      <c r="O401" s="15" t="inlineStr">
        <is>
          <t xml:space="preserve">Read Mark 5:1-20; parallel accounts remain visible.</t>
        </is>
      </c>
      <c r="P401" s="15" t="inlineStr">
        <is>
          <t xml:space="preserve">Compare Accounts: healing in Gentile territory.</t>
        </is>
      </c>
      <c r="Q401" s="15" t="inlineStr">
        <is>
          <t xml:space="preserve">Journey: The Life of Jesus | Act II: Galilee</t>
        </is>
      </c>
      <c r="R401" s="15"/>
      <c r="S401" s="15" t="inlineStr">
        <is>
          <t xml:space="preserve">SRC-07-01; SRC-07-02</t>
        </is>
      </c>
      <c r="T401" s="15"/>
      <c r="U401" s="13" t="inlineStr">
        <is>
          <t xml:space="preserve">Draft</t>
        </is>
      </c>
      <c r="V401" s="15" t="inlineStr">
        <is>
          <t xml:space="preserve">No</t>
        </is>
      </c>
      <c r="W401" s="15" t="inlineStr">
        <is>
          <t xml:space="preserve">Matthew, Mark, and Luke narrate a healing in Gentile territory, with notable differences in detail.</t>
        </is>
      </c>
    </row>
    <row r="402" ht="34" customHeight="1">
      <c r="A402" s="15" t="inlineStr">
        <is>
          <t xml:space="preserve">v0.7</t>
        </is>
      </c>
      <c r="B402" s="15" t="inlineStr">
        <is>
          <t xml:space="preserve">Bible_Journey_Canon_Map_v0_7_Gospel_Chronology.xlsx</t>
        </is>
      </c>
      <c r="C402" s="15" t="inlineStr">
        <is>
          <t xml:space="preserve">CRS-07-039</t>
        </is>
      </c>
      <c r="D402" s="15">
        <v>39</v>
      </c>
      <c r="E402" s="15">
        <v>7</v>
      </c>
      <c r="F402" s="15" t="inlineStr">
        <is>
          <t xml:space="preserve">Canonical Reading Set</t>
        </is>
      </c>
      <c r="G402" s="15" t="inlineStr">
        <is>
          <t xml:space="preserve">Gospels / Ministry of Jesus</t>
        </is>
      </c>
      <c r="H402" s="15"/>
      <c r="I402" s="15" t="inlineStr">
        <is>
          <t xml:space="preserve">Jairus's daughter and the woman with hemorrhage</t>
        </is>
      </c>
      <c r="J402" s="15"/>
      <c r="K402" s="15" t="inlineStr">
        <is>
          <t xml:space="preserve">High confidence</t>
        </is>
      </c>
      <c r="L402" s="15" t="inlineStr">
        <is>
          <t xml:space="preserve">Probable</t>
        </is>
      </c>
      <c r="M402" s="15" t="inlineStr">
        <is>
          <t xml:space="preserve">Galilean ministry</t>
        </is>
      </c>
      <c r="N402" s="15" t="inlineStr">
        <is>
          <t xml:space="preserve">Read Mark 5:21-43, Matthew 9:18-26, and Luke 8:40-56.</t>
        </is>
      </c>
      <c r="O402" s="15" t="inlineStr">
        <is>
          <t xml:space="preserve">Read Mark 5:21-43; parallel accounts remain visible.</t>
        </is>
      </c>
      <c r="P402" s="15" t="inlineStr">
        <is>
          <t xml:space="preserve">Compare Accounts: intertwined healings.</t>
        </is>
      </c>
      <c r="Q402" s="15" t="inlineStr">
        <is>
          <t xml:space="preserve">Journey: The Life of Jesus | Act II: Galilee</t>
        </is>
      </c>
      <c r="R402" s="15"/>
      <c r="S402" s="15" t="inlineStr">
        <is>
          <t xml:space="preserve">SRC-07-01; SRC-07-02</t>
        </is>
      </c>
      <c r="T402" s="15"/>
      <c r="U402" s="13" t="inlineStr">
        <is>
          <t xml:space="preserve">Draft</t>
        </is>
      </c>
      <c r="V402" s="15" t="inlineStr">
        <is>
          <t xml:space="preserve">No</t>
        </is>
      </c>
      <c r="W402" s="15" t="inlineStr">
        <is>
          <t xml:space="preserve">Matthew, Mark, and Luke narrate intertwined healing accounts.</t>
        </is>
      </c>
    </row>
    <row r="403" ht="34" customHeight="1">
      <c r="A403" s="15" t="inlineStr">
        <is>
          <t xml:space="preserve">v0.7</t>
        </is>
      </c>
      <c r="B403" s="15" t="inlineStr">
        <is>
          <t xml:space="preserve">Bible_Journey_Canon_Map_v0_7_Gospel_Chronology.xlsx</t>
        </is>
      </c>
      <c r="C403" s="15" t="inlineStr">
        <is>
          <t xml:space="preserve">CRS-07-040</t>
        </is>
      </c>
      <c r="D403" s="15">
        <v>40</v>
      </c>
      <c r="E403" s="15">
        <v>7</v>
      </c>
      <c r="F403" s="15" t="inlineStr">
        <is>
          <t xml:space="preserve">Canonical Reading Set</t>
        </is>
      </c>
      <c r="G403" s="15" t="inlineStr">
        <is>
          <t xml:space="preserve">Gospels / Ministry of Jesus</t>
        </is>
      </c>
      <c r="H403" s="15"/>
      <c r="I403" s="15" t="inlineStr">
        <is>
          <t xml:space="preserve">Healings and the harvest</t>
        </is>
      </c>
      <c r="J403" s="15"/>
      <c r="K403" s="15" t="inlineStr">
        <is>
          <t xml:space="preserve">High confidence</t>
        </is>
      </c>
      <c r="L403" s="15" t="inlineStr">
        <is>
          <t xml:space="preserve">Probable</t>
        </is>
      </c>
      <c r="M403" s="15" t="inlineStr">
        <is>
          <t xml:space="preserve">Galilean ministry</t>
        </is>
      </c>
      <c r="N403" s="15" t="inlineStr">
        <is>
          <t xml:space="preserve">Read Matthew 9:27-38.</t>
        </is>
      </c>
      <c r="O403" s="15" t="inlineStr">
        <is>
          <t xml:space="preserve">Read Matthew 9:27-38.</t>
        </is>
      </c>
      <c r="P403" s="15" t="inlineStr">
        <is>
          <t xml:space="preserve">Not applicable</t>
        </is>
      </c>
      <c r="Q403" s="15" t="inlineStr">
        <is>
          <t xml:space="preserve">Journey: The Life of Jesus | Act II: Galilee</t>
        </is>
      </c>
      <c r="R403" s="15"/>
      <c r="S403" s="15" t="inlineStr">
        <is>
          <t xml:space="preserve">SRC-07-01; SRC-07-03</t>
        </is>
      </c>
      <c r="T403" s="15"/>
      <c r="U403" s="13" t="inlineStr">
        <is>
          <t xml:space="preserve">Draft</t>
        </is>
      </c>
      <c r="V403" s="15" t="inlineStr">
        <is>
          <t xml:space="preserve">No</t>
        </is>
      </c>
      <c r="W403" s="15" t="inlineStr">
        <is>
          <t xml:space="preserve">Matthew preserves healings and a saying about the harvest before the mission discourse.</t>
        </is>
      </c>
    </row>
    <row r="404" ht="34" customHeight="1">
      <c r="A404" s="15" t="inlineStr">
        <is>
          <t xml:space="preserve">v0.7</t>
        </is>
      </c>
      <c r="B404" s="15" t="inlineStr">
        <is>
          <t xml:space="preserve">Bible_Journey_Canon_Map_v0_7_Gospel_Chronology.xlsx</t>
        </is>
      </c>
      <c r="C404" s="15" t="inlineStr">
        <is>
          <t xml:space="preserve">CRS-07-041</t>
        </is>
      </c>
      <c r="D404" s="15">
        <v>41</v>
      </c>
      <c r="E404" s="15">
        <v>7</v>
      </c>
      <c r="F404" s="15" t="inlineStr">
        <is>
          <t xml:space="preserve">Canonical Reading Set</t>
        </is>
      </c>
      <c r="G404" s="15" t="inlineStr">
        <is>
          <t xml:space="preserve">Gospels / Ministry of Jesus</t>
        </is>
      </c>
      <c r="H404" s="15"/>
      <c r="I404" s="15" t="inlineStr">
        <is>
          <t xml:space="preserve">Mission of the Twelve</t>
        </is>
      </c>
      <c r="J404" s="15"/>
      <c r="K404" s="15" t="inlineStr">
        <is>
          <t xml:space="preserve">High confidence</t>
        </is>
      </c>
      <c r="L404" s="15" t="inlineStr">
        <is>
          <t xml:space="preserve">Probable</t>
        </is>
      </c>
      <c r="M404" s="15" t="inlineStr">
        <is>
          <t xml:space="preserve">Galilean ministry</t>
        </is>
      </c>
      <c r="N404" s="15" t="inlineStr">
        <is>
          <t xml:space="preserve">Read Mark 6:7-13, Matthew 10:5-42, and Luke 9:1-6.</t>
        </is>
      </c>
      <c r="O404" s="15" t="inlineStr">
        <is>
          <t xml:space="preserve">Read Mark 6:7-13; expanded accounts remain visible.</t>
        </is>
      </c>
      <c r="P404" s="15" t="inlineStr">
        <is>
          <t xml:space="preserve">Compare Accounts: mission of the Twelve.</t>
        </is>
      </c>
      <c r="Q404" s="15" t="inlineStr">
        <is>
          <t xml:space="preserve">Journey: The Life of Jesus | Act II: Galilee</t>
        </is>
      </c>
      <c r="R404" s="15"/>
      <c r="S404" s="15" t="inlineStr">
        <is>
          <t xml:space="preserve">SRC-07-01; SRC-07-02</t>
        </is>
      </c>
      <c r="T404" s="15"/>
      <c r="U404" s="13" t="inlineStr">
        <is>
          <t xml:space="preserve">Draft</t>
        </is>
      </c>
      <c r="V404" s="15" t="inlineStr">
        <is>
          <t xml:space="preserve">No</t>
        </is>
      </c>
      <c r="W404" s="15" t="inlineStr">
        <is>
          <t xml:space="preserve">Matthew, Mark, and Luke narrate the sending of the Twelve; Matthew preserves a longer mission discourse.</t>
        </is>
      </c>
    </row>
    <row r="405" ht="34" customHeight="1">
      <c r="A405" s="15" t="inlineStr">
        <is>
          <t xml:space="preserve">v0.7</t>
        </is>
      </c>
      <c r="B405" s="15" t="inlineStr">
        <is>
          <t xml:space="preserve">Bible_Journey_Canon_Map_v0_7_Gospel_Chronology.xlsx</t>
        </is>
      </c>
      <c r="C405" s="15" t="inlineStr">
        <is>
          <t xml:space="preserve">CRS-07-042</t>
        </is>
      </c>
      <c r="D405" s="15">
        <v>42</v>
      </c>
      <c r="E405" s="15">
        <v>7</v>
      </c>
      <c r="F405" s="15" t="inlineStr">
        <is>
          <t xml:space="preserve">Canonical Reading Set</t>
        </is>
      </c>
      <c r="G405" s="15" t="inlineStr">
        <is>
          <t xml:space="preserve">Gospels / Ministry of Jesus</t>
        </is>
      </c>
      <c r="H405" s="15"/>
      <c r="I405" s="15" t="inlineStr">
        <is>
          <t xml:space="preserve">Death of John the Baptist</t>
        </is>
      </c>
      <c r="J405" s="15"/>
      <c r="K405" s="15" t="inlineStr">
        <is>
          <t xml:space="preserve">High confidence</t>
        </is>
      </c>
      <c r="L405" s="15" t="inlineStr">
        <is>
          <t xml:space="preserve">Probable</t>
        </is>
      </c>
      <c r="M405" s="15" t="inlineStr">
        <is>
          <t xml:space="preserve">Galilean ministry</t>
        </is>
      </c>
      <c r="N405" s="15" t="inlineStr">
        <is>
          <t xml:space="preserve">Read Mark 6:14-29, Matthew 14:1-12, and Luke 9:7-9.</t>
        </is>
      </c>
      <c r="O405" s="15" t="inlineStr">
        <is>
          <t xml:space="preserve">Read Mark 6:14-29; other accounts remain visible.</t>
        </is>
      </c>
      <c r="P405" s="15" t="inlineStr">
        <is>
          <t xml:space="preserve">Compare Accounts: death of John the Baptist.</t>
        </is>
      </c>
      <c r="Q405" s="15" t="inlineStr">
        <is>
          <t xml:space="preserve">Journey: The Life of Jesus | Act II: Galilee</t>
        </is>
      </c>
      <c r="R405" s="15"/>
      <c r="S405" s="15" t="inlineStr">
        <is>
          <t xml:space="preserve">SRC-07-01; SRC-07-02</t>
        </is>
      </c>
      <c r="T405" s="15"/>
      <c r="U405" s="13" t="inlineStr">
        <is>
          <t xml:space="preserve">Draft</t>
        </is>
      </c>
      <c r="V405" s="15" t="inlineStr">
        <is>
          <t xml:space="preserve">No</t>
        </is>
      </c>
      <c r="W405" s="15" t="inlineStr">
        <is>
          <t xml:space="preserve">Matthew, Mark, and Luke narrate or report Herod's response and John the Baptist's death.</t>
        </is>
      </c>
    </row>
    <row r="406" ht="34" customHeight="1">
      <c r="A406" s="15" t="inlineStr">
        <is>
          <t xml:space="preserve">v0.7</t>
        </is>
      </c>
      <c r="B406" s="15" t="inlineStr">
        <is>
          <t xml:space="preserve">Bible_Journey_Canon_Map_v0_7_Gospel_Chronology.xlsx</t>
        </is>
      </c>
      <c r="C406" s="15" t="inlineStr">
        <is>
          <t xml:space="preserve">CRS-07-043</t>
        </is>
      </c>
      <c r="D406" s="15">
        <v>43</v>
      </c>
      <c r="E406" s="15">
        <v>7</v>
      </c>
      <c r="F406" s="15" t="inlineStr">
        <is>
          <t xml:space="preserve">Canonical Reading Set</t>
        </is>
      </c>
      <c r="G406" s="15" t="inlineStr">
        <is>
          <t xml:space="preserve">Gospels / Ministry of Jesus</t>
        </is>
      </c>
      <c r="H406" s="15"/>
      <c r="I406" s="15" t="inlineStr">
        <is>
          <t xml:space="preserve">Nazareth rejection in Matthew and Mark</t>
        </is>
      </c>
      <c r="J406" s="15"/>
      <c r="K406" s="15" t="inlineStr">
        <is>
          <t xml:space="preserve">High confidence</t>
        </is>
      </c>
      <c r="L406" s="15" t="inlineStr">
        <is>
          <t xml:space="preserve">Probable</t>
        </is>
      </c>
      <c r="M406" s="15" t="inlineStr">
        <is>
          <t xml:space="preserve">Galilean ministry</t>
        </is>
      </c>
      <c r="N406" s="15" t="inlineStr">
        <is>
          <t xml:space="preserve">Read Mark 6:1-6 and Matthew 13:53-58.</t>
        </is>
      </c>
      <c r="O406" s="15" t="inlineStr">
        <is>
          <t xml:space="preserve">Read Mark 6:1-6; Matthew remains visible.</t>
        </is>
      </c>
      <c r="P406" s="15" t="inlineStr">
        <is>
          <t xml:space="preserve">Compare Accounts: Nazareth rejection. Link Luke 4 as related, not automatically identical.</t>
        </is>
      </c>
      <c r="Q406" s="15" t="inlineStr">
        <is>
          <t xml:space="preserve">Journey: The Life of Jesus | Act II: Galilee</t>
        </is>
      </c>
      <c r="R406" s="15"/>
      <c r="S406" s="15" t="inlineStr">
        <is>
          <t xml:space="preserve">SRC-07-01; SRC-07-02</t>
        </is>
      </c>
      <c r="T406" s="15"/>
      <c r="U406" s="13" t="inlineStr">
        <is>
          <t xml:space="preserve">Draft</t>
        </is>
      </c>
      <c r="V406" s="15" t="inlineStr">
        <is>
          <t xml:space="preserve">Yes</t>
        </is>
      </c>
      <c r="W406" s="15" t="inlineStr">
        <is>
          <t xml:space="preserve">Matthew and Mark narrate a rejection in Nazareth; relation to Luke 4 remains an explicit open question.</t>
        </is>
      </c>
    </row>
    <row r="407" ht="34" customHeight="1">
      <c r="A407" s="15" t="inlineStr">
        <is>
          <t xml:space="preserve">v0.7</t>
        </is>
      </c>
      <c r="B407" s="15" t="inlineStr">
        <is>
          <t xml:space="preserve">Bible_Journey_Canon_Map_v0_7_Gospel_Chronology.xlsx</t>
        </is>
      </c>
      <c r="C407" s="15" t="inlineStr">
        <is>
          <t xml:space="preserve">CRS-07-044</t>
        </is>
      </c>
      <c r="D407" s="15">
        <v>44</v>
      </c>
      <c r="E407" s="15">
        <v>7</v>
      </c>
      <c r="F407" s="15" t="inlineStr">
        <is>
          <t xml:space="preserve">Canonical Reading Set</t>
        </is>
      </c>
      <c r="G407" s="15" t="inlineStr">
        <is>
          <t xml:space="preserve">Gospels / Ministry of Jesus</t>
        </is>
      </c>
      <c r="H407" s="15"/>
      <c r="I407" s="15" t="inlineStr">
        <is>
          <t xml:space="preserve">Feeding of the five thousand</t>
        </is>
      </c>
      <c r="J407" s="15"/>
      <c r="K407" s="15" t="inlineStr">
        <is>
          <t xml:space="preserve">High confidence</t>
        </is>
      </c>
      <c r="L407" s="15" t="inlineStr">
        <is>
          <t xml:space="preserve">High confidence</t>
        </is>
      </c>
      <c r="M407" s="15" t="inlineStr">
        <is>
          <t xml:space="preserve">Galilean ministry</t>
        </is>
      </c>
      <c r="N407" s="15" t="inlineStr">
        <is>
          <t xml:space="preserve">Read Mark 6:30-44, Matthew 14:13-21, Luke 9:10-17, and John 6:1-15.</t>
        </is>
      </c>
      <c r="O407" s="15" t="inlineStr">
        <is>
          <t xml:space="preserve">Read Mark 6:30-44; other accounts remain visible, followed by John 6:22-71.</t>
        </is>
      </c>
      <c r="P407" s="15" t="inlineStr">
        <is>
          <t xml:space="preserve">Compare Accounts: four-Gospel feeding narrative.</t>
        </is>
      </c>
      <c r="Q407" s="15" t="inlineStr">
        <is>
          <t xml:space="preserve">Journey: The Life of Jesus | Act II: Galilee</t>
        </is>
      </c>
      <c r="R407" s="15"/>
      <c r="S407" s="15" t="inlineStr">
        <is>
          <t xml:space="preserve">SRC-07-02; SRC-07-03</t>
        </is>
      </c>
      <c r="T407" s="15"/>
      <c r="U407" s="13" t="inlineStr">
        <is>
          <t xml:space="preserve">Draft</t>
        </is>
      </c>
      <c r="V407" s="15" t="inlineStr">
        <is>
          <t xml:space="preserve">No</t>
        </is>
      </c>
      <c r="W407" s="15" t="inlineStr">
        <is>
          <t xml:space="preserve">All four Gospels narrate the feeding of a multitude; this is one of the strongest four-Gospel comparison sets.</t>
        </is>
      </c>
    </row>
    <row r="408" ht="34" customHeight="1">
      <c r="A408" s="15" t="inlineStr">
        <is>
          <t xml:space="preserve">v0.7</t>
        </is>
      </c>
      <c r="B408" s="15" t="inlineStr">
        <is>
          <t xml:space="preserve">Bible_Journey_Canon_Map_v0_7_Gospel_Chronology.xlsx</t>
        </is>
      </c>
      <c r="C408" s="15" t="inlineStr">
        <is>
          <t xml:space="preserve">CRS-07-045</t>
        </is>
      </c>
      <c r="D408" s="15">
        <v>45</v>
      </c>
      <c r="E408" s="15">
        <v>7</v>
      </c>
      <c r="F408" s="15" t="inlineStr">
        <is>
          <t xml:space="preserve">Canonical Reading Set</t>
        </is>
      </c>
      <c r="G408" s="15" t="inlineStr">
        <is>
          <t xml:space="preserve">Gospels / Ministry of Jesus</t>
        </is>
      </c>
      <c r="H408" s="15"/>
      <c r="I408" s="15" t="inlineStr">
        <is>
          <t xml:space="preserve">Walking on the water</t>
        </is>
      </c>
      <c r="J408" s="15"/>
      <c r="K408" s="15" t="inlineStr">
        <is>
          <t xml:space="preserve">High confidence</t>
        </is>
      </c>
      <c r="L408" s="15" t="inlineStr">
        <is>
          <t xml:space="preserve">Probable</t>
        </is>
      </c>
      <c r="M408" s="15" t="inlineStr">
        <is>
          <t xml:space="preserve">Galilean ministry</t>
        </is>
      </c>
      <c r="N408" s="15" t="inlineStr">
        <is>
          <t xml:space="preserve">Read Mark 6:45-52, Matthew 14:22-33, and John 6:16-21.</t>
        </is>
      </c>
      <c r="O408" s="15" t="inlineStr">
        <is>
          <t xml:space="preserve">Read Mark 6:45-52; parallel accounts remain visible.</t>
        </is>
      </c>
      <c r="P408" s="15" t="inlineStr">
        <is>
          <t xml:space="preserve">Compare Accounts: walking on the water.</t>
        </is>
      </c>
      <c r="Q408" s="15" t="inlineStr">
        <is>
          <t xml:space="preserve">Journey: The Life of Jesus | Act II: Galilee</t>
        </is>
      </c>
      <c r="R408" s="15"/>
      <c r="S408" s="15" t="inlineStr">
        <is>
          <t xml:space="preserve">SRC-07-01; SRC-07-02</t>
        </is>
      </c>
      <c r="T408" s="15"/>
      <c r="U408" s="13" t="inlineStr">
        <is>
          <t xml:space="preserve">Draft</t>
        </is>
      </c>
      <c r="V408" s="15" t="inlineStr">
        <is>
          <t xml:space="preserve">No</t>
        </is>
      </c>
      <c r="W408" s="15" t="inlineStr">
        <is>
          <t xml:space="preserve">Matthew, Mark, and John narrate Jesus walking on the water; Matthew adds Peter's movement toward Jesus.</t>
        </is>
      </c>
    </row>
    <row r="409" ht="34" customHeight="1">
      <c r="A409" s="15" t="inlineStr">
        <is>
          <t xml:space="preserve">v0.7</t>
        </is>
      </c>
      <c r="B409" s="15" t="inlineStr">
        <is>
          <t xml:space="preserve">Bible_Journey_Canon_Map_v0_7_Gospel_Chronology.xlsx</t>
        </is>
      </c>
      <c r="C409" s="15" t="inlineStr">
        <is>
          <t xml:space="preserve">CRS-07-046</t>
        </is>
      </c>
      <c r="D409" s="15">
        <v>46</v>
      </c>
      <c r="E409" s="15">
        <v>7</v>
      </c>
      <c r="F409" s="15" t="inlineStr">
        <is>
          <t xml:space="preserve">Canonical Reading Set</t>
        </is>
      </c>
      <c r="G409" s="15" t="inlineStr">
        <is>
          <t xml:space="preserve">Gospels / Ministry of Jesus</t>
        </is>
      </c>
      <c r="H409" s="15"/>
      <c r="I409" s="15" t="inlineStr">
        <is>
          <t xml:space="preserve">Bread of Life discourse</t>
        </is>
      </c>
      <c r="J409" s="15"/>
      <c r="K409" s="15" t="inlineStr">
        <is>
          <t xml:space="preserve">High confidence</t>
        </is>
      </c>
      <c r="L409" s="15" t="inlineStr">
        <is>
          <t xml:space="preserve">Probable</t>
        </is>
      </c>
      <c r="M409" s="15" t="inlineStr">
        <is>
          <t xml:space="preserve">Galilean ministry</t>
        </is>
      </c>
      <c r="N409" s="15" t="inlineStr">
        <is>
          <t xml:space="preserve">Read John 6:22-71 after the four feeding accounts.</t>
        </is>
      </c>
      <c r="O409" s="15" t="inlineStr">
        <is>
          <t xml:space="preserve">Read John 6:22-71; unique material remains in the flow.</t>
        </is>
      </c>
      <c r="P409" s="15" t="inlineStr">
        <is>
          <t xml:space="preserve">Not applicable</t>
        </is>
      </c>
      <c r="Q409" s="15" t="inlineStr">
        <is>
          <t xml:space="preserve">Journey: The Life of Jesus | Act II: Galilee</t>
        </is>
      </c>
      <c r="R409" s="15"/>
      <c r="S409" s="15" t="inlineStr">
        <is>
          <t xml:space="preserve">SRC-07-10; SRC-07-12</t>
        </is>
      </c>
      <c r="T409" s="15"/>
      <c r="U409" s="13" t="inlineStr">
        <is>
          <t xml:space="preserve">Draft</t>
        </is>
      </c>
      <c r="V409" s="15" t="inlineStr">
        <is>
          <t xml:space="preserve">No</t>
        </is>
      </c>
      <c r="W409" s="15" t="inlineStr">
        <is>
          <t xml:space="preserve">John continues from the feeding with a distinctive discourse and reaction among disciples.</t>
        </is>
      </c>
    </row>
    <row r="410" ht="34" customHeight="1">
      <c r="A410" s="15" t="inlineStr">
        <is>
          <t xml:space="preserve">v0.7</t>
        </is>
      </c>
      <c r="B410" s="15" t="inlineStr">
        <is>
          <t xml:space="preserve">Bible_Journey_Canon_Map_v0_7_Gospel_Chronology.xlsx</t>
        </is>
      </c>
      <c r="C410" s="15" t="inlineStr">
        <is>
          <t xml:space="preserve">CRS-07-047</t>
        </is>
      </c>
      <c r="D410" s="15">
        <v>47</v>
      </c>
      <c r="E410" s="15">
        <v>7</v>
      </c>
      <c r="F410" s="15" t="inlineStr">
        <is>
          <t xml:space="preserve">Canonical Reading Set</t>
        </is>
      </c>
      <c r="G410" s="15" t="inlineStr">
        <is>
          <t xml:space="preserve">Gospels / Ministry of Jesus</t>
        </is>
      </c>
      <c r="H410" s="15"/>
      <c r="I410" s="15" t="inlineStr">
        <is>
          <t xml:space="preserve">Gennesaret healings and tradition controversy</t>
        </is>
      </c>
      <c r="J410" s="15"/>
      <c r="K410" s="15" t="inlineStr">
        <is>
          <t xml:space="preserve">High confidence</t>
        </is>
      </c>
      <c r="L410" s="15" t="inlineStr">
        <is>
          <t xml:space="preserve">Probable</t>
        </is>
      </c>
      <c r="M410" s="15" t="inlineStr">
        <is>
          <t xml:space="preserve">Galilean ministry</t>
        </is>
      </c>
      <c r="N410" s="15" t="inlineStr">
        <is>
          <t xml:space="preserve">Read Mark 6:53-7:23 and Matthew 14:34-15:20.</t>
        </is>
      </c>
      <c r="O410" s="15" t="inlineStr">
        <is>
          <t xml:space="preserve">Read Mark 6:53-7:23; Matthew remains visible.</t>
        </is>
      </c>
      <c r="P410" s="15" t="inlineStr">
        <is>
          <t xml:space="preserve">Compare Accounts: tradition controversy.</t>
        </is>
      </c>
      <c r="Q410" s="15" t="inlineStr">
        <is>
          <t xml:space="preserve">Journey: The Life of Jesus | Act II: Galilee</t>
        </is>
      </c>
      <c r="R410" s="15"/>
      <c r="S410" s="15" t="inlineStr">
        <is>
          <t xml:space="preserve">SRC-07-01; SRC-07-02</t>
        </is>
      </c>
      <c r="T410" s="15"/>
      <c r="U410" s="13" t="inlineStr">
        <is>
          <t xml:space="preserve">Draft</t>
        </is>
      </c>
      <c r="V410" s="15" t="inlineStr">
        <is>
          <t xml:space="preserve">No</t>
        </is>
      </c>
      <c r="W410" s="15" t="inlineStr">
        <is>
          <t xml:space="preserve">Matthew and Mark narrate healings at Gennesaret and a controversy about tradition.</t>
        </is>
      </c>
    </row>
    <row r="411" ht="34" customHeight="1">
      <c r="A411" s="15" t="inlineStr">
        <is>
          <t xml:space="preserve">v0.7</t>
        </is>
      </c>
      <c r="B411" s="15" t="inlineStr">
        <is>
          <t xml:space="preserve">Bible_Journey_Canon_Map_v0_7_Gospel_Chronology.xlsx</t>
        </is>
      </c>
      <c r="C411" s="15" t="inlineStr">
        <is>
          <t xml:space="preserve">CRS-07-048</t>
        </is>
      </c>
      <c r="D411" s="15">
        <v>48</v>
      </c>
      <c r="E411" s="15">
        <v>7</v>
      </c>
      <c r="F411" s="15" t="inlineStr">
        <is>
          <t xml:space="preserve">Canonical Reading Set</t>
        </is>
      </c>
      <c r="G411" s="15" t="inlineStr">
        <is>
          <t xml:space="preserve">Gospels / Ministry of Jesus</t>
        </is>
      </c>
      <c r="H411" s="15"/>
      <c r="I411" s="15" t="inlineStr">
        <is>
          <t xml:space="preserve">Syrophoenician woman and Decapolis healings</t>
        </is>
      </c>
      <c r="J411" s="15"/>
      <c r="K411" s="15" t="inlineStr">
        <is>
          <t xml:space="preserve">High confidence</t>
        </is>
      </c>
      <c r="L411" s="15" t="inlineStr">
        <is>
          <t xml:space="preserve">Probable</t>
        </is>
      </c>
      <c r="M411" s="15" t="inlineStr">
        <is>
          <t xml:space="preserve">Northern / Gentile regions</t>
        </is>
      </c>
      <c r="N411" s="15" t="inlineStr">
        <is>
          <t xml:space="preserve">Read Mark 7:24-37 and Matthew 15:21-31.</t>
        </is>
      </c>
      <c r="O411" s="15" t="inlineStr">
        <is>
          <t xml:space="preserve">Read Mark 7:24-37; Matthew remains visible.</t>
        </is>
      </c>
      <c r="P411" s="15" t="inlineStr">
        <is>
          <t xml:space="preserve">Compare Accounts: Syrophoenician/Canaanite woman.</t>
        </is>
      </c>
      <c r="Q411" s="15" t="inlineStr">
        <is>
          <t xml:space="preserve">Journey: The Life of Jesus | Act II: Galilee</t>
        </is>
      </c>
      <c r="R411" s="15"/>
      <c r="S411" s="15" t="inlineStr">
        <is>
          <t xml:space="preserve">SRC-07-01; SRC-07-02</t>
        </is>
      </c>
      <c r="T411" s="15"/>
      <c r="U411" s="13" t="inlineStr">
        <is>
          <t xml:space="preserve">Draft</t>
        </is>
      </c>
      <c r="V411" s="15" t="inlineStr">
        <is>
          <t xml:space="preserve">No</t>
        </is>
      </c>
      <c r="W411" s="15" t="inlineStr">
        <is>
          <t xml:space="preserve">Matthew and Mark narrate a Gentile-region encounter; Mark adds a distinctive healing in the Decapolis.</t>
        </is>
      </c>
    </row>
    <row r="412" ht="34" customHeight="1">
      <c r="A412" s="15" t="inlineStr">
        <is>
          <t xml:space="preserve">v0.7</t>
        </is>
      </c>
      <c r="B412" s="15" t="inlineStr">
        <is>
          <t xml:space="preserve">Bible_Journey_Canon_Map_v0_7_Gospel_Chronology.xlsx</t>
        </is>
      </c>
      <c r="C412" s="15" t="inlineStr">
        <is>
          <t xml:space="preserve">CRS-07-049</t>
        </is>
      </c>
      <c r="D412" s="15">
        <v>49</v>
      </c>
      <c r="E412" s="15">
        <v>7</v>
      </c>
      <c r="F412" s="15" t="inlineStr">
        <is>
          <t xml:space="preserve">Canonical Reading Set</t>
        </is>
      </c>
      <c r="G412" s="15" t="inlineStr">
        <is>
          <t xml:space="preserve">Gospels / Ministry of Jesus</t>
        </is>
      </c>
      <c r="H412" s="15"/>
      <c r="I412" s="15" t="inlineStr">
        <is>
          <t xml:space="preserve">Feeding of the four thousand</t>
        </is>
      </c>
      <c r="J412" s="15"/>
      <c r="K412" s="15" t="inlineStr">
        <is>
          <t xml:space="preserve">High confidence</t>
        </is>
      </c>
      <c r="L412" s="15" t="inlineStr">
        <is>
          <t xml:space="preserve">Probable</t>
        </is>
      </c>
      <c r="M412" s="15" t="inlineStr">
        <is>
          <t xml:space="preserve">Northern / Gentile regions</t>
        </is>
      </c>
      <c r="N412" s="15" t="inlineStr">
        <is>
          <t xml:space="preserve">Read Mark 8:1-10 and Matthew 15:32-39.</t>
        </is>
      </c>
      <c r="O412" s="15" t="inlineStr">
        <is>
          <t xml:space="preserve">Read Mark 8:1-10; Matthew remains visible.</t>
        </is>
      </c>
      <c r="P412" s="15" t="inlineStr">
        <is>
          <t xml:space="preserve">Compare Accounts: feeding of four thousand.</t>
        </is>
      </c>
      <c r="Q412" s="15" t="inlineStr">
        <is>
          <t xml:space="preserve">Journey: The Life of Jesus | Act II: Galilee</t>
        </is>
      </c>
      <c r="R412" s="15"/>
      <c r="S412" s="15" t="inlineStr">
        <is>
          <t xml:space="preserve">SRC-07-01; SRC-07-02</t>
        </is>
      </c>
      <c r="T412" s="15"/>
      <c r="U412" s="13" t="inlineStr">
        <is>
          <t xml:space="preserve">Draft</t>
        </is>
      </c>
      <c r="V412" s="15" t="inlineStr">
        <is>
          <t xml:space="preserve">No</t>
        </is>
      </c>
      <c r="W412" s="15" t="inlineStr">
        <is>
          <t xml:space="preserve">Matthew and Mark narrate the feeding of four thousand.</t>
        </is>
      </c>
    </row>
    <row r="413" ht="34" customHeight="1">
      <c r="A413" s="15" t="inlineStr">
        <is>
          <t xml:space="preserve">v0.7</t>
        </is>
      </c>
      <c r="B413" s="15" t="inlineStr">
        <is>
          <t xml:space="preserve">Bible_Journey_Canon_Map_v0_7_Gospel_Chronology.xlsx</t>
        </is>
      </c>
      <c r="C413" s="15" t="inlineStr">
        <is>
          <t xml:space="preserve">CRS-07-050</t>
        </is>
      </c>
      <c r="D413" s="15">
        <v>50</v>
      </c>
      <c r="E413" s="15">
        <v>7</v>
      </c>
      <c r="F413" s="15" t="inlineStr">
        <is>
          <t xml:space="preserve">Canonical Reading Set</t>
        </is>
      </c>
      <c r="G413" s="15" t="inlineStr">
        <is>
          <t xml:space="preserve">Gospels / Ministry of Jesus</t>
        </is>
      </c>
      <c r="H413" s="15"/>
      <c r="I413" s="15" t="inlineStr">
        <is>
          <t xml:space="preserve">Demand for a sign, yeast warning, and Bethsaida healing</t>
        </is>
      </c>
      <c r="J413" s="15"/>
      <c r="K413" s="15" t="inlineStr">
        <is>
          <t xml:space="preserve">High confidence</t>
        </is>
      </c>
      <c r="L413" s="15" t="inlineStr">
        <is>
          <t xml:space="preserve">Probable</t>
        </is>
      </c>
      <c r="M413" s="15" t="inlineStr">
        <is>
          <t xml:space="preserve">Northern ministry</t>
        </is>
      </c>
      <c r="N413" s="15" t="inlineStr">
        <is>
          <t xml:space="preserve">Read Mark 8:11-26 and Matthew 16:1-12.</t>
        </is>
      </c>
      <c r="O413" s="15" t="inlineStr">
        <is>
          <t xml:space="preserve">Read Mark 8:11-26; Matthew remains visible.</t>
        </is>
      </c>
      <c r="P413" s="15" t="inlineStr">
        <is>
          <t xml:space="preserve">Compare Accounts: sign/yeast controversy; Mark's Bethsaida healing remains unique.</t>
        </is>
      </c>
      <c r="Q413" s="15" t="inlineStr">
        <is>
          <t xml:space="preserve">Journey: The Life of Jesus | Act II: Galilee</t>
        </is>
      </c>
      <c r="R413" s="15"/>
      <c r="S413" s="15" t="inlineStr">
        <is>
          <t xml:space="preserve">SRC-07-01; SRC-07-02</t>
        </is>
      </c>
      <c r="T413" s="15"/>
      <c r="U413" s="13" t="inlineStr">
        <is>
          <t xml:space="preserve">Draft</t>
        </is>
      </c>
      <c r="V413" s="15" t="inlineStr">
        <is>
          <t xml:space="preserve">No</t>
        </is>
      </c>
      <c r="W413" s="15" t="inlineStr">
        <is>
          <t xml:space="preserve">Mark and Matthew narrate sign/yeast controversies; Mark adds the healing at Bethsaida.</t>
        </is>
      </c>
    </row>
    <row r="414" ht="34" customHeight="1">
      <c r="A414" s="15" t="inlineStr">
        <is>
          <t xml:space="preserve">v0.7</t>
        </is>
      </c>
      <c r="B414" s="15" t="inlineStr">
        <is>
          <t xml:space="preserve">Bible_Journey_Canon_Map_v0_7_Gospel_Chronology.xlsx</t>
        </is>
      </c>
      <c r="C414" s="15" t="inlineStr">
        <is>
          <t xml:space="preserve">CRS-07-051</t>
        </is>
      </c>
      <c r="D414" s="15">
        <v>51</v>
      </c>
      <c r="E414" s="15">
        <v>7</v>
      </c>
      <c r="F414" s="15" t="inlineStr">
        <is>
          <t xml:space="preserve">Canonical Reading Set</t>
        </is>
      </c>
      <c r="G414" s="15" t="inlineStr">
        <is>
          <t xml:space="preserve">Gospels / Ministry of Jesus</t>
        </is>
      </c>
      <c r="H414" s="15"/>
      <c r="I414" s="15" t="inlineStr">
        <is>
          <t xml:space="preserve">Peter's confession and first passion prediction</t>
        </is>
      </c>
      <c r="J414" s="15"/>
      <c r="K414" s="15" t="inlineStr">
        <is>
          <t xml:space="preserve">High confidence</t>
        </is>
      </c>
      <c r="L414" s="15" t="inlineStr">
        <is>
          <t xml:space="preserve">Probable</t>
        </is>
      </c>
      <c r="M414" s="15" t="inlineStr">
        <is>
          <t xml:space="preserve">Caesarea Philippi / turning point</t>
        </is>
      </c>
      <c r="N414" s="15" t="inlineStr">
        <is>
          <t xml:space="preserve">Read Mark 8:27-9:1, Matthew 16:13-28, and Luke 9:18-27.</t>
        </is>
      </c>
      <c r="O414" s="15" t="inlineStr">
        <is>
          <t xml:space="preserve">Read Mark 8:27-9:1; parallel accounts remain visible.</t>
        </is>
      </c>
      <c r="P414" s="15" t="inlineStr">
        <is>
          <t xml:space="preserve">Compare Accounts: confession and first passion prediction.</t>
        </is>
      </c>
      <c r="Q414" s="15" t="inlineStr">
        <is>
          <t xml:space="preserve">Journey: The Life of Jesus | Act III: Turning Point</t>
        </is>
      </c>
      <c r="R414" s="15"/>
      <c r="S414" s="15" t="inlineStr">
        <is>
          <t xml:space="preserve">SRC-07-01; SRC-07-02</t>
        </is>
      </c>
      <c r="T414" s="15"/>
      <c r="U414" s="13" t="inlineStr">
        <is>
          <t xml:space="preserve">Draft</t>
        </is>
      </c>
      <c r="V414" s="15" t="inlineStr">
        <is>
          <t xml:space="preserve">No</t>
        </is>
      </c>
      <c r="W414" s="15" t="inlineStr">
        <is>
          <t xml:space="preserve">Matthew, Mark, and Luke narrate Peter's confession and a passion prediction.</t>
        </is>
      </c>
    </row>
    <row r="415" ht="34" customHeight="1">
      <c r="A415" s="15" t="inlineStr">
        <is>
          <t xml:space="preserve">v0.7</t>
        </is>
      </c>
      <c r="B415" s="15" t="inlineStr">
        <is>
          <t xml:space="preserve">Bible_Journey_Canon_Map_v0_7_Gospel_Chronology.xlsx</t>
        </is>
      </c>
      <c r="C415" s="15" t="inlineStr">
        <is>
          <t xml:space="preserve">CRS-07-052</t>
        </is>
      </c>
      <c r="D415" s="15">
        <v>52</v>
      </c>
      <c r="E415" s="15">
        <v>7</v>
      </c>
      <c r="F415" s="15" t="inlineStr">
        <is>
          <t xml:space="preserve">Canonical Reading Set</t>
        </is>
      </c>
      <c r="G415" s="15" t="inlineStr">
        <is>
          <t xml:space="preserve">Gospels / Ministry of Jesus</t>
        </is>
      </c>
      <c r="H415" s="15"/>
      <c r="I415" s="15" t="inlineStr">
        <is>
          <t xml:space="preserve">Transfiguration</t>
        </is>
      </c>
      <c r="J415" s="15"/>
      <c r="K415" s="15" t="inlineStr">
        <is>
          <t xml:space="preserve">High confidence</t>
        </is>
      </c>
      <c r="L415" s="15" t="inlineStr">
        <is>
          <t xml:space="preserve">Probable</t>
        </is>
      </c>
      <c r="M415" s="15" t="inlineStr">
        <is>
          <t xml:space="preserve">Caesarea Philippi / turning point</t>
        </is>
      </c>
      <c r="N415" s="15" t="inlineStr">
        <is>
          <t xml:space="preserve">Read Mark 9:2-13, Matthew 17:1-13, and Luke 9:28-36.</t>
        </is>
      </c>
      <c r="O415" s="15" t="inlineStr">
        <is>
          <t xml:space="preserve">Read Mark 9:2-13; parallel accounts remain visible.</t>
        </is>
      </c>
      <c r="P415" s="15" t="inlineStr">
        <is>
          <t xml:space="preserve">Compare Accounts: Transfiguration.</t>
        </is>
      </c>
      <c r="Q415" s="15" t="inlineStr">
        <is>
          <t xml:space="preserve">Journey: The Life of Jesus | Act III: Turning Point</t>
        </is>
      </c>
      <c r="R415" s="15"/>
      <c r="S415" s="15" t="inlineStr">
        <is>
          <t xml:space="preserve">SRC-07-01; SRC-07-02; SRC-07-06</t>
        </is>
      </c>
      <c r="T415" s="15"/>
      <c r="U415" s="13" t="inlineStr">
        <is>
          <t xml:space="preserve">Draft</t>
        </is>
      </c>
      <c r="V415" s="15" t="inlineStr">
        <is>
          <t xml:space="preserve">No</t>
        </is>
      </c>
      <c r="W415" s="15" t="inlineStr">
        <is>
          <t xml:space="preserve">Matthew, Mark, and Luke narrate the Transfiguration shortly after the confession sequence.</t>
        </is>
      </c>
    </row>
    <row r="416" ht="34" customHeight="1">
      <c r="A416" s="15" t="inlineStr">
        <is>
          <t xml:space="preserve">v0.7</t>
        </is>
      </c>
      <c r="B416" s="15" t="inlineStr">
        <is>
          <t xml:space="preserve">Bible_Journey_Canon_Map_v0_7_Gospel_Chronology.xlsx</t>
        </is>
      </c>
      <c r="C416" s="15" t="inlineStr">
        <is>
          <t xml:space="preserve">CRS-07-053</t>
        </is>
      </c>
      <c r="D416" s="15">
        <v>53</v>
      </c>
      <c r="E416" s="15">
        <v>7</v>
      </c>
      <c r="F416" s="15" t="inlineStr">
        <is>
          <t xml:space="preserve">Canonical Reading Set</t>
        </is>
      </c>
      <c r="G416" s="15" t="inlineStr">
        <is>
          <t xml:space="preserve">Gospels / Ministry of Jesus</t>
        </is>
      </c>
      <c r="H416" s="15"/>
      <c r="I416" s="15" t="inlineStr">
        <is>
          <t xml:space="preserve">Healing of the boy and second passion prediction</t>
        </is>
      </c>
      <c r="J416" s="15"/>
      <c r="K416" s="15" t="inlineStr">
        <is>
          <t xml:space="preserve">High confidence</t>
        </is>
      </c>
      <c r="L416" s="15" t="inlineStr">
        <is>
          <t xml:space="preserve">Probable</t>
        </is>
      </c>
      <c r="M416" s="15" t="inlineStr">
        <is>
          <t xml:space="preserve">Turning point</t>
        </is>
      </c>
      <c r="N416" s="15" t="inlineStr">
        <is>
          <t xml:space="preserve">Read Mark 9:14-32, Matthew 17:14-23, and Luke 9:37-45.</t>
        </is>
      </c>
      <c r="O416" s="15" t="inlineStr">
        <is>
          <t xml:space="preserve">Read Mark 9:14-32; parallel accounts remain visible.</t>
        </is>
      </c>
      <c r="P416" s="15" t="inlineStr">
        <is>
          <t xml:space="preserve">Compare Accounts: healing and second prediction.</t>
        </is>
      </c>
      <c r="Q416" s="15" t="inlineStr">
        <is>
          <t xml:space="preserve">Journey: The Life of Jesus | Act III: Turning Point</t>
        </is>
      </c>
      <c r="R416" s="15"/>
      <c r="S416" s="15" t="inlineStr">
        <is>
          <t xml:space="preserve">SRC-07-01; SRC-07-02</t>
        </is>
      </c>
      <c r="T416" s="15"/>
      <c r="U416" s="13" t="inlineStr">
        <is>
          <t xml:space="preserve">Draft</t>
        </is>
      </c>
      <c r="V416" s="15" t="inlineStr">
        <is>
          <t xml:space="preserve">No</t>
        </is>
      </c>
      <c r="W416" s="15" t="inlineStr">
        <is>
          <t xml:space="preserve">Matthew, Mark, and Luke narrate the healing of a boy and a second prediction of suffering.</t>
        </is>
      </c>
    </row>
    <row r="417" ht="34" customHeight="1">
      <c r="A417" s="15" t="inlineStr">
        <is>
          <t xml:space="preserve">v0.7</t>
        </is>
      </c>
      <c r="B417" s="15" t="inlineStr">
        <is>
          <t xml:space="preserve">Bible_Journey_Canon_Map_v0_7_Gospel_Chronology.xlsx</t>
        </is>
      </c>
      <c r="C417" s="15" t="inlineStr">
        <is>
          <t xml:space="preserve">CRS-07-054</t>
        </is>
      </c>
      <c r="D417" s="15">
        <v>54</v>
      </c>
      <c r="E417" s="15">
        <v>7</v>
      </c>
      <c r="F417" s="15" t="inlineStr">
        <is>
          <t xml:space="preserve">Canonical Reading Set</t>
        </is>
      </c>
      <c r="G417" s="15" t="inlineStr">
        <is>
          <t xml:space="preserve">Gospels / Ministry of Jesus</t>
        </is>
      </c>
      <c r="H417" s="15"/>
      <c r="I417" s="15" t="inlineStr">
        <is>
          <t xml:space="preserve">Community, greatness, and forgiveness teaching</t>
        </is>
      </c>
      <c r="J417" s="15"/>
      <c r="K417" s="15" t="inlineStr">
        <is>
          <t xml:space="preserve">Probable</t>
        </is>
      </c>
      <c r="L417" s="15" t="inlineStr">
        <is>
          <t xml:space="preserve">Probable</t>
        </is>
      </c>
      <c r="M417" s="15" t="inlineStr">
        <is>
          <t xml:space="preserve">Turning point / Capernaum</t>
        </is>
      </c>
      <c r="N417" s="15" t="inlineStr">
        <is>
          <t xml:space="preserve">Read all linked teaching blocks in Gospel form.</t>
        </is>
      </c>
      <c r="O417" s="15" t="inlineStr">
        <is>
          <t xml:space="preserve">Read Matthew 17:24-18:35; Mark and Luke remain visible.</t>
        </is>
      </c>
      <c r="P417" s="15" t="inlineStr">
        <is>
          <t xml:space="preserve">Compare Accounts: related community and greatness teachings.</t>
        </is>
      </c>
      <c r="Q417" s="15" t="inlineStr">
        <is>
          <t xml:space="preserve">Journey: The Life of Jesus | Act III: Turning Point</t>
        </is>
      </c>
      <c r="R417" s="15"/>
      <c r="S417" s="15" t="inlineStr">
        <is>
          <t xml:space="preserve">SRC-07-01; SRC-07-02</t>
        </is>
      </c>
      <c r="T417" s="15"/>
      <c r="U417" s="13" t="inlineStr">
        <is>
          <t xml:space="preserve">Draft</t>
        </is>
      </c>
      <c r="V417" s="15" t="inlineStr">
        <is>
          <t xml:space="preserve">No</t>
        </is>
      </c>
      <c r="W417" s="15" t="inlineStr">
        <is>
          <t xml:space="preserve">Treat as related teaching cluster, not one-to-one event.</t>
        </is>
      </c>
    </row>
    <row r="418" ht="34" customHeight="1">
      <c r="A418" s="15" t="inlineStr">
        <is>
          <t xml:space="preserve">v0.7</t>
        </is>
      </c>
      <c r="B418" s="15" t="inlineStr">
        <is>
          <t xml:space="preserve">Bible_Journey_Canon_Map_v0_7_Gospel_Chronology.xlsx</t>
        </is>
      </c>
      <c r="C418" s="15" t="inlineStr">
        <is>
          <t xml:space="preserve">CRS-07-055</t>
        </is>
      </c>
      <c r="D418" s="15">
        <v>55</v>
      </c>
      <c r="E418" s="15">
        <v>7</v>
      </c>
      <c r="F418" s="15" t="inlineStr">
        <is>
          <t xml:space="preserve">Canonical Reading Set</t>
        </is>
      </c>
      <c r="G418" s="15" t="inlineStr">
        <is>
          <t xml:space="preserve">Gospels / Ministry of Jesus</t>
        </is>
      </c>
      <c r="H418" s="15"/>
      <c r="I418" s="15" t="inlineStr">
        <is>
          <t xml:space="preserve">Feast of Tabernacles in John</t>
        </is>
      </c>
      <c r="J418" s="15"/>
      <c r="K418" s="15" t="inlineStr">
        <is>
          <t xml:space="preserve">High confidence</t>
        </is>
      </c>
      <c r="L418" s="15" t="inlineStr">
        <is>
          <t xml:space="preserve">Probable</t>
        </is>
      </c>
      <c r="M418" s="15" t="inlineStr">
        <is>
          <t xml:space="preserve">Jerusalem festival ministry</t>
        </is>
      </c>
      <c r="N418" s="15" t="inlineStr">
        <is>
          <t xml:space="preserve">Read John 7:1-52.</t>
        </is>
      </c>
      <c r="O418" s="15" t="inlineStr">
        <is>
          <t xml:space="preserve">Read John 7:1-52.</t>
        </is>
      </c>
      <c r="P418" s="15" t="inlineStr">
        <is>
          <t xml:space="preserve">Not applicable</t>
        </is>
      </c>
      <c r="Q418" s="15" t="inlineStr">
        <is>
          <t xml:space="preserve">Journey: The Life of Jesus | Act III: Turning Point</t>
        </is>
      </c>
      <c r="R418" s="15"/>
      <c r="S418" s="15" t="inlineStr">
        <is>
          <t xml:space="preserve">SRC-07-10</t>
        </is>
      </c>
      <c r="T418" s="15"/>
      <c r="U418" s="13" t="inlineStr">
        <is>
          <t xml:space="preserve">Draft</t>
        </is>
      </c>
      <c r="V418" s="15" t="inlineStr">
        <is>
          <t xml:space="preserve">No</t>
        </is>
      </c>
      <c r="W418" s="15" t="inlineStr">
        <is>
          <t xml:space="preserve">John narrates Jesus at the Feast of Tabernacles and escalating debate in Jerusalem.</t>
        </is>
      </c>
    </row>
    <row r="419" ht="34" customHeight="1">
      <c r="A419" s="15" t="inlineStr">
        <is>
          <t xml:space="preserve">v0.7</t>
        </is>
      </c>
      <c r="B419" s="15" t="inlineStr">
        <is>
          <t xml:space="preserve">Bible_Journey_Canon_Map_v0_7_Gospel_Chronology.xlsx</t>
        </is>
      </c>
      <c r="C419" s="15" t="inlineStr">
        <is>
          <t xml:space="preserve">CRS-07-056</t>
        </is>
      </c>
      <c r="D419" s="15">
        <v>56</v>
      </c>
      <c r="E419" s="15">
        <v>7</v>
      </c>
      <c r="F419" s="15" t="inlineStr">
        <is>
          <t xml:space="preserve">Canonical Reading Set</t>
        </is>
      </c>
      <c r="G419" s="15" t="inlineStr">
        <is>
          <t xml:space="preserve">Gospels / Ministry of Jesus</t>
        </is>
      </c>
      <c r="H419" s="15"/>
      <c r="I419" s="15" t="inlineStr">
        <is>
          <t xml:space="preserve">Woman caught in adultery and debate in John</t>
        </is>
      </c>
      <c r="J419" s="15"/>
      <c r="K419" s="15" t="inlineStr">
        <is>
          <t xml:space="preserve">High confidence</t>
        </is>
      </c>
      <c r="L419" s="15" t="inlineStr">
        <is>
          <t xml:space="preserve">Probable</t>
        </is>
      </c>
      <c r="M419" s="15" t="inlineStr">
        <is>
          <t xml:space="preserve">Jerusalem festival ministry</t>
        </is>
      </c>
      <c r="N419" s="15" t="inlineStr">
        <is>
          <t xml:space="preserve">Read both blocks; surface textual note without altering translation text.</t>
        </is>
      </c>
      <c r="O419" s="15" t="inlineStr">
        <is>
          <t xml:space="preserve">Read John 8:12-59; offer John 7:53-8:11 according to selected translation treatment.</t>
        </is>
      </c>
      <c r="P419" s="15" t="inlineStr">
        <is>
          <t xml:space="preserve">Not applicable</t>
        </is>
      </c>
      <c r="Q419" s="15" t="inlineStr">
        <is>
          <t xml:space="preserve">Journey: The Life of Jesus | Act III: Turning Point</t>
        </is>
      </c>
      <c r="R419" s="15"/>
      <c r="S419" s="15" t="inlineStr">
        <is>
          <t xml:space="preserve">SRC-07-07; SRC-07-10</t>
        </is>
      </c>
      <c r="T419" s="15"/>
      <c r="U419" s="13" t="inlineStr">
        <is>
          <t xml:space="preserve">Draft</t>
        </is>
      </c>
      <c r="V419" s="15" t="inlineStr">
        <is>
          <t xml:space="preserve">Yes</t>
        </is>
      </c>
      <c r="W419" s="15" t="inlineStr">
        <is>
          <t xml:space="preserve">Textual-critical presentation must honor licensed translation.</t>
        </is>
      </c>
    </row>
    <row r="420" ht="34" customHeight="1">
      <c r="A420" s="15" t="inlineStr">
        <is>
          <t xml:space="preserve">v0.7</t>
        </is>
      </c>
      <c r="B420" s="15" t="inlineStr">
        <is>
          <t xml:space="preserve">Bible_Journey_Canon_Map_v0_7_Gospel_Chronology.xlsx</t>
        </is>
      </c>
      <c r="C420" s="15" t="inlineStr">
        <is>
          <t xml:space="preserve">CRS-07-057</t>
        </is>
      </c>
      <c r="D420" s="15">
        <v>57</v>
      </c>
      <c r="E420" s="15">
        <v>7</v>
      </c>
      <c r="F420" s="15" t="inlineStr">
        <is>
          <t xml:space="preserve">Canonical Reading Set</t>
        </is>
      </c>
      <c r="G420" s="15" t="inlineStr">
        <is>
          <t xml:space="preserve">Gospels / Ministry of Jesus</t>
        </is>
      </c>
      <c r="H420" s="15"/>
      <c r="I420" s="15" t="inlineStr">
        <is>
          <t xml:space="preserve">Man born blind</t>
        </is>
      </c>
      <c r="J420" s="15"/>
      <c r="K420" s="15" t="inlineStr">
        <is>
          <t xml:space="preserve">High confidence</t>
        </is>
      </c>
      <c r="L420" s="15" t="inlineStr">
        <is>
          <t xml:space="preserve">Probable</t>
        </is>
      </c>
      <c r="M420" s="15" t="inlineStr">
        <is>
          <t xml:space="preserve">Jerusalem festival ministry</t>
        </is>
      </c>
      <c r="N420" s="15" t="inlineStr">
        <is>
          <t xml:space="preserve">Read John 9.</t>
        </is>
      </c>
      <c r="O420" s="15" t="inlineStr">
        <is>
          <t xml:space="preserve">Read John 9.</t>
        </is>
      </c>
      <c r="P420" s="15" t="inlineStr">
        <is>
          <t xml:space="preserve">Not applicable</t>
        </is>
      </c>
      <c r="Q420" s="15" t="inlineStr">
        <is>
          <t xml:space="preserve">Journey: The Life of Jesus | Act III: Turning Point</t>
        </is>
      </c>
      <c r="R420" s="15"/>
      <c r="S420" s="15" t="inlineStr">
        <is>
          <t xml:space="preserve">SRC-07-10</t>
        </is>
      </c>
      <c r="T420" s="15"/>
      <c r="U420" s="13" t="inlineStr">
        <is>
          <t xml:space="preserve">Draft</t>
        </is>
      </c>
      <c r="V420" s="15" t="inlineStr">
        <is>
          <t xml:space="preserve">No</t>
        </is>
      </c>
      <c r="W420" s="15" t="inlineStr">
        <is>
          <t xml:space="preserve">John narrates the healing of a man born blind and an extended dispute.</t>
        </is>
      </c>
    </row>
    <row r="421" ht="34" customHeight="1">
      <c r="A421" s="15" t="inlineStr">
        <is>
          <t xml:space="preserve">v0.7</t>
        </is>
      </c>
      <c r="B421" s="15" t="inlineStr">
        <is>
          <t xml:space="preserve">Bible_Journey_Canon_Map_v0_7_Gospel_Chronology.xlsx</t>
        </is>
      </c>
      <c r="C421" s="15" t="inlineStr">
        <is>
          <t xml:space="preserve">CRS-07-058</t>
        </is>
      </c>
      <c r="D421" s="15">
        <v>58</v>
      </c>
      <c r="E421" s="15">
        <v>7</v>
      </c>
      <c r="F421" s="15" t="inlineStr">
        <is>
          <t xml:space="preserve">Canonical Reading Set</t>
        </is>
      </c>
      <c r="G421" s="15" t="inlineStr">
        <is>
          <t xml:space="preserve">Gospels / Ministry of Jesus</t>
        </is>
      </c>
      <c r="H421" s="15"/>
      <c r="I421" s="15" t="inlineStr">
        <is>
          <t xml:space="preserve">Good Shepherd discourse</t>
        </is>
      </c>
      <c r="J421" s="15"/>
      <c r="K421" s="15" t="inlineStr">
        <is>
          <t xml:space="preserve">High confidence</t>
        </is>
      </c>
      <c r="L421" s="15" t="inlineStr">
        <is>
          <t xml:space="preserve">Probable</t>
        </is>
      </c>
      <c r="M421" s="15" t="inlineStr">
        <is>
          <t xml:space="preserve">Jerusalem festival ministry</t>
        </is>
      </c>
      <c r="N421" s="15" t="inlineStr">
        <is>
          <t xml:space="preserve">Read John 10:1-21.</t>
        </is>
      </c>
      <c r="O421" s="15" t="inlineStr">
        <is>
          <t xml:space="preserve">Read John 10:1-21.</t>
        </is>
      </c>
      <c r="P421" s="15" t="inlineStr">
        <is>
          <t xml:space="preserve">Not applicable</t>
        </is>
      </c>
      <c r="Q421" s="15" t="inlineStr">
        <is>
          <t xml:space="preserve">Journey: The Life of Jesus | Act III: Turning Point</t>
        </is>
      </c>
      <c r="R421" s="15"/>
      <c r="S421" s="15" t="inlineStr">
        <is>
          <t xml:space="preserve">SRC-07-10; SRC-07-12</t>
        </is>
      </c>
      <c r="T421" s="15"/>
      <c r="U421" s="13" t="inlineStr">
        <is>
          <t xml:space="preserve">Draft</t>
        </is>
      </c>
      <c r="V421" s="15" t="inlineStr">
        <is>
          <t xml:space="preserve">No</t>
        </is>
      </c>
      <c r="W421" s="15" t="inlineStr">
        <is>
          <t xml:space="preserve">John narrates the Good Shepherd discourse following the prior dispute.</t>
        </is>
      </c>
    </row>
    <row r="422" ht="34" customHeight="1">
      <c r="A422" s="15" t="inlineStr">
        <is>
          <t xml:space="preserve">v0.7</t>
        </is>
      </c>
      <c r="B422" s="15" t="inlineStr">
        <is>
          <t xml:space="preserve">Bible_Journey_Canon_Map_v0_7_Gospel_Chronology.xlsx</t>
        </is>
      </c>
      <c r="C422" s="15" t="inlineStr">
        <is>
          <t xml:space="preserve">CRS-07-059</t>
        </is>
      </c>
      <c r="D422" s="15">
        <v>59</v>
      </c>
      <c r="E422" s="15">
        <v>7</v>
      </c>
      <c r="F422" s="15" t="inlineStr">
        <is>
          <t xml:space="preserve">Canonical Reading Set</t>
        </is>
      </c>
      <c r="G422" s="15" t="inlineStr">
        <is>
          <t xml:space="preserve">Gospels / Ministry of Jesus</t>
        </is>
      </c>
      <c r="H422" s="15"/>
      <c r="I422" s="15" t="inlineStr">
        <is>
          <t xml:space="preserve">Feast of Dedication and departure beyond the Jordan</t>
        </is>
      </c>
      <c r="J422" s="15"/>
      <c r="K422" s="15" t="inlineStr">
        <is>
          <t xml:space="preserve">High confidence</t>
        </is>
      </c>
      <c r="L422" s="15" t="inlineStr">
        <is>
          <t xml:space="preserve">Probable</t>
        </is>
      </c>
      <c r="M422" s="15" t="inlineStr">
        <is>
          <t xml:space="preserve">Jerusalem / Perea</t>
        </is>
      </c>
      <c r="N422" s="15" t="inlineStr">
        <is>
          <t xml:space="preserve">Read John 10:22-42.</t>
        </is>
      </c>
      <c r="O422" s="15" t="inlineStr">
        <is>
          <t xml:space="preserve">Read John 10:22-42.</t>
        </is>
      </c>
      <c r="P422" s="15" t="inlineStr">
        <is>
          <t xml:space="preserve">Not applicable</t>
        </is>
      </c>
      <c r="Q422" s="15" t="inlineStr">
        <is>
          <t xml:space="preserve">Journey: The Life of Jesus | Act III: Turning Point</t>
        </is>
      </c>
      <c r="R422" s="15"/>
      <c r="S422" s="15" t="inlineStr">
        <is>
          <t xml:space="preserve">SRC-07-10</t>
        </is>
      </c>
      <c r="T422" s="15"/>
      <c r="U422" s="13" t="inlineStr">
        <is>
          <t xml:space="preserve">Draft</t>
        </is>
      </c>
      <c r="V422" s="15" t="inlineStr">
        <is>
          <t xml:space="preserve">No</t>
        </is>
      </c>
      <c r="W422" s="15" t="inlineStr">
        <is>
          <t xml:space="preserve">John narrates the Feast of Dedication and a movement beyond the Jordan.</t>
        </is>
      </c>
    </row>
    <row r="423" ht="34" customHeight="1">
      <c r="A423" s="15" t="inlineStr">
        <is>
          <t xml:space="preserve">v0.7</t>
        </is>
      </c>
      <c r="B423" s="15" t="inlineStr">
        <is>
          <t xml:space="preserve">Bible_Journey_Canon_Map_v0_7_Gospel_Chronology.xlsx</t>
        </is>
      </c>
      <c r="C423" s="15" t="inlineStr">
        <is>
          <t xml:space="preserve">CRS-07-060</t>
        </is>
      </c>
      <c r="D423" s="15">
        <v>60</v>
      </c>
      <c r="E423" s="15">
        <v>7</v>
      </c>
      <c r="F423" s="15" t="inlineStr">
        <is>
          <t xml:space="preserve">Canonical Reading Set</t>
        </is>
      </c>
      <c r="G423" s="15" t="inlineStr">
        <is>
          <t xml:space="preserve">Gospels / Ministry of Jesus</t>
        </is>
      </c>
      <c r="H423" s="15"/>
      <c r="I423" s="15" t="inlineStr">
        <is>
          <t xml:space="preserve">Luke's journey toward Jerusalem begins</t>
        </is>
      </c>
      <c r="J423" s="15"/>
      <c r="K423" s="15" t="inlineStr">
        <is>
          <t xml:space="preserve">High confidence</t>
        </is>
      </c>
      <c r="L423" s="15" t="inlineStr">
        <is>
          <t xml:space="preserve">Debated</t>
        </is>
      </c>
      <c r="M423" s="15" t="inlineStr">
        <is>
          <t xml:space="preserve">Lukan travel narrative</t>
        </is>
      </c>
      <c r="N423" s="15" t="inlineStr">
        <is>
          <t xml:space="preserve">Read Luke 9:51-10:24.</t>
        </is>
      </c>
      <c r="O423" s="15" t="inlineStr">
        <is>
          <t xml:space="preserve">Read Luke 9:51-10:24.</t>
        </is>
      </c>
      <c r="P423" s="15" t="inlineStr">
        <is>
          <t xml:space="preserve">Not applicable</t>
        </is>
      </c>
      <c r="Q423" s="15" t="inlineStr">
        <is>
          <t xml:space="preserve">Journey: The Life of Jesus | Act IV: Journey to Jerusalem</t>
        </is>
      </c>
      <c r="R423" s="15"/>
      <c r="S423" s="15" t="inlineStr">
        <is>
          <t xml:space="preserve">SRC-07-01; SRC-07-03</t>
        </is>
      </c>
      <c r="T423" s="15"/>
      <c r="U423" s="13" t="inlineStr">
        <is>
          <t xml:space="preserve">Draft</t>
        </is>
      </c>
      <c r="V423" s="15" t="inlineStr">
        <is>
          <t xml:space="preserve">Yes</t>
        </is>
      </c>
      <c r="W423" s="15" t="inlineStr">
        <is>
          <t xml:space="preserve">Luke's travel narrative is not treated as a universally agreed day-by-day itinerary.</t>
        </is>
      </c>
    </row>
    <row r="424" ht="34" customHeight="1">
      <c r="A424" s="15" t="inlineStr">
        <is>
          <t xml:space="preserve">v0.7</t>
        </is>
      </c>
      <c r="B424" s="15" t="inlineStr">
        <is>
          <t xml:space="preserve">Bible_Journey_Canon_Map_v0_7_Gospel_Chronology.xlsx</t>
        </is>
      </c>
      <c r="C424" s="15" t="inlineStr">
        <is>
          <t xml:space="preserve">CRS-07-061</t>
        </is>
      </c>
      <c r="D424" s="15">
        <v>61</v>
      </c>
      <c r="E424" s="15">
        <v>7</v>
      </c>
      <c r="F424" s="15" t="inlineStr">
        <is>
          <t xml:space="preserve">Canonical Reading Set</t>
        </is>
      </c>
      <c r="G424" s="15" t="inlineStr">
        <is>
          <t xml:space="preserve">Gospels / Ministry of Jesus</t>
        </is>
      </c>
      <c r="H424" s="15"/>
      <c r="I424" s="15" t="inlineStr">
        <is>
          <t xml:space="preserve">Good Samaritan and Mary/Martha</t>
        </is>
      </c>
      <c r="J424" s="15"/>
      <c r="K424" s="15" t="inlineStr">
        <is>
          <t xml:space="preserve">High confidence</t>
        </is>
      </c>
      <c r="L424" s="15" t="inlineStr">
        <is>
          <t xml:space="preserve">Debated</t>
        </is>
      </c>
      <c r="M424" s="15" t="inlineStr">
        <is>
          <t xml:space="preserve">Lukan travel narrative</t>
        </is>
      </c>
      <c r="N424" s="15" t="inlineStr">
        <is>
          <t xml:space="preserve">Read Luke 10:25-42.</t>
        </is>
      </c>
      <c r="O424" s="15" t="inlineStr">
        <is>
          <t xml:space="preserve">Read Luke 10:25-42.</t>
        </is>
      </c>
      <c r="P424" s="15" t="inlineStr">
        <is>
          <t xml:space="preserve">Not applicable</t>
        </is>
      </c>
      <c r="Q424" s="15" t="inlineStr">
        <is>
          <t xml:space="preserve">Journey: The Life of Jesus | Act IV: Journey to Jerusalem</t>
        </is>
      </c>
      <c r="R424" s="15"/>
      <c r="S424" s="15" t="inlineStr">
        <is>
          <t xml:space="preserve">SRC-07-03</t>
        </is>
      </c>
      <c r="T424" s="15"/>
      <c r="U424" s="13" t="inlineStr">
        <is>
          <t xml:space="preserve">Draft</t>
        </is>
      </c>
      <c r="V424" s="15" t="inlineStr">
        <is>
          <t xml:space="preserve">Yes</t>
        </is>
      </c>
      <c r="W424" s="15" t="inlineStr">
        <is>
          <t xml:space="preserve">Luke narrates the Good Samaritan and Mary/Martha episodes.</t>
        </is>
      </c>
    </row>
    <row r="425" ht="34" customHeight="1">
      <c r="A425" s="15" t="inlineStr">
        <is>
          <t xml:space="preserve">v0.7</t>
        </is>
      </c>
      <c r="B425" s="15" t="inlineStr">
        <is>
          <t xml:space="preserve">Bible_Journey_Canon_Map_v0_7_Gospel_Chronology.xlsx</t>
        </is>
      </c>
      <c r="C425" s="15" t="inlineStr">
        <is>
          <t xml:space="preserve">CRS-07-062</t>
        </is>
      </c>
      <c r="D425" s="15">
        <v>62</v>
      </c>
      <c r="E425" s="15">
        <v>7</v>
      </c>
      <c r="F425" s="15" t="inlineStr">
        <is>
          <t xml:space="preserve">Canonical Reading Set</t>
        </is>
      </c>
      <c r="G425" s="15" t="inlineStr">
        <is>
          <t xml:space="preserve">Gospels / Ministry of Jesus</t>
        </is>
      </c>
      <c r="H425" s="15"/>
      <c r="I425" s="15" t="inlineStr">
        <is>
          <t xml:space="preserve">Prayer and controversy teachings in Luke</t>
        </is>
      </c>
      <c r="J425" s="15"/>
      <c r="K425" s="15" t="inlineStr">
        <is>
          <t xml:space="preserve">Probable</t>
        </is>
      </c>
      <c r="L425" s="15" t="inlineStr">
        <is>
          <t xml:space="preserve">Debated</t>
        </is>
      </c>
      <c r="M425" s="15" t="inlineStr">
        <is>
          <t xml:space="preserve">Lukan travel narrative</t>
        </is>
      </c>
      <c r="N425" s="15" t="inlineStr">
        <is>
          <t xml:space="preserve">Read Luke 11:1-13 and 11:37-54; related 11:14-36 is separately required in Complete Reading.</t>
        </is>
      </c>
      <c r="O425" s="15" t="inlineStr">
        <is>
          <t xml:space="preserve">Read Luke 11:1-13 and 11:37-54; related 11:14-36 remains visible.</t>
        </is>
      </c>
      <c r="P425" s="15" t="inlineStr">
        <is>
          <t xml:space="preserve">Not applicable</t>
        </is>
      </c>
      <c r="Q425" s="15" t="inlineStr">
        <is>
          <t xml:space="preserve">Journey: The Life of Jesus | Act IV: Journey to Jerusalem</t>
        </is>
      </c>
      <c r="R425" s="15"/>
      <c r="S425" s="15" t="inlineStr">
        <is>
          <t xml:space="preserve">SRC-07-03; SRC-07-01</t>
        </is>
      </c>
      <c r="T425" s="15"/>
      <c r="U425" s="13" t="inlineStr">
        <is>
          <t xml:space="preserve">Draft</t>
        </is>
      </c>
      <c r="V425" s="15" t="inlineStr">
        <is>
          <t xml:space="preserve">Yes</t>
        </is>
      </c>
      <c r="W425" s="15" t="inlineStr">
        <is>
          <t xml:space="preserve">Verse-level ledger must prevent duplicate coverage when Gospel order is reorganized.</t>
        </is>
      </c>
    </row>
    <row r="426" ht="34" customHeight="1">
      <c r="A426" s="15" t="inlineStr">
        <is>
          <t xml:space="preserve">v0.7</t>
        </is>
      </c>
      <c r="B426" s="15" t="inlineStr">
        <is>
          <t xml:space="preserve">Bible_Journey_Canon_Map_v0_7_Gospel_Chronology.xlsx</t>
        </is>
      </c>
      <c r="C426" s="15" t="inlineStr">
        <is>
          <t xml:space="preserve">CRS-07-063</t>
        </is>
      </c>
      <c r="D426" s="15">
        <v>63</v>
      </c>
      <c r="E426" s="15">
        <v>7</v>
      </c>
      <c r="F426" s="15" t="inlineStr">
        <is>
          <t xml:space="preserve">Canonical Reading Set</t>
        </is>
      </c>
      <c r="G426" s="15" t="inlineStr">
        <is>
          <t xml:space="preserve">Gospels / Ministry of Jesus</t>
        </is>
      </c>
      <c r="H426" s="15"/>
      <c r="I426" s="15" t="inlineStr">
        <is>
          <t xml:space="preserve">Teachings to crowds in Luke</t>
        </is>
      </c>
      <c r="J426" s="15"/>
      <c r="K426" s="15" t="inlineStr">
        <is>
          <t xml:space="preserve">High confidence</t>
        </is>
      </c>
      <c r="L426" s="15" t="inlineStr">
        <is>
          <t xml:space="preserve">Debated</t>
        </is>
      </c>
      <c r="M426" s="15" t="inlineStr">
        <is>
          <t xml:space="preserve">Lukan travel narrative</t>
        </is>
      </c>
      <c r="N426" s="15" t="inlineStr">
        <is>
          <t xml:space="preserve">Read Luke 12.</t>
        </is>
      </c>
      <c r="O426" s="15" t="inlineStr">
        <is>
          <t xml:space="preserve">Read Luke 12.</t>
        </is>
      </c>
      <c r="P426" s="15" t="inlineStr">
        <is>
          <t xml:space="preserve">Not applicable</t>
        </is>
      </c>
      <c r="Q426" s="15" t="inlineStr">
        <is>
          <t xml:space="preserve">Journey: The Life of Jesus | Act IV: Journey to Jerusalem</t>
        </is>
      </c>
      <c r="R426" s="15"/>
      <c r="S426" s="15" t="inlineStr">
        <is>
          <t xml:space="preserve">SRC-07-03</t>
        </is>
      </c>
      <c r="T426" s="15"/>
      <c r="U426" s="13" t="inlineStr">
        <is>
          <t xml:space="preserve">Draft</t>
        </is>
      </c>
      <c r="V426" s="15" t="inlineStr">
        <is>
          <t xml:space="preserve">Yes</t>
        </is>
      </c>
      <c r="W426" s="15" t="inlineStr">
        <is>
          <t xml:space="preserve">Luke 12 preserves warnings, exhortations, and parables addressed to disciples and crowds.</t>
        </is>
      </c>
    </row>
    <row r="427" ht="34" customHeight="1">
      <c r="A427" s="15" t="inlineStr">
        <is>
          <t xml:space="preserve">v0.7</t>
        </is>
      </c>
      <c r="B427" s="15" t="inlineStr">
        <is>
          <t xml:space="preserve">Bible_Journey_Canon_Map_v0_7_Gospel_Chronology.xlsx</t>
        </is>
      </c>
      <c r="C427" s="15" t="inlineStr">
        <is>
          <t xml:space="preserve">CRS-07-064</t>
        </is>
      </c>
      <c r="D427" s="15">
        <v>64</v>
      </c>
      <c r="E427" s="15">
        <v>7</v>
      </c>
      <c r="F427" s="15" t="inlineStr">
        <is>
          <t xml:space="preserve">Canonical Reading Set</t>
        </is>
      </c>
      <c r="G427" s="15" t="inlineStr">
        <is>
          <t xml:space="preserve">Gospels / Ministry of Jesus</t>
        </is>
      </c>
      <c r="H427" s="15"/>
      <c r="I427" s="15" t="inlineStr">
        <is>
          <t xml:space="preserve">Repentance, healing, and the kingdom</t>
        </is>
      </c>
      <c r="J427" s="15"/>
      <c r="K427" s="15" t="inlineStr">
        <is>
          <t xml:space="preserve">High confidence</t>
        </is>
      </c>
      <c r="L427" s="15" t="inlineStr">
        <is>
          <t xml:space="preserve">Debated</t>
        </is>
      </c>
      <c r="M427" s="15" t="inlineStr">
        <is>
          <t xml:space="preserve">Lukan travel narrative</t>
        </is>
      </c>
      <c r="N427" s="15" t="inlineStr">
        <is>
          <t xml:space="preserve">Read Luke 13.</t>
        </is>
      </c>
      <c r="O427" s="15" t="inlineStr">
        <is>
          <t xml:space="preserve">Read Luke 13.</t>
        </is>
      </c>
      <c r="P427" s="15" t="inlineStr">
        <is>
          <t xml:space="preserve">Not applicable</t>
        </is>
      </c>
      <c r="Q427" s="15" t="inlineStr">
        <is>
          <t xml:space="preserve">Journey: The Life of Jesus | Act IV: Journey to Jerusalem</t>
        </is>
      </c>
      <c r="R427" s="15"/>
      <c r="S427" s="15" t="inlineStr">
        <is>
          <t xml:space="preserve">SRC-07-03</t>
        </is>
      </c>
      <c r="T427" s="15"/>
      <c r="U427" s="13" t="inlineStr">
        <is>
          <t xml:space="preserve">Draft</t>
        </is>
      </c>
      <c r="V427" s="15" t="inlineStr">
        <is>
          <t xml:space="preserve">Yes</t>
        </is>
      </c>
      <c r="W427" s="15" t="inlineStr">
        <is>
          <t xml:space="preserve">Luke gathers calls to repentance, a Sabbath healing, parables, and teaching about the kingdom.</t>
        </is>
      </c>
    </row>
    <row r="428" ht="34" customHeight="1">
      <c r="A428" s="15" t="inlineStr">
        <is>
          <t xml:space="preserve">v0.7</t>
        </is>
      </c>
      <c r="B428" s="15" t="inlineStr">
        <is>
          <t xml:space="preserve">Bible_Journey_Canon_Map_v0_7_Gospel_Chronology.xlsx</t>
        </is>
      </c>
      <c r="C428" s="15" t="inlineStr">
        <is>
          <t xml:space="preserve">CRS-07-065</t>
        </is>
      </c>
      <c r="D428" s="15">
        <v>65</v>
      </c>
      <c r="E428" s="15">
        <v>7</v>
      </c>
      <c r="F428" s="15" t="inlineStr">
        <is>
          <t xml:space="preserve">Canonical Reading Set</t>
        </is>
      </c>
      <c r="G428" s="15" t="inlineStr">
        <is>
          <t xml:space="preserve">Gospels / Ministry of Jesus</t>
        </is>
      </c>
      <c r="H428" s="15"/>
      <c r="I428" s="15" t="inlineStr">
        <is>
          <t xml:space="preserve">Sabbath meal and cost of discipleship</t>
        </is>
      </c>
      <c r="J428" s="15"/>
      <c r="K428" s="15" t="inlineStr">
        <is>
          <t xml:space="preserve">High confidence</t>
        </is>
      </c>
      <c r="L428" s="15" t="inlineStr">
        <is>
          <t xml:space="preserve">Debated</t>
        </is>
      </c>
      <c r="M428" s="15" t="inlineStr">
        <is>
          <t xml:space="preserve">Lukan travel narrative</t>
        </is>
      </c>
      <c r="N428" s="15" t="inlineStr">
        <is>
          <t xml:space="preserve">Read Luke 14.</t>
        </is>
      </c>
      <c r="O428" s="15" t="inlineStr">
        <is>
          <t xml:space="preserve">Read Luke 14.</t>
        </is>
      </c>
      <c r="P428" s="15" t="inlineStr">
        <is>
          <t xml:space="preserve">Not applicable</t>
        </is>
      </c>
      <c r="Q428" s="15" t="inlineStr">
        <is>
          <t xml:space="preserve">Journey: The Life of Jesus | Act IV: Journey to Jerusalem</t>
        </is>
      </c>
      <c r="R428" s="15"/>
      <c r="S428" s="15" t="inlineStr">
        <is>
          <t xml:space="preserve">SRC-07-03</t>
        </is>
      </c>
      <c r="T428" s="15"/>
      <c r="U428" s="13" t="inlineStr">
        <is>
          <t xml:space="preserve">Draft</t>
        </is>
      </c>
      <c r="V428" s="15" t="inlineStr">
        <is>
          <t xml:space="preserve">Yes</t>
        </is>
      </c>
      <c r="W428" s="15" t="inlineStr">
        <is>
          <t xml:space="preserve">Luke narrates a Sabbath meal, humility teaching, banquet imagery, and cost-of-discipleship language.</t>
        </is>
      </c>
    </row>
    <row r="429" ht="34" customHeight="1">
      <c r="A429" s="15" t="inlineStr">
        <is>
          <t xml:space="preserve">v0.7</t>
        </is>
      </c>
      <c r="B429" s="15" t="inlineStr">
        <is>
          <t xml:space="preserve">Bible_Journey_Canon_Map_v0_7_Gospel_Chronology.xlsx</t>
        </is>
      </c>
      <c r="C429" s="15" t="inlineStr">
        <is>
          <t xml:space="preserve">CRS-07-066</t>
        </is>
      </c>
      <c r="D429" s="15">
        <v>66</v>
      </c>
      <c r="E429" s="15">
        <v>7</v>
      </c>
      <c r="F429" s="15" t="inlineStr">
        <is>
          <t xml:space="preserve">Canonical Reading Set</t>
        </is>
      </c>
      <c r="G429" s="15" t="inlineStr">
        <is>
          <t xml:space="preserve">Gospels / Ministry of Jesus</t>
        </is>
      </c>
      <c r="H429" s="15"/>
      <c r="I429" s="15" t="inlineStr">
        <is>
          <t xml:space="preserve">Lost sheep, coin, and sons</t>
        </is>
      </c>
      <c r="J429" s="15"/>
      <c r="K429" s="15" t="inlineStr">
        <is>
          <t xml:space="preserve">High confidence</t>
        </is>
      </c>
      <c r="L429" s="15" t="inlineStr">
        <is>
          <t xml:space="preserve">Debated</t>
        </is>
      </c>
      <c r="M429" s="15" t="inlineStr">
        <is>
          <t xml:space="preserve">Lukan travel narrative</t>
        </is>
      </c>
      <c r="N429" s="15" t="inlineStr">
        <is>
          <t xml:space="preserve">Read Luke 15.</t>
        </is>
      </c>
      <c r="O429" s="15" t="inlineStr">
        <is>
          <t xml:space="preserve">Read Luke 15.</t>
        </is>
      </c>
      <c r="P429" s="15" t="inlineStr">
        <is>
          <t xml:space="preserve">Not applicable</t>
        </is>
      </c>
      <c r="Q429" s="15" t="inlineStr">
        <is>
          <t xml:space="preserve">Journey: The Life of Jesus | Act IV: Journey to Jerusalem</t>
        </is>
      </c>
      <c r="R429" s="15"/>
      <c r="S429" s="15" t="inlineStr">
        <is>
          <t xml:space="preserve">SRC-07-03</t>
        </is>
      </c>
      <c r="T429" s="15"/>
      <c r="U429" s="13" t="inlineStr">
        <is>
          <t xml:space="preserve">Draft</t>
        </is>
      </c>
      <c r="V429" s="15" t="inlineStr">
        <is>
          <t xml:space="preserve">Yes</t>
        </is>
      </c>
      <c r="W429" s="15" t="inlineStr">
        <is>
          <t xml:space="preserve">Luke narrates three parables of loss and restoration.</t>
        </is>
      </c>
    </row>
    <row r="430" ht="34" customHeight="1">
      <c r="A430" s="15" t="inlineStr">
        <is>
          <t xml:space="preserve">v0.7</t>
        </is>
      </c>
      <c r="B430" s="15" t="inlineStr">
        <is>
          <t xml:space="preserve">Bible_Journey_Canon_Map_v0_7_Gospel_Chronology.xlsx</t>
        </is>
      </c>
      <c r="C430" s="15" t="inlineStr">
        <is>
          <t xml:space="preserve">CRS-07-067</t>
        </is>
      </c>
      <c r="D430" s="15">
        <v>67</v>
      </c>
      <c r="E430" s="15">
        <v>7</v>
      </c>
      <c r="F430" s="15" t="inlineStr">
        <is>
          <t xml:space="preserve">Canonical Reading Set</t>
        </is>
      </c>
      <c r="G430" s="15" t="inlineStr">
        <is>
          <t xml:space="preserve">Gospels / Ministry of Jesus</t>
        </is>
      </c>
      <c r="H430" s="15"/>
      <c r="I430" s="15" t="inlineStr">
        <is>
          <t xml:space="preserve">Stewardship, wealth, and the rich man</t>
        </is>
      </c>
      <c r="J430" s="15"/>
      <c r="K430" s="15" t="inlineStr">
        <is>
          <t xml:space="preserve">High confidence</t>
        </is>
      </c>
      <c r="L430" s="15" t="inlineStr">
        <is>
          <t xml:space="preserve">Debated</t>
        </is>
      </c>
      <c r="M430" s="15" t="inlineStr">
        <is>
          <t xml:space="preserve">Lukan travel narrative</t>
        </is>
      </c>
      <c r="N430" s="15" t="inlineStr">
        <is>
          <t xml:space="preserve">Read Luke 16.</t>
        </is>
      </c>
      <c r="O430" s="15" t="inlineStr">
        <is>
          <t xml:space="preserve">Read Luke 16.</t>
        </is>
      </c>
      <c r="P430" s="15" t="inlineStr">
        <is>
          <t xml:space="preserve">Not applicable</t>
        </is>
      </c>
      <c r="Q430" s="15" t="inlineStr">
        <is>
          <t xml:space="preserve">Journey: The Life of Jesus | Act IV: Journey to Jerusalem</t>
        </is>
      </c>
      <c r="R430" s="15"/>
      <c r="S430" s="15" t="inlineStr">
        <is>
          <t xml:space="preserve">SRC-07-03</t>
        </is>
      </c>
      <c r="T430" s="15"/>
      <c r="U430" s="13" t="inlineStr">
        <is>
          <t xml:space="preserve">Draft</t>
        </is>
      </c>
      <c r="V430" s="15" t="inlineStr">
        <is>
          <t xml:space="preserve">Yes</t>
        </is>
      </c>
      <c r="W430" s="15" t="inlineStr">
        <is>
          <t xml:space="preserve">Luke narrates teaching about wealth, stewardship, law, divorce, and the rich man and Lazarus.</t>
        </is>
      </c>
    </row>
    <row r="431" ht="34" customHeight="1">
      <c r="A431" s="15" t="inlineStr">
        <is>
          <t xml:space="preserve">v0.7</t>
        </is>
      </c>
      <c r="B431" s="15" t="inlineStr">
        <is>
          <t xml:space="preserve">Bible_Journey_Canon_Map_v0_7_Gospel_Chronology.xlsx</t>
        </is>
      </c>
      <c r="C431" s="15" t="inlineStr">
        <is>
          <t xml:space="preserve">CRS-07-068</t>
        </is>
      </c>
      <c r="D431" s="15">
        <v>68</v>
      </c>
      <c r="E431" s="15">
        <v>7</v>
      </c>
      <c r="F431" s="15" t="inlineStr">
        <is>
          <t xml:space="preserve">Canonical Reading Set</t>
        </is>
      </c>
      <c r="G431" s="15" t="inlineStr">
        <is>
          <t xml:space="preserve">Gospels / Ministry of Jesus</t>
        </is>
      </c>
      <c r="H431" s="15"/>
      <c r="I431" s="15" t="inlineStr">
        <is>
          <t xml:space="preserve">Faith, vigilance, and the ten lepers</t>
        </is>
      </c>
      <c r="J431" s="15"/>
      <c r="K431" s="15" t="inlineStr">
        <is>
          <t xml:space="preserve">High confidence</t>
        </is>
      </c>
      <c r="L431" s="15" t="inlineStr">
        <is>
          <t xml:space="preserve">Debated</t>
        </is>
      </c>
      <c r="M431" s="15" t="inlineStr">
        <is>
          <t xml:space="preserve">Lukan travel narrative</t>
        </is>
      </c>
      <c r="N431" s="15" t="inlineStr">
        <is>
          <t xml:space="preserve">Read Luke 17.</t>
        </is>
      </c>
      <c r="O431" s="15" t="inlineStr">
        <is>
          <t xml:space="preserve">Read Luke 17.</t>
        </is>
      </c>
      <c r="P431" s="15" t="inlineStr">
        <is>
          <t xml:space="preserve">Not applicable</t>
        </is>
      </c>
      <c r="Q431" s="15" t="inlineStr">
        <is>
          <t xml:space="preserve">Journey: The Life of Jesus | Act IV: Journey to Jerusalem</t>
        </is>
      </c>
      <c r="R431" s="15"/>
      <c r="S431" s="15" t="inlineStr">
        <is>
          <t xml:space="preserve">SRC-07-03</t>
        </is>
      </c>
      <c r="T431" s="15"/>
      <c r="U431" s="13" t="inlineStr">
        <is>
          <t xml:space="preserve">Draft</t>
        </is>
      </c>
      <c r="V431" s="15" t="inlineStr">
        <is>
          <t xml:space="preserve">Yes</t>
        </is>
      </c>
      <c r="W431" s="15" t="inlineStr">
        <is>
          <t xml:space="preserve">Luke narrates teachings on forgiveness and faith, the ten lepers, and sayings about the kingdom.</t>
        </is>
      </c>
    </row>
    <row r="432" ht="34" customHeight="1">
      <c r="A432" s="15" t="inlineStr">
        <is>
          <t xml:space="preserve">v0.7</t>
        </is>
      </c>
      <c r="B432" s="15" t="inlineStr">
        <is>
          <t xml:space="preserve">Bible_Journey_Canon_Map_v0_7_Gospel_Chronology.xlsx</t>
        </is>
      </c>
      <c r="C432" s="15" t="inlineStr">
        <is>
          <t xml:space="preserve">CRS-07-069</t>
        </is>
      </c>
      <c r="D432" s="15">
        <v>69</v>
      </c>
      <c r="E432" s="15">
        <v>7</v>
      </c>
      <c r="F432" s="15" t="inlineStr">
        <is>
          <t xml:space="preserve">Canonical Reading Set</t>
        </is>
      </c>
      <c r="G432" s="15" t="inlineStr">
        <is>
          <t xml:space="preserve">Gospels / Ministry of Jesus</t>
        </is>
      </c>
      <c r="H432" s="15"/>
      <c r="I432" s="15" t="inlineStr">
        <is>
          <t xml:space="preserve">Persistence, humility, and the rich ruler</t>
        </is>
      </c>
      <c r="J432" s="15"/>
      <c r="K432" s="15" t="inlineStr">
        <is>
          <t xml:space="preserve">High confidence</t>
        </is>
      </c>
      <c r="L432" s="15" t="inlineStr">
        <is>
          <t xml:space="preserve">Probable</t>
        </is>
      </c>
      <c r="M432" s="15" t="inlineStr">
        <is>
          <t xml:space="preserve">Perea / approach to Jerusalem</t>
        </is>
      </c>
      <c r="N432" s="15" t="inlineStr">
        <is>
          <t xml:space="preserve">Read Luke 18:1-14, Mark 10:1-31, Matthew 19:1-30, and Luke 18:15-30.</t>
        </is>
      </c>
      <c r="O432" s="15" t="inlineStr">
        <is>
          <t xml:space="preserve">Read Luke 18:1-14 and Mark 10:1-31; parallel accounts remain visible.</t>
        </is>
      </c>
      <c r="P432" s="15" t="inlineStr">
        <is>
          <t xml:space="preserve">Compare Accounts: divorce/children/rich-ruler material.</t>
        </is>
      </c>
      <c r="Q432" s="15" t="inlineStr">
        <is>
          <t xml:space="preserve">Journey: The Life of Jesus | Act IV: Journey to Jerusalem</t>
        </is>
      </c>
      <c r="R432" s="15"/>
      <c r="S432" s="15" t="inlineStr">
        <is>
          <t xml:space="preserve">SRC-07-01; SRC-07-02; SRC-07-03</t>
        </is>
      </c>
      <c r="T432" s="15"/>
      <c r="U432" s="13" t="inlineStr">
        <is>
          <t xml:space="preserve">Draft</t>
        </is>
      </c>
      <c r="V432" s="15" t="inlineStr">
        <is>
          <t xml:space="preserve">No</t>
        </is>
      </c>
      <c r="W432" s="15" t="inlineStr">
        <is>
          <t xml:space="preserve">Luke's parables of persistence/humility lead into material shared with Matthew and Mark about children and the rich ruler.</t>
        </is>
      </c>
    </row>
    <row r="433" ht="34" customHeight="1">
      <c r="A433" s="15" t="inlineStr">
        <is>
          <t xml:space="preserve">v0.7</t>
        </is>
      </c>
      <c r="B433" s="15" t="inlineStr">
        <is>
          <t xml:space="preserve">Bible_Journey_Canon_Map_v0_7_Gospel_Chronology.xlsx</t>
        </is>
      </c>
      <c r="C433" s="15" t="inlineStr">
        <is>
          <t xml:space="preserve">CRS-07-070</t>
        </is>
      </c>
      <c r="D433" s="15">
        <v>70</v>
      </c>
      <c r="E433" s="15">
        <v>7</v>
      </c>
      <c r="F433" s="15" t="inlineStr">
        <is>
          <t xml:space="preserve">Canonical Reading Set</t>
        </is>
      </c>
      <c r="G433" s="15" t="inlineStr">
        <is>
          <t xml:space="preserve">Gospels / Ministry of Jesus</t>
        </is>
      </c>
      <c r="H433" s="15"/>
      <c r="I433" s="15" t="inlineStr">
        <is>
          <t xml:space="preserve">Third passion prediction and servant leadership</t>
        </is>
      </c>
      <c r="J433" s="15"/>
      <c r="K433" s="15" t="inlineStr">
        <is>
          <t xml:space="preserve">High confidence</t>
        </is>
      </c>
      <c r="L433" s="15" t="inlineStr">
        <is>
          <t xml:space="preserve">Probable</t>
        </is>
      </c>
      <c r="M433" s="15" t="inlineStr">
        <is>
          <t xml:space="preserve">Approach to Jerusalem</t>
        </is>
      </c>
      <c r="N433" s="15" t="inlineStr">
        <is>
          <t xml:space="preserve">Read Mark 10:32-45, Matthew 20:17-28, and Luke 18:31-34.</t>
        </is>
      </c>
      <c r="O433" s="15" t="inlineStr">
        <is>
          <t xml:space="preserve">Read Mark 10:32-45; parallel accounts remain visible.</t>
        </is>
      </c>
      <c r="P433" s="15" t="inlineStr">
        <is>
          <t xml:space="preserve">Compare Accounts: third prediction and servant leadership.</t>
        </is>
      </c>
      <c r="Q433" s="15" t="inlineStr">
        <is>
          <t xml:space="preserve">Journey: The Life of Jesus | Act IV: Journey to Jerusalem</t>
        </is>
      </c>
      <c r="R433" s="15"/>
      <c r="S433" s="15" t="inlineStr">
        <is>
          <t xml:space="preserve">SRC-07-01; SRC-07-02</t>
        </is>
      </c>
      <c r="T433" s="15"/>
      <c r="U433" s="13" t="inlineStr">
        <is>
          <t xml:space="preserve">Draft</t>
        </is>
      </c>
      <c r="V433" s="15" t="inlineStr">
        <is>
          <t xml:space="preserve">No</t>
        </is>
      </c>
      <c r="W433" s="15" t="inlineStr">
        <is>
          <t xml:space="preserve">Matthew, Mark, and Luke narrate a further passion prediction; Matthew and Mark add the request of James and John.</t>
        </is>
      </c>
    </row>
    <row r="434" ht="34" customHeight="1">
      <c r="A434" s="15" t="inlineStr">
        <is>
          <t xml:space="preserve">v0.7</t>
        </is>
      </c>
      <c r="B434" s="15" t="inlineStr">
        <is>
          <t xml:space="preserve">Bible_Journey_Canon_Map_v0_7_Gospel_Chronology.xlsx</t>
        </is>
      </c>
      <c r="C434" s="15" t="inlineStr">
        <is>
          <t xml:space="preserve">CRS-07-071</t>
        </is>
      </c>
      <c r="D434" s="15">
        <v>71</v>
      </c>
      <c r="E434" s="15">
        <v>7</v>
      </c>
      <c r="F434" s="15" t="inlineStr">
        <is>
          <t xml:space="preserve">Canonical Reading Set</t>
        </is>
      </c>
      <c r="G434" s="15" t="inlineStr">
        <is>
          <t xml:space="preserve">Gospels / Ministry of Jesus</t>
        </is>
      </c>
      <c r="H434" s="15"/>
      <c r="I434" s="15" t="inlineStr">
        <is>
          <t xml:space="preserve">Healing near Jericho</t>
        </is>
      </c>
      <c r="J434" s="15"/>
      <c r="K434" s="15" t="inlineStr">
        <is>
          <t xml:space="preserve">High confidence</t>
        </is>
      </c>
      <c r="L434" s="15" t="inlineStr">
        <is>
          <t xml:space="preserve">Probable</t>
        </is>
      </c>
      <c r="M434" s="15" t="inlineStr">
        <is>
          <t xml:space="preserve">Approach to Jerusalem</t>
        </is>
      </c>
      <c r="N434" s="15" t="inlineStr">
        <is>
          <t xml:space="preserve">Read Mark 10:46-52, Matthew 20:29-34, and Luke 18:35-43.</t>
        </is>
      </c>
      <c r="O434" s="15" t="inlineStr">
        <is>
          <t xml:space="preserve">Read Mark 10:46-52; parallel accounts remain visible.</t>
        </is>
      </c>
      <c r="P434" s="15" t="inlineStr">
        <is>
          <t xml:space="preserve">Compare Accounts: healing(s) near Jericho.</t>
        </is>
      </c>
      <c r="Q434" s="15" t="inlineStr">
        <is>
          <t xml:space="preserve">Journey: The Life of Jesus | Act IV: Journey to Jerusalem</t>
        </is>
      </c>
      <c r="R434" s="15"/>
      <c r="S434" s="15" t="inlineStr">
        <is>
          <t xml:space="preserve">SRC-07-01; SRC-07-02</t>
        </is>
      </c>
      <c r="T434" s="15"/>
      <c r="U434" s="13" t="inlineStr">
        <is>
          <t xml:space="preserve">Draft</t>
        </is>
      </c>
      <c r="V434" s="15" t="inlineStr">
        <is>
          <t xml:space="preserve">No</t>
        </is>
      </c>
      <c r="W434" s="15" t="inlineStr">
        <is>
          <t xml:space="preserve">Matthew, Mark, and Luke narrate healing(s) near Jericho with differing narrative details.</t>
        </is>
      </c>
    </row>
    <row r="435" ht="34" customHeight="1">
      <c r="A435" s="15" t="inlineStr">
        <is>
          <t xml:space="preserve">v0.7</t>
        </is>
      </c>
      <c r="B435" s="15" t="inlineStr">
        <is>
          <t xml:space="preserve">Bible_Journey_Canon_Map_v0_7_Gospel_Chronology.xlsx</t>
        </is>
      </c>
      <c r="C435" s="15" t="inlineStr">
        <is>
          <t xml:space="preserve">CRS-07-072</t>
        </is>
      </c>
      <c r="D435" s="15">
        <v>72</v>
      </c>
      <c r="E435" s="15">
        <v>7</v>
      </c>
      <c r="F435" s="15" t="inlineStr">
        <is>
          <t xml:space="preserve">Canonical Reading Set</t>
        </is>
      </c>
      <c r="G435" s="15" t="inlineStr">
        <is>
          <t xml:space="preserve">Gospels / Ministry of Jesus</t>
        </is>
      </c>
      <c r="H435" s="15"/>
      <c r="I435" s="15" t="inlineStr">
        <is>
          <t xml:space="preserve">Zacchaeus and the minas</t>
        </is>
      </c>
      <c r="J435" s="15"/>
      <c r="K435" s="15" t="inlineStr">
        <is>
          <t xml:space="preserve">High confidence</t>
        </is>
      </c>
      <c r="L435" s="15" t="inlineStr">
        <is>
          <t xml:space="preserve">Probable</t>
        </is>
      </c>
      <c r="M435" s="15" t="inlineStr">
        <is>
          <t xml:space="preserve">Approach to Jerusalem</t>
        </is>
      </c>
      <c r="N435" s="15" t="inlineStr">
        <is>
          <t xml:space="preserve">Read Luke 19:1-27.</t>
        </is>
      </c>
      <c r="O435" s="15" t="inlineStr">
        <is>
          <t xml:space="preserve">Read Luke 19:1-27.</t>
        </is>
      </c>
      <c r="P435" s="15" t="inlineStr">
        <is>
          <t xml:space="preserve">Not applicable</t>
        </is>
      </c>
      <c r="Q435" s="15" t="inlineStr">
        <is>
          <t xml:space="preserve">Journey: The Life of Jesus | Act IV: Journey to Jerusalem</t>
        </is>
      </c>
      <c r="R435" s="15"/>
      <c r="S435" s="15" t="inlineStr">
        <is>
          <t xml:space="preserve">SRC-07-03</t>
        </is>
      </c>
      <c r="T435" s="15"/>
      <c r="U435" s="13" t="inlineStr">
        <is>
          <t xml:space="preserve">Draft</t>
        </is>
      </c>
      <c r="V435" s="15" t="inlineStr">
        <is>
          <t xml:space="preserve">No</t>
        </is>
      </c>
      <c r="W435" s="15" t="inlineStr">
        <is>
          <t xml:space="preserve">Luke narrates Zacchaeus and the parable of the minas as Jesus approaches Jerusalem.</t>
        </is>
      </c>
    </row>
    <row r="436" ht="34" customHeight="1">
      <c r="A436" s="15" t="inlineStr">
        <is>
          <t xml:space="preserve">v0.7</t>
        </is>
      </c>
      <c r="B436" s="15" t="inlineStr">
        <is>
          <t xml:space="preserve">Bible_Journey_Canon_Map_v0_7_Gospel_Chronology.xlsx</t>
        </is>
      </c>
      <c r="C436" s="15" t="inlineStr">
        <is>
          <t xml:space="preserve">CRS-07-073</t>
        </is>
      </c>
      <c r="D436" s="15">
        <v>73</v>
      </c>
      <c r="E436" s="15">
        <v>7</v>
      </c>
      <c r="F436" s="15" t="inlineStr">
        <is>
          <t xml:space="preserve">Canonical Reading Set</t>
        </is>
      </c>
      <c r="G436" s="15" t="inlineStr">
        <is>
          <t xml:space="preserve">Gospels / Ministry of Jesus</t>
        </is>
      </c>
      <c r="H436" s="15"/>
      <c r="I436" s="15" t="inlineStr">
        <is>
          <t xml:space="preserve">Lazarus raised</t>
        </is>
      </c>
      <c r="J436" s="15"/>
      <c r="K436" s="15" t="inlineStr">
        <is>
          <t xml:space="preserve">High confidence</t>
        </is>
      </c>
      <c r="L436" s="15" t="inlineStr">
        <is>
          <t xml:space="preserve">Probable</t>
        </is>
      </c>
      <c r="M436" s="15" t="inlineStr">
        <is>
          <t xml:space="preserve">Bethany / pre-Passion</t>
        </is>
      </c>
      <c r="N436" s="15" t="inlineStr">
        <is>
          <t xml:space="preserve">Read John 11:1-54.</t>
        </is>
      </c>
      <c r="O436" s="15" t="inlineStr">
        <is>
          <t xml:space="preserve">Read John 11:1-54.</t>
        </is>
      </c>
      <c r="P436" s="15" t="inlineStr">
        <is>
          <t xml:space="preserve">Not applicable</t>
        </is>
      </c>
      <c r="Q436" s="15" t="inlineStr">
        <is>
          <t xml:space="preserve">Journey: The Life of Jesus | Act IV: Journey to Jerusalem</t>
        </is>
      </c>
      <c r="R436" s="15"/>
      <c r="S436" s="15" t="inlineStr">
        <is>
          <t xml:space="preserve">SRC-07-10</t>
        </is>
      </c>
      <c r="T436" s="15"/>
      <c r="U436" s="13" t="inlineStr">
        <is>
          <t xml:space="preserve">Draft</t>
        </is>
      </c>
      <c r="V436" s="15" t="inlineStr">
        <is>
          <t xml:space="preserve">No</t>
        </is>
      </c>
      <c r="W436" s="15" t="inlineStr">
        <is>
          <t xml:space="preserve">John narrates the raising of Lazarus and the council's response.</t>
        </is>
      </c>
    </row>
    <row r="437" ht="34" customHeight="1">
      <c r="A437" s="15" t="inlineStr">
        <is>
          <t xml:space="preserve">v0.7</t>
        </is>
      </c>
      <c r="B437" s="15" t="inlineStr">
        <is>
          <t xml:space="preserve">Bible_Journey_Canon_Map_v0_7_Gospel_Chronology.xlsx</t>
        </is>
      </c>
      <c r="C437" s="15" t="inlineStr">
        <is>
          <t xml:space="preserve">CRS-07-074</t>
        </is>
      </c>
      <c r="D437" s="15">
        <v>74</v>
      </c>
      <c r="E437" s="15">
        <v>7</v>
      </c>
      <c r="F437" s="15" t="inlineStr">
        <is>
          <t xml:space="preserve">Canonical Reading Set</t>
        </is>
      </c>
      <c r="G437" s="15" t="inlineStr">
        <is>
          <t xml:space="preserve">Gospels / Ministry of Jesus</t>
        </is>
      </c>
      <c r="H437" s="15"/>
      <c r="I437" s="15" t="inlineStr">
        <is>
          <t xml:space="preserve">Anointing at Bethany</t>
        </is>
      </c>
      <c r="J437" s="15"/>
      <c r="K437" s="15" t="inlineStr">
        <is>
          <t xml:space="preserve">High confidence</t>
        </is>
      </c>
      <c r="L437" s="15" t="inlineStr">
        <is>
          <t xml:space="preserve">Debated</t>
        </is>
      </c>
      <c r="M437" s="15" t="inlineStr">
        <is>
          <t xml:space="preserve">Bethany / pre-Passion</t>
        </is>
      </c>
      <c r="N437" s="15" t="inlineStr">
        <is>
          <t xml:space="preserve">Read John 12:1-11, Mark 14:3-9, and Matthew 26:6-13 as linked accounts.</t>
        </is>
      </c>
      <c r="O437" s="15" t="inlineStr">
        <is>
          <t xml:space="preserve">Read John 12:1-11; Synoptic accounts remain visible.</t>
        </is>
      </c>
      <c r="P437" s="15" t="inlineStr">
        <is>
          <t xml:space="preserve">Compare Accounts: Bethany anointing accounts.</t>
        </is>
      </c>
      <c r="Q437" s="15" t="inlineStr">
        <is>
          <t xml:space="preserve">Journey: The Life of Jesus | Act V: Jerusalem and Passion</t>
        </is>
      </c>
      <c r="R437" s="15"/>
      <c r="S437" s="15" t="inlineStr">
        <is>
          <t xml:space="preserve">SRC-07-01; SRC-07-09; SRC-07-10</t>
        </is>
      </c>
      <c r="T437" s="15"/>
      <c r="U437" s="13" t="inlineStr">
        <is>
          <t xml:space="preserve">Draft</t>
        </is>
      </c>
      <c r="V437" s="15" t="inlineStr">
        <is>
          <t xml:space="preserve">Yes</t>
        </is>
      </c>
      <c r="W437" s="15" t="inlineStr">
        <is>
          <t xml:space="preserve">No automatic merger with Luke 7. Synoptic book-order exception must be transparent.</t>
        </is>
      </c>
    </row>
    <row r="438" ht="34" customHeight="1">
      <c r="A438" s="15" t="inlineStr">
        <is>
          <t xml:space="preserve">v0.7</t>
        </is>
      </c>
      <c r="B438" s="15" t="inlineStr">
        <is>
          <t xml:space="preserve">Bible_Journey_Canon_Map_v0_7_Gospel_Chronology.xlsx</t>
        </is>
      </c>
      <c r="C438" s="15" t="inlineStr">
        <is>
          <t xml:space="preserve">CRS-07-075</t>
        </is>
      </c>
      <c r="D438" s="15">
        <v>75</v>
      </c>
      <c r="E438" s="15">
        <v>7</v>
      </c>
      <c r="F438" s="15" t="inlineStr">
        <is>
          <t xml:space="preserve">Canonical Reading Set</t>
        </is>
      </c>
      <c r="G438" s="15" t="inlineStr">
        <is>
          <t xml:space="preserve">Gospels / Ministry of Jesus</t>
        </is>
      </c>
      <c r="H438" s="15"/>
      <c r="I438" s="15" t="inlineStr">
        <is>
          <t xml:space="preserve">Triumphal entry into Jerusalem</t>
        </is>
      </c>
      <c r="J438" s="15"/>
      <c r="K438" s="15" t="inlineStr">
        <is>
          <t xml:space="preserve">High confidence</t>
        </is>
      </c>
      <c r="L438" s="15" t="inlineStr">
        <is>
          <t xml:space="preserve">High confidence</t>
        </is>
      </c>
      <c r="M438" s="15" t="inlineStr">
        <is>
          <t xml:space="preserve">Passion week</t>
        </is>
      </c>
      <c r="N438" s="15" t="inlineStr">
        <is>
          <t xml:space="preserve">Read Mark 11:1-11, Matthew 21:1-11, Luke 19:28-44, and John 12:12-19.</t>
        </is>
      </c>
      <c r="O438" s="15" t="inlineStr">
        <is>
          <t xml:space="preserve">Read Mark 11:1-11; all other accounts remain visible.</t>
        </is>
      </c>
      <c r="P438" s="15" t="inlineStr">
        <is>
          <t xml:space="preserve">Compare Accounts: four-Gospel triumphal entry.</t>
        </is>
      </c>
      <c r="Q438" s="15" t="inlineStr">
        <is>
          <t xml:space="preserve">Journey: The Life of Jesus | Act V: Jerusalem and Passion</t>
        </is>
      </c>
      <c r="R438" s="15"/>
      <c r="S438" s="15" t="inlineStr">
        <is>
          <t xml:space="preserve">SRC-07-01; SRC-07-02; SRC-07-03</t>
        </is>
      </c>
      <c r="T438" s="15"/>
      <c r="U438" s="13" t="inlineStr">
        <is>
          <t xml:space="preserve">Draft</t>
        </is>
      </c>
      <c r="V438" s="15" t="inlineStr">
        <is>
          <t xml:space="preserve">No</t>
        </is>
      </c>
      <c r="W438" s="15" t="inlineStr">
        <is>
          <t xml:space="preserve">All four Gospels narrate Jesus's entry into Jerusalem, each with distinctive framing.</t>
        </is>
      </c>
    </row>
    <row r="439" ht="34" customHeight="1">
      <c r="A439" s="15" t="inlineStr">
        <is>
          <t xml:space="preserve">v0.7</t>
        </is>
      </c>
      <c r="B439" s="15" t="inlineStr">
        <is>
          <t xml:space="preserve">Bible_Journey_Canon_Map_v0_7_Gospel_Chronology.xlsx</t>
        </is>
      </c>
      <c r="C439" s="15" t="inlineStr">
        <is>
          <t xml:space="preserve">CRS-07-076</t>
        </is>
      </c>
      <c r="D439" s="15">
        <v>76</v>
      </c>
      <c r="E439" s="15">
        <v>7</v>
      </c>
      <c r="F439" s="15" t="inlineStr">
        <is>
          <t xml:space="preserve">Canonical Reading Set</t>
        </is>
      </c>
      <c r="G439" s="15" t="inlineStr">
        <is>
          <t xml:space="preserve">Gospels / Ministry of Jesus</t>
        </is>
      </c>
      <c r="H439" s="15"/>
      <c r="I439" s="15" t="inlineStr">
        <is>
          <t xml:space="preserve">Temple action and fig tree</t>
        </is>
      </c>
      <c r="J439" s="15"/>
      <c r="K439" s="15" t="inlineStr">
        <is>
          <t xml:space="preserve">High confidence</t>
        </is>
      </c>
      <c r="L439" s="15" t="inlineStr">
        <is>
          <t xml:space="preserve">Probable</t>
        </is>
      </c>
      <c r="M439" s="15" t="inlineStr">
        <is>
          <t xml:space="preserve">Passion week</t>
        </is>
      </c>
      <c r="N439" s="15" t="inlineStr">
        <is>
          <t xml:space="preserve">Read Mark 11:12-26, Matthew 21:12-22, and Luke 19:45-48.</t>
        </is>
      </c>
      <c r="O439" s="15" t="inlineStr">
        <is>
          <t xml:space="preserve">Read Mark 11:12-26; other accounts remain visible.</t>
        </is>
      </c>
      <c r="P439" s="15" t="inlineStr">
        <is>
          <t xml:space="preserve">Compare Accounts: Temple action/fig tree. Cross-link John 2 as separate placement question.</t>
        </is>
      </c>
      <c r="Q439" s="15" t="inlineStr">
        <is>
          <t xml:space="preserve">Journey: The Life of Jesus | Act V: Jerusalem and Passion</t>
        </is>
      </c>
      <c r="R439" s="15"/>
      <c r="S439" s="15" t="inlineStr">
        <is>
          <t xml:space="preserve">SRC-07-01; SRC-07-02</t>
        </is>
      </c>
      <c r="T439" s="15"/>
      <c r="U439" s="13" t="inlineStr">
        <is>
          <t xml:space="preserve">Draft</t>
        </is>
      </c>
      <c r="V439" s="15" t="inlineStr">
        <is>
          <t xml:space="preserve">No</t>
        </is>
      </c>
      <c r="W439" s="15" t="inlineStr">
        <is>
          <t xml:space="preserve">The Synoptics narrate Temple action and fig-tree material with different arrangement; John's early Temple action remains separately linked.</t>
        </is>
      </c>
    </row>
    <row r="440" ht="34" customHeight="1">
      <c r="A440" s="15" t="inlineStr">
        <is>
          <t xml:space="preserve">v0.7</t>
        </is>
      </c>
      <c r="B440" s="15" t="inlineStr">
        <is>
          <t xml:space="preserve">Bible_Journey_Canon_Map_v0_7_Gospel_Chronology.xlsx</t>
        </is>
      </c>
      <c r="C440" s="15" t="inlineStr">
        <is>
          <t xml:space="preserve">CRS-07-077</t>
        </is>
      </c>
      <c r="D440" s="15">
        <v>77</v>
      </c>
      <c r="E440" s="15">
        <v>7</v>
      </c>
      <c r="F440" s="15" t="inlineStr">
        <is>
          <t xml:space="preserve">Canonical Reading Set</t>
        </is>
      </c>
      <c r="G440" s="15" t="inlineStr">
        <is>
          <t xml:space="preserve">Gospels / Ministry of Jesus</t>
        </is>
      </c>
      <c r="H440" s="15"/>
      <c r="I440" s="15" t="inlineStr">
        <is>
          <t xml:space="preserve">Temple teaching and controversies</t>
        </is>
      </c>
      <c r="J440" s="15"/>
      <c r="K440" s="15" t="inlineStr">
        <is>
          <t xml:space="preserve">High confidence</t>
        </is>
      </c>
      <c r="L440" s="15" t="inlineStr">
        <is>
          <t xml:space="preserve">Probable</t>
        </is>
      </c>
      <c r="M440" s="15" t="inlineStr">
        <is>
          <t xml:space="preserve">Passion week</t>
        </is>
      </c>
      <c r="N440" s="15" t="inlineStr">
        <is>
          <t xml:space="preserve">Read Mark 11:27-12:44, Matthew 21:23-23:39, and Luke 20:1-21:4.</t>
        </is>
      </c>
      <c r="O440" s="15" t="inlineStr">
        <is>
          <t xml:space="preserve">Read Mark 11:27-12:44; expanded accounts remain visible.</t>
        </is>
      </c>
      <c r="P440" s="15" t="inlineStr">
        <is>
          <t xml:space="preserve">Compare Accounts: Temple teaching and controversies.</t>
        </is>
      </c>
      <c r="Q440" s="15" t="inlineStr">
        <is>
          <t xml:space="preserve">Journey: The Life of Jesus | Act V: Jerusalem and Passion</t>
        </is>
      </c>
      <c r="R440" s="15"/>
      <c r="S440" s="15" t="inlineStr">
        <is>
          <t xml:space="preserve">SRC-07-01; SRC-07-02</t>
        </is>
      </c>
      <c r="T440" s="15"/>
      <c r="U440" s="13" t="inlineStr">
        <is>
          <t xml:space="preserve">Draft</t>
        </is>
      </c>
      <c r="V440" s="15" t="inlineStr">
        <is>
          <t xml:space="preserve">No</t>
        </is>
      </c>
      <c r="W440" s="15" t="inlineStr">
        <is>
          <t xml:space="preserve">The Synoptics narrate challenges to Jesus's authority, parables, questions, and teaching in the Temple.</t>
        </is>
      </c>
    </row>
    <row r="441" ht="34" customHeight="1">
      <c r="A441" s="15" t="inlineStr">
        <is>
          <t xml:space="preserve">v0.7</t>
        </is>
      </c>
      <c r="B441" s="15" t="inlineStr">
        <is>
          <t xml:space="preserve">Bible_Journey_Canon_Map_v0_7_Gospel_Chronology.xlsx</t>
        </is>
      </c>
      <c r="C441" s="15" t="inlineStr">
        <is>
          <t xml:space="preserve">CRS-07-078</t>
        </is>
      </c>
      <c r="D441" s="15">
        <v>78</v>
      </c>
      <c r="E441" s="15">
        <v>7</v>
      </c>
      <c r="F441" s="15" t="inlineStr">
        <is>
          <t xml:space="preserve">Canonical Reading Set</t>
        </is>
      </c>
      <c r="G441" s="15" t="inlineStr">
        <is>
          <t xml:space="preserve">Gospels / Ministry of Jesus</t>
        </is>
      </c>
      <c r="H441" s="15"/>
      <c r="I441" s="15" t="inlineStr">
        <is>
          <t xml:space="preserve">Greeks seek Jesus and the close of public ministry in John</t>
        </is>
      </c>
      <c r="J441" s="15"/>
      <c r="K441" s="15" t="inlineStr">
        <is>
          <t xml:space="preserve">High confidence</t>
        </is>
      </c>
      <c r="L441" s="15" t="inlineStr">
        <is>
          <t xml:space="preserve">Probable</t>
        </is>
      </c>
      <c r="M441" s="15" t="inlineStr">
        <is>
          <t xml:space="preserve">Passion week</t>
        </is>
      </c>
      <c r="N441" s="15" t="inlineStr">
        <is>
          <t xml:space="preserve">Read John 12:20-50.</t>
        </is>
      </c>
      <c r="O441" s="15" t="inlineStr">
        <is>
          <t xml:space="preserve">Read John 12:20-50.</t>
        </is>
      </c>
      <c r="P441" s="15" t="inlineStr">
        <is>
          <t xml:space="preserve">Not applicable</t>
        </is>
      </c>
      <c r="Q441" s="15" t="inlineStr">
        <is>
          <t xml:space="preserve">Journey: The Life of Jesus | Act V: Jerusalem and Passion</t>
        </is>
      </c>
      <c r="R441" s="15"/>
      <c r="S441" s="15" t="inlineStr">
        <is>
          <t xml:space="preserve">SRC-07-10</t>
        </is>
      </c>
      <c r="T441" s="15"/>
      <c r="U441" s="13" t="inlineStr">
        <is>
          <t xml:space="preserve">Draft</t>
        </is>
      </c>
      <c r="V441" s="15" t="inlineStr">
        <is>
          <t xml:space="preserve">No</t>
        </is>
      </c>
      <c r="W441" s="15" t="inlineStr">
        <is>
          <t xml:space="preserve">John narrates Greeks seeking Jesus and a concluding public-ministry reflection.</t>
        </is>
      </c>
    </row>
    <row r="442" ht="34" customHeight="1">
      <c r="A442" s="15" t="inlineStr">
        <is>
          <t xml:space="preserve">v0.7</t>
        </is>
      </c>
      <c r="B442" s="15" t="inlineStr">
        <is>
          <t xml:space="preserve">Bible_Journey_Canon_Map_v0_7_Gospel_Chronology.xlsx</t>
        </is>
      </c>
      <c r="C442" s="15" t="inlineStr">
        <is>
          <t xml:space="preserve">CRS-07-079</t>
        </is>
      </c>
      <c r="D442" s="15">
        <v>79</v>
      </c>
      <c r="E442" s="15">
        <v>7</v>
      </c>
      <c r="F442" s="15" t="inlineStr">
        <is>
          <t xml:space="preserve">Canonical Reading Set</t>
        </is>
      </c>
      <c r="G442" s="15" t="inlineStr">
        <is>
          <t xml:space="preserve">Gospels / Ministry of Jesus</t>
        </is>
      </c>
      <c r="H442" s="15"/>
      <c r="I442" s="15" t="inlineStr">
        <is>
          <t xml:space="preserve">Olivet discourse</t>
        </is>
      </c>
      <c r="J442" s="15"/>
      <c r="K442" s="15" t="inlineStr">
        <is>
          <t xml:space="preserve">High confidence</t>
        </is>
      </c>
      <c r="L442" s="15" t="inlineStr">
        <is>
          <t xml:space="preserve">Probable</t>
        </is>
      </c>
      <c r="M442" s="15" t="inlineStr">
        <is>
          <t xml:space="preserve">Passion week</t>
        </is>
      </c>
      <c r="N442" s="15" t="inlineStr">
        <is>
          <t xml:space="preserve">Read Mark 13, Matthew 24-25, and Luke 21:5-36.</t>
        </is>
      </c>
      <c r="O442" s="15" t="inlineStr">
        <is>
          <t xml:space="preserve">Read Mark 13; other accounts remain visible.</t>
        </is>
      </c>
      <c r="P442" s="15" t="inlineStr">
        <is>
          <t xml:space="preserve">Compare Accounts: Olivet discourse with pericope tabs.</t>
        </is>
      </c>
      <c r="Q442" s="15" t="inlineStr">
        <is>
          <t xml:space="preserve">Journey: The Life of Jesus | Act V: Jerusalem and Passion</t>
        </is>
      </c>
      <c r="R442" s="15"/>
      <c r="S442" s="15" t="inlineStr">
        <is>
          <t xml:space="preserve">SRC-07-01; SRC-07-02</t>
        </is>
      </c>
      <c r="T442" s="15"/>
      <c r="U442" s="13" t="inlineStr">
        <is>
          <t xml:space="preserve">Draft</t>
        </is>
      </c>
      <c r="V442" s="15" t="inlineStr">
        <is>
          <t xml:space="preserve">No</t>
        </is>
      </c>
      <c r="W442" s="15" t="inlineStr">
        <is>
          <t xml:space="preserve">Matthew, Mark, and Luke narrate eschatological teaching associated with the Temple and Mount of Olives.</t>
        </is>
      </c>
    </row>
    <row r="443" ht="34" customHeight="1">
      <c r="A443" s="15" t="inlineStr">
        <is>
          <t xml:space="preserve">v0.7</t>
        </is>
      </c>
      <c r="B443" s="15" t="inlineStr">
        <is>
          <t xml:space="preserve">Bible_Journey_Canon_Map_v0_7_Gospel_Chronology.xlsx</t>
        </is>
      </c>
      <c r="C443" s="15" t="inlineStr">
        <is>
          <t xml:space="preserve">CRS-07-080</t>
        </is>
      </c>
      <c r="D443" s="15">
        <v>80</v>
      </c>
      <c r="E443" s="15">
        <v>7</v>
      </c>
      <c r="F443" s="15" t="inlineStr">
        <is>
          <t xml:space="preserve">Canonical Reading Set</t>
        </is>
      </c>
      <c r="G443" s="15" t="inlineStr">
        <is>
          <t xml:space="preserve">Gospels / Ministry of Jesus</t>
        </is>
      </c>
      <c r="H443" s="15"/>
      <c r="I443" s="15" t="inlineStr">
        <is>
          <t xml:space="preserve">Plot, Judas, and Passover preparation</t>
        </is>
      </c>
      <c r="J443" s="15"/>
      <c r="K443" s="15" t="inlineStr">
        <is>
          <t xml:space="preserve">High confidence</t>
        </is>
      </c>
      <c r="L443" s="15" t="inlineStr">
        <is>
          <t xml:space="preserve">Probable</t>
        </is>
      </c>
      <c r="M443" s="15" t="inlineStr">
        <is>
          <t xml:space="preserve">Passion week</t>
        </is>
      </c>
      <c r="N443" s="15" t="inlineStr">
        <is>
          <t xml:space="preserve">Read all listed plot/preparation blocks; Bethany anointing remains in prior linked set.</t>
        </is>
      </c>
      <c r="O443" s="15" t="inlineStr">
        <is>
          <t xml:space="preserve">Read Mark 14:1-2,10-16; other accounts remain visible.</t>
        </is>
      </c>
      <c r="P443" s="15" t="inlineStr">
        <is>
          <t xml:space="preserve">Compare Accounts: plot, Judas, and preparation.</t>
        </is>
      </c>
      <c r="Q443" s="15" t="inlineStr">
        <is>
          <t xml:space="preserve">Journey: The Life of Jesus | Act V: Jerusalem and Passion</t>
        </is>
      </c>
      <c r="R443" s="15"/>
      <c r="S443" s="15" t="inlineStr">
        <is>
          <t xml:space="preserve">SRC-07-05; SRC-07-09</t>
        </is>
      </c>
      <c r="T443" s="15"/>
      <c r="U443" s="13" t="inlineStr">
        <is>
          <t xml:space="preserve">Draft</t>
        </is>
      </c>
      <c r="V443" s="15" t="inlineStr">
        <is>
          <t xml:space="preserve">No</t>
        </is>
      </c>
      <c r="W443" s="15" t="inlineStr">
        <is>
          <t xml:space="preserve">Reference ranges exclude anointing verses read in prior Bethany set.</t>
        </is>
      </c>
    </row>
    <row r="444" ht="34" customHeight="1">
      <c r="A444" s="15" t="inlineStr">
        <is>
          <t xml:space="preserve">v0.7</t>
        </is>
      </c>
      <c r="B444" s="15" t="inlineStr">
        <is>
          <t xml:space="preserve">Bible_Journey_Canon_Map_v0_7_Gospel_Chronology.xlsx</t>
        </is>
      </c>
      <c r="C444" s="15" t="inlineStr">
        <is>
          <t xml:space="preserve">CRS-07-081</t>
        </is>
      </c>
      <c r="D444" s="15">
        <v>81</v>
      </c>
      <c r="E444" s="15">
        <v>7</v>
      </c>
      <c r="F444" s="15" t="inlineStr">
        <is>
          <t xml:space="preserve">Canonical Reading Set</t>
        </is>
      </c>
      <c r="G444" s="15" t="inlineStr">
        <is>
          <t xml:space="preserve">Gospels / Ministry of Jesus</t>
        </is>
      </c>
      <c r="H444" s="15"/>
      <c r="I444" s="15" t="inlineStr">
        <is>
          <t xml:space="preserve">Last Supper in the Synoptics</t>
        </is>
      </c>
      <c r="J444" s="15"/>
      <c r="K444" s="15" t="inlineStr">
        <is>
          <t xml:space="preserve">High confidence</t>
        </is>
      </c>
      <c r="L444" s="15" t="inlineStr">
        <is>
          <t xml:space="preserve">Probable</t>
        </is>
      </c>
      <c r="M444" s="15" t="inlineStr">
        <is>
          <t xml:space="preserve">Passion week</t>
        </is>
      </c>
      <c r="N444" s="15" t="inlineStr">
        <is>
          <t xml:space="preserve">Read Mark 14:17-31, Matthew 26:20-35, and Luke 22:14-38.</t>
        </is>
      </c>
      <c r="O444" s="15" t="inlineStr">
        <is>
          <t xml:space="preserve">Read Mark 14:17-31; other accounts remain visible, then continue to John 13-17.</t>
        </is>
      </c>
      <c r="P444" s="15" t="inlineStr">
        <is>
          <t xml:space="preserve">Compare Accounts: Last Supper; show Passover-timing note without forcing solution.</t>
        </is>
      </c>
      <c r="Q444" s="15" t="inlineStr">
        <is>
          <t xml:space="preserve">Journey: The Life of Jesus | Act V: Jerusalem and Passion</t>
        </is>
      </c>
      <c r="R444" s="15"/>
      <c r="S444" s="15" t="inlineStr">
        <is>
          <t xml:space="preserve">SRC-07-05</t>
        </is>
      </c>
      <c r="T444" s="15"/>
      <c r="U444" s="13" t="inlineStr">
        <is>
          <t xml:space="preserve">Draft</t>
        </is>
      </c>
      <c r="V444" s="15" t="inlineStr">
        <is>
          <t xml:space="preserve">Yes</t>
        </is>
      </c>
      <c r="W444" s="15" t="inlineStr">
        <is>
          <t xml:space="preserve">John's farewell material follows as distinct block; do not hide chronology questions.</t>
        </is>
      </c>
    </row>
    <row r="445" ht="34" customHeight="1">
      <c r="A445" s="15" t="inlineStr">
        <is>
          <t xml:space="preserve">v0.7</t>
        </is>
      </c>
      <c r="B445" s="15" t="inlineStr">
        <is>
          <t xml:space="preserve">Bible_Journey_Canon_Map_v0_7_Gospel_Chronology.xlsx</t>
        </is>
      </c>
      <c r="C445" s="15" t="inlineStr">
        <is>
          <t xml:space="preserve">CRS-07-082</t>
        </is>
      </c>
      <c r="D445" s="15">
        <v>82</v>
      </c>
      <c r="E445" s="15">
        <v>7</v>
      </c>
      <c r="F445" s="15" t="inlineStr">
        <is>
          <t xml:space="preserve">Canonical Reading Set</t>
        </is>
      </c>
      <c r="G445" s="15" t="inlineStr">
        <is>
          <t xml:space="preserve">Gospels / Ministry of Jesus</t>
        </is>
      </c>
      <c r="H445" s="15"/>
      <c r="I445" s="15" t="inlineStr">
        <is>
          <t xml:space="preserve">Footwashing and farewell discourse in John</t>
        </is>
      </c>
      <c r="J445" s="15"/>
      <c r="K445" s="15" t="inlineStr">
        <is>
          <t xml:space="preserve">High confidence</t>
        </is>
      </c>
      <c r="L445" s="15" t="inlineStr">
        <is>
          <t xml:space="preserve">Probable</t>
        </is>
      </c>
      <c r="M445" s="15" t="inlineStr">
        <is>
          <t xml:space="preserve">Passion week</t>
        </is>
      </c>
      <c r="N445" s="15" t="inlineStr">
        <is>
          <t xml:space="preserve">Read John 13-17 intact after Synoptic Last Supper.</t>
        </is>
      </c>
      <c r="O445" s="15" t="inlineStr">
        <is>
          <t xml:space="preserve">Read John 13-17; unique material.</t>
        </is>
      </c>
      <c r="P445" s="15" t="inlineStr">
        <is>
          <t xml:space="preserve">Not applicable</t>
        </is>
      </c>
      <c r="Q445" s="15" t="inlineStr">
        <is>
          <t xml:space="preserve">Journey: The Life of Jesus | Act V: Jerusalem and Passion</t>
        </is>
      </c>
      <c r="R445" s="15"/>
      <c r="S445" s="15" t="inlineStr">
        <is>
          <t xml:space="preserve">SRC-07-10; SRC-07-12</t>
        </is>
      </c>
      <c r="T445" s="15"/>
      <c r="U445" s="13" t="inlineStr">
        <is>
          <t xml:space="preserve">Draft</t>
        </is>
      </c>
      <c r="V445" s="15" t="inlineStr">
        <is>
          <t xml:space="preserve">No</t>
        </is>
      </c>
      <c r="W445" s="15" t="inlineStr">
        <is>
          <t xml:space="preserve">John narrates footwashing, departure, farewell teaching, and prayer in a distinct extended account.</t>
        </is>
      </c>
    </row>
    <row r="446" ht="34" customHeight="1">
      <c r="A446" s="15" t="inlineStr">
        <is>
          <t xml:space="preserve">v0.7</t>
        </is>
      </c>
      <c r="B446" s="15" t="inlineStr">
        <is>
          <t xml:space="preserve">Bible_Journey_Canon_Map_v0_7_Gospel_Chronology.xlsx</t>
        </is>
      </c>
      <c r="C446" s="15" t="inlineStr">
        <is>
          <t xml:space="preserve">CRS-07-083</t>
        </is>
      </c>
      <c r="D446" s="15">
        <v>83</v>
      </c>
      <c r="E446" s="15">
        <v>7</v>
      </c>
      <c r="F446" s="15" t="inlineStr">
        <is>
          <t xml:space="preserve">Canonical Reading Set</t>
        </is>
      </c>
      <c r="G446" s="15" t="inlineStr">
        <is>
          <t xml:space="preserve">Gospels / Ministry of Jesus</t>
        </is>
      </c>
      <c r="H446" s="15"/>
      <c r="I446" s="15" t="inlineStr">
        <is>
          <t xml:space="preserve">Gethsemane and arrest</t>
        </is>
      </c>
      <c r="J446" s="15"/>
      <c r="K446" s="15" t="inlineStr">
        <is>
          <t xml:space="preserve">High confidence</t>
        </is>
      </c>
      <c r="L446" s="15" t="inlineStr">
        <is>
          <t xml:space="preserve">High confidence</t>
        </is>
      </c>
      <c r="M446" s="15" t="inlineStr">
        <is>
          <t xml:space="preserve">Passion night</t>
        </is>
      </c>
      <c r="N446" s="15" t="inlineStr">
        <is>
          <t xml:space="preserve">Read all four linked Gethsemane/arrest accounts.</t>
        </is>
      </c>
      <c r="O446" s="15" t="inlineStr">
        <is>
          <t xml:space="preserve">Read Mark 14:32-52; other accounts remain visible.</t>
        </is>
      </c>
      <c r="P446" s="15" t="inlineStr">
        <is>
          <t xml:space="preserve">Compare Accounts: Gethsemane/arrest accounts.</t>
        </is>
      </c>
      <c r="Q446" s="15" t="inlineStr">
        <is>
          <t xml:space="preserve">Journey: The Life of Jesus | Act V: Jerusalem and Passion</t>
        </is>
      </c>
      <c r="R446" s="15"/>
      <c r="S446" s="15" t="inlineStr">
        <is>
          <t xml:space="preserve">SRC-07-05; SRC-07-09; SRC-07-10</t>
        </is>
      </c>
      <c r="T446" s="15"/>
      <c r="U446" s="13" t="inlineStr">
        <is>
          <t xml:space="preserve">Draft</t>
        </is>
      </c>
      <c r="V446" s="15" t="inlineStr">
        <is>
          <t xml:space="preserve">No</t>
        </is>
      </c>
      <c r="W446" s="15" t="inlineStr">
        <is>
          <t xml:space="preserve">All four Gospels narrate the arrest; John gives a distinct account while the Synoptics include Gethsemane prayer.</t>
        </is>
      </c>
    </row>
    <row r="447" ht="34" customHeight="1">
      <c r="A447" s="15" t="inlineStr">
        <is>
          <t xml:space="preserve">v0.7</t>
        </is>
      </c>
      <c r="B447" s="15" t="inlineStr">
        <is>
          <t xml:space="preserve">Bible_Journey_Canon_Map_v0_7_Gospel_Chronology.xlsx</t>
        </is>
      </c>
      <c r="C447" s="15" t="inlineStr">
        <is>
          <t xml:space="preserve">CRS-07-084</t>
        </is>
      </c>
      <c r="D447" s="15">
        <v>84</v>
      </c>
      <c r="E447" s="15">
        <v>7</v>
      </c>
      <c r="F447" s="15" t="inlineStr">
        <is>
          <t xml:space="preserve">Canonical Reading Set</t>
        </is>
      </c>
      <c r="G447" s="15" t="inlineStr">
        <is>
          <t xml:space="preserve">Gospels / Ministry of Jesus</t>
        </is>
      </c>
      <c r="H447" s="15"/>
      <c r="I447" s="15" t="inlineStr">
        <is>
          <t xml:space="preserve">Jewish hearings and Peter's denials</t>
        </is>
      </c>
      <c r="J447" s="15"/>
      <c r="K447" s="15" t="inlineStr">
        <is>
          <t xml:space="preserve">High confidence</t>
        </is>
      </c>
      <c r="L447" s="15" t="inlineStr">
        <is>
          <t xml:space="preserve">Probable</t>
        </is>
      </c>
      <c r="M447" s="15" t="inlineStr">
        <is>
          <t xml:space="preserve">Passion night</t>
        </is>
      </c>
      <c r="N447" s="15" t="inlineStr">
        <is>
          <t xml:space="preserve">Read all four hearing/denial accounts.</t>
        </is>
      </c>
      <c r="O447" s="15" t="inlineStr">
        <is>
          <t xml:space="preserve">Read Mark 14:53-72; other accounts remain visible.</t>
        </is>
      </c>
      <c r="P447" s="15" t="inlineStr">
        <is>
          <t xml:space="preserve">Compare Accounts: hearings and Peter's denials.</t>
        </is>
      </c>
      <c r="Q447" s="15" t="inlineStr">
        <is>
          <t xml:space="preserve">Journey: The Life of Jesus | Act V: Jerusalem and Passion</t>
        </is>
      </c>
      <c r="R447" s="15"/>
      <c r="S447" s="15" t="inlineStr">
        <is>
          <t xml:space="preserve">SRC-07-05; SRC-07-08; SRC-07-10</t>
        </is>
      </c>
      <c r="T447" s="15"/>
      <c r="U447" s="13" t="inlineStr">
        <is>
          <t xml:space="preserve">Draft</t>
        </is>
      </c>
      <c r="V447" s="15" t="inlineStr">
        <is>
          <t xml:space="preserve">No</t>
        </is>
      </c>
      <c r="W447" s="15" t="inlineStr">
        <is>
          <t xml:space="preserve">The Gospels narrate hearings before Jewish authorities and Peter's denials with different sequencing and emphasis.</t>
        </is>
      </c>
    </row>
    <row r="448" ht="34" customHeight="1">
      <c r="A448" s="15" t="inlineStr">
        <is>
          <t xml:space="preserve">v0.7</t>
        </is>
      </c>
      <c r="B448" s="15" t="inlineStr">
        <is>
          <t xml:space="preserve">Bible_Journey_Canon_Map_v0_7_Gospel_Chronology.xlsx</t>
        </is>
      </c>
      <c r="C448" s="15" t="inlineStr">
        <is>
          <t xml:space="preserve">CRS-07-085</t>
        </is>
      </c>
      <c r="D448" s="15">
        <v>85</v>
      </c>
      <c r="E448" s="15">
        <v>7</v>
      </c>
      <c r="F448" s="15" t="inlineStr">
        <is>
          <t xml:space="preserve">Canonical Reading Set</t>
        </is>
      </c>
      <c r="G448" s="15" t="inlineStr">
        <is>
          <t xml:space="preserve">Gospels / Ministry of Jesus</t>
        </is>
      </c>
      <c r="H448" s="15"/>
      <c r="I448" s="15" t="inlineStr">
        <is>
          <t xml:space="preserve">Roman trial</t>
        </is>
      </c>
      <c r="J448" s="15"/>
      <c r="K448" s="15" t="inlineStr">
        <is>
          <t xml:space="preserve">High confidence</t>
        </is>
      </c>
      <c r="L448" s="15" t="inlineStr">
        <is>
          <t xml:space="preserve">Probable</t>
        </is>
      </c>
      <c r="M448" s="15" t="inlineStr">
        <is>
          <t xml:space="preserve">Passion day</t>
        </is>
      </c>
      <c r="N448" s="15" t="inlineStr">
        <is>
          <t xml:space="preserve">Read all four Roman trial accounts.</t>
        </is>
      </c>
      <c r="O448" s="15" t="inlineStr">
        <is>
          <t xml:space="preserve">Read Mark 15:1-20; other accounts remain visible.</t>
        </is>
      </c>
      <c r="P448" s="15" t="inlineStr">
        <is>
          <t xml:space="preserve">Compare Accounts: Roman trial.</t>
        </is>
      </c>
      <c r="Q448" s="15" t="inlineStr">
        <is>
          <t xml:space="preserve">Journey: The Life of Jesus | Act V: Jerusalem and Passion</t>
        </is>
      </c>
      <c r="R448" s="15"/>
      <c r="S448" s="15" t="inlineStr">
        <is>
          <t xml:space="preserve">SRC-07-03; SRC-07-05; SRC-07-08; SRC-07-10</t>
        </is>
      </c>
      <c r="T448" s="15"/>
      <c r="U448" s="13" t="inlineStr">
        <is>
          <t xml:space="preserve">Draft</t>
        </is>
      </c>
      <c r="V448" s="15" t="inlineStr">
        <is>
          <t xml:space="preserve">No</t>
        </is>
      </c>
      <c r="W448" s="15" t="inlineStr">
        <is>
          <t xml:space="preserve">The Gospels narrate proceedings before Pilate; Luke includes Herod and John includes extended Pilate dialogue.</t>
        </is>
      </c>
    </row>
    <row r="449" ht="34" customHeight="1">
      <c r="A449" s="15" t="inlineStr">
        <is>
          <t xml:space="preserve">v0.7</t>
        </is>
      </c>
      <c r="B449" s="15" t="inlineStr">
        <is>
          <t xml:space="preserve">Bible_Journey_Canon_Map_v0_7_Gospel_Chronology.xlsx</t>
        </is>
      </c>
      <c r="C449" s="15" t="inlineStr">
        <is>
          <t xml:space="preserve">CRS-07-086</t>
        </is>
      </c>
      <c r="D449" s="15">
        <v>86</v>
      </c>
      <c r="E449" s="15">
        <v>7</v>
      </c>
      <c r="F449" s="15" t="inlineStr">
        <is>
          <t xml:space="preserve">Canonical Reading Set</t>
        </is>
      </c>
      <c r="G449" s="15" t="inlineStr">
        <is>
          <t xml:space="preserve">Gospels / Ministry of Jesus</t>
        </is>
      </c>
      <c r="H449" s="15"/>
      <c r="I449" s="15" t="inlineStr">
        <is>
          <t xml:space="preserve">Crucifixion</t>
        </is>
      </c>
      <c r="J449" s="15"/>
      <c r="K449" s="15" t="inlineStr">
        <is>
          <t xml:space="preserve">High confidence</t>
        </is>
      </c>
      <c r="L449" s="15" t="inlineStr">
        <is>
          <t xml:space="preserve">High confidence</t>
        </is>
      </c>
      <c r="M449" s="15" t="inlineStr">
        <is>
          <t xml:space="preserve">Passion day</t>
        </is>
      </c>
      <c r="N449" s="15" t="inlineStr">
        <is>
          <t xml:space="preserve">Read all four crucifixion accounts.</t>
        </is>
      </c>
      <c r="O449" s="15" t="inlineStr">
        <is>
          <t xml:space="preserve">Read Mark 15:21-41; all other accounts remain visible.</t>
        </is>
      </c>
      <c r="P449" s="15" t="inlineStr">
        <is>
          <t xml:space="preserve">Compare Accounts: crucifixion.</t>
        </is>
      </c>
      <c r="Q449" s="15" t="inlineStr">
        <is>
          <t xml:space="preserve">Journey: The Life of Jesus | Act V: Jerusalem and Passion</t>
        </is>
      </c>
      <c r="R449" s="15"/>
      <c r="S449" s="15" t="inlineStr">
        <is>
          <t xml:space="preserve">SRC-07-03; SRC-07-05; SRC-07-10</t>
        </is>
      </c>
      <c r="T449" s="15"/>
      <c r="U449" s="13" t="inlineStr">
        <is>
          <t xml:space="preserve">Draft</t>
        </is>
      </c>
      <c r="V449" s="15" t="inlineStr">
        <is>
          <t xml:space="preserve">No</t>
        </is>
      </c>
      <c r="W449" s="15" t="inlineStr">
        <is>
          <t xml:space="preserve">All four Gospels narrate the crucifixion with distinctive sayings, witnesses, and framing.</t>
        </is>
      </c>
    </row>
    <row r="450" ht="34" customHeight="1">
      <c r="A450" s="15" t="inlineStr">
        <is>
          <t xml:space="preserve">v0.7</t>
        </is>
      </c>
      <c r="B450" s="15" t="inlineStr">
        <is>
          <t xml:space="preserve">Bible_Journey_Canon_Map_v0_7_Gospel_Chronology.xlsx</t>
        </is>
      </c>
      <c r="C450" s="15" t="inlineStr">
        <is>
          <t xml:space="preserve">CRS-07-087</t>
        </is>
      </c>
      <c r="D450" s="15">
        <v>87</v>
      </c>
      <c r="E450" s="15">
        <v>7</v>
      </c>
      <c r="F450" s="15" t="inlineStr">
        <is>
          <t xml:space="preserve">Canonical Reading Set</t>
        </is>
      </c>
      <c r="G450" s="15" t="inlineStr">
        <is>
          <t xml:space="preserve">Gospels / Ministry of Jesus</t>
        </is>
      </c>
      <c r="H450" s="15"/>
      <c r="I450" s="15" t="inlineStr">
        <is>
          <t xml:space="preserve">Burial and the guard tradition</t>
        </is>
      </c>
      <c r="J450" s="15"/>
      <c r="K450" s="15" t="inlineStr">
        <is>
          <t xml:space="preserve">High confidence</t>
        </is>
      </c>
      <c r="L450" s="15" t="inlineStr">
        <is>
          <t xml:space="preserve">High confidence</t>
        </is>
      </c>
      <c r="M450" s="15" t="inlineStr">
        <is>
          <t xml:space="preserve">Passion day / Sabbath</t>
        </is>
      </c>
      <c r="N450" s="15" t="inlineStr">
        <is>
          <t xml:space="preserve">Read all four burial accounts.</t>
        </is>
      </c>
      <c r="O450" s="15" t="inlineStr">
        <is>
          <t xml:space="preserve">Read Mark 15:42-47; other accounts remain visible.</t>
        </is>
      </c>
      <c r="P450" s="15" t="inlineStr">
        <is>
          <t xml:space="preserve">Compare Accounts: burial accounts.</t>
        </is>
      </c>
      <c r="Q450" s="15" t="inlineStr">
        <is>
          <t xml:space="preserve">Journey: The Life of Jesus | Act V: Jerusalem and Passion</t>
        </is>
      </c>
      <c r="R450" s="15"/>
      <c r="S450" s="15" t="inlineStr">
        <is>
          <t xml:space="preserve">SRC-07-05; SRC-07-10</t>
        </is>
      </c>
      <c r="T450" s="15"/>
      <c r="U450" s="13" t="inlineStr">
        <is>
          <t xml:space="preserve">Draft</t>
        </is>
      </c>
      <c r="V450" s="15" t="inlineStr">
        <is>
          <t xml:space="preserve">No</t>
        </is>
      </c>
      <c r="W450" s="15" t="inlineStr">
        <is>
          <t xml:space="preserve">The Gospels narrate burial; Matthew includes the guard at the tomb.</t>
        </is>
      </c>
    </row>
    <row r="451" ht="34" customHeight="1">
      <c r="A451" s="15" t="inlineStr">
        <is>
          <t xml:space="preserve">v0.7</t>
        </is>
      </c>
      <c r="B451" s="15" t="inlineStr">
        <is>
          <t xml:space="preserve">Bible_Journey_Canon_Map_v0_7_Gospel_Chronology.xlsx</t>
        </is>
      </c>
      <c r="C451" s="15" t="inlineStr">
        <is>
          <t xml:space="preserve">CRS-07-088</t>
        </is>
      </c>
      <c r="D451" s="15">
        <v>88</v>
      </c>
      <c r="E451" s="15">
        <v>7</v>
      </c>
      <c r="F451" s="15" t="inlineStr">
        <is>
          <t xml:space="preserve">Canonical Reading Set</t>
        </is>
      </c>
      <c r="G451" s="15" t="inlineStr">
        <is>
          <t xml:space="preserve">Gospels / Ministry of Jesus</t>
        </is>
      </c>
      <c r="H451" s="15"/>
      <c r="I451" s="15" t="inlineStr">
        <is>
          <t xml:space="preserve">Resurrection morning</t>
        </is>
      </c>
      <c r="J451" s="15"/>
      <c r="K451" s="15" t="inlineStr">
        <is>
          <t xml:space="preserve">High confidence</t>
        </is>
      </c>
      <c r="L451" s="15" t="inlineStr">
        <is>
          <t xml:space="preserve">Probable</t>
        </is>
      </c>
      <c r="M451" s="15" t="inlineStr">
        <is>
          <t xml:space="preserve">Resurrection</t>
        </is>
      </c>
      <c r="N451" s="15" t="inlineStr">
        <is>
          <t xml:space="preserve">Read all four resurrection-morning accounts.</t>
        </is>
      </c>
      <c r="O451" s="15" t="inlineStr">
        <is>
          <t xml:space="preserve">Read Mark 16:1-8; accounts remain visible.</t>
        </is>
      </c>
      <c r="P451" s="15" t="inlineStr">
        <is>
          <t xml:space="preserve">Compare Accounts: resurrection morning. Use scene-level comparison, no single synthetic order.</t>
        </is>
      </c>
      <c r="Q451" s="15" t="inlineStr">
        <is>
          <t xml:space="preserve">Journey: The Life of Jesus | Act VI: Resurrection</t>
        </is>
      </c>
      <c r="R451" s="15"/>
      <c r="S451" s="15" t="inlineStr">
        <is>
          <t xml:space="preserve">SRC-07-03; SRC-07-05; SRC-07-10</t>
        </is>
      </c>
      <c r="T451" s="15"/>
      <c r="U451" s="13" t="inlineStr">
        <is>
          <t xml:space="preserve">Draft</t>
        </is>
      </c>
      <c r="V451" s="15" t="inlineStr">
        <is>
          <t xml:space="preserve">Yes</t>
        </is>
      </c>
      <c r="W451" s="15" t="inlineStr">
        <is>
          <t xml:space="preserve">Do not present a definitive minute-by-minute composite.</t>
        </is>
      </c>
    </row>
    <row r="452" ht="34" customHeight="1">
      <c r="A452" s="15" t="inlineStr">
        <is>
          <t xml:space="preserve">v0.7</t>
        </is>
      </c>
      <c r="B452" s="15" t="inlineStr">
        <is>
          <t xml:space="preserve">Bible_Journey_Canon_Map_v0_7_Gospel_Chronology.xlsx</t>
        </is>
      </c>
      <c r="C452" s="15" t="inlineStr">
        <is>
          <t xml:space="preserve">CRS-07-089</t>
        </is>
      </c>
      <c r="D452" s="15">
        <v>89</v>
      </c>
      <c r="E452" s="15">
        <v>7</v>
      </c>
      <c r="F452" s="15" t="inlineStr">
        <is>
          <t xml:space="preserve">Canonical Reading Set</t>
        </is>
      </c>
      <c r="G452" s="15" t="inlineStr">
        <is>
          <t xml:space="preserve">Gospels / Ministry of Jesus</t>
        </is>
      </c>
      <c r="H452" s="15"/>
      <c r="I452" s="15" t="inlineStr">
        <is>
          <t xml:space="preserve">Resurrection appearances and commission</t>
        </is>
      </c>
      <c r="J452" s="15"/>
      <c r="K452" s="15" t="inlineStr">
        <is>
          <t xml:space="preserve">High confidence</t>
        </is>
      </c>
      <c r="L452" s="15" t="inlineStr">
        <is>
          <t xml:space="preserve">Debated</t>
        </is>
      </c>
      <c r="M452" s="15" t="inlineStr">
        <is>
          <t xml:space="preserve">Resurrection</t>
        </is>
      </c>
      <c r="N452" s="15" t="inlineStr">
        <is>
          <t xml:space="preserve">Read Matthew 28:11-20, Luke 24:13-53, John 20:19-31, and Mark 16:9-20 with visible note.</t>
        </is>
      </c>
      <c r="O452" s="15" t="inlineStr">
        <is>
          <t xml:space="preserve">Read Matthew 28:11-20; Luke and John remain visible; Mark 16:9-20 follows selected translation treatment.</t>
        </is>
      </c>
      <c r="P452" s="15" t="inlineStr">
        <is>
          <t xml:space="preserve">Compare Accounts: appearances/commission with text-critical note for Mark 16:9-20.</t>
        </is>
      </c>
      <c r="Q452" s="15" t="inlineStr">
        <is>
          <t xml:space="preserve">Journey: The Life of Jesus | Act VI: Resurrection</t>
        </is>
      </c>
      <c r="R452" s="15"/>
      <c r="S452" s="15" t="inlineStr">
        <is>
          <t xml:space="preserve">SRC-07-03; SRC-07-05; SRC-07-07; SRC-07-10</t>
        </is>
      </c>
      <c r="T452" s="15"/>
      <c r="U452" s="13" t="inlineStr">
        <is>
          <t xml:space="preserve">Draft</t>
        </is>
      </c>
      <c r="V452" s="15" t="inlineStr">
        <is>
          <t xml:space="preserve">Yes</t>
        </is>
      </c>
      <c r="W452" s="15" t="inlineStr">
        <is>
          <t xml:space="preserve">Do not imply a unanimous fixed order across all accounts.</t>
        </is>
      </c>
    </row>
    <row r="453" ht="34" customHeight="1">
      <c r="A453" s="15" t="inlineStr">
        <is>
          <t xml:space="preserve">v0.7</t>
        </is>
      </c>
      <c r="B453" s="15" t="inlineStr">
        <is>
          <t xml:space="preserve">Bible_Journey_Canon_Map_v0_7_Gospel_Chronology.xlsx</t>
        </is>
      </c>
      <c r="C453" s="15" t="inlineStr">
        <is>
          <t xml:space="preserve">CRS-07-090</t>
        </is>
      </c>
      <c r="D453" s="15">
        <v>90</v>
      </c>
      <c r="E453" s="15">
        <v>7</v>
      </c>
      <c r="F453" s="15" t="inlineStr">
        <is>
          <t xml:space="preserve">Canonical Reading Set</t>
        </is>
      </c>
      <c r="G453" s="15" t="inlineStr">
        <is>
          <t xml:space="preserve">Gospels / Ministry of Jesus</t>
        </is>
      </c>
      <c r="H453" s="15"/>
      <c r="I453" s="15" t="inlineStr">
        <is>
          <t xml:space="preserve">John's epilogue by the sea</t>
        </is>
      </c>
      <c r="J453" s="15"/>
      <c r="K453" s="15" t="inlineStr">
        <is>
          <t xml:space="preserve">High confidence</t>
        </is>
      </c>
      <c r="L453" s="15" t="inlineStr">
        <is>
          <t xml:space="preserve">Probable</t>
        </is>
      </c>
      <c r="M453" s="15" t="inlineStr">
        <is>
          <t xml:space="preserve">Resurrection</t>
        </is>
      </c>
      <c r="N453" s="15" t="inlineStr">
        <is>
          <t xml:space="preserve">Read John 21 as final canonical block of Gospel stream.</t>
        </is>
      </c>
      <c r="O453" s="15" t="inlineStr">
        <is>
          <t xml:space="preserve">Read John 21.</t>
        </is>
      </c>
      <c r="P453" s="15" t="inlineStr">
        <is>
          <t xml:space="preserve">Not applicable</t>
        </is>
      </c>
      <c r="Q453" s="15" t="inlineStr">
        <is>
          <t xml:space="preserve">Journey: The Life of Jesus | Act VI: Resurrection</t>
        </is>
      </c>
      <c r="R453" s="15"/>
      <c r="S453" s="15" t="inlineStr">
        <is>
          <t xml:space="preserve">SRC-07-10</t>
        </is>
      </c>
      <c r="T453" s="15"/>
      <c r="U453" s="13" t="inlineStr">
        <is>
          <t xml:space="preserve">Draft</t>
        </is>
      </c>
      <c r="V453" s="15" t="inlineStr">
        <is>
          <t xml:space="preserve">No</t>
        </is>
      </c>
      <c r="W453" s="15" t="inlineStr">
        <is>
          <t xml:space="preserve">Next Bible Stream handoff is Acts 1 in v0.8.</t>
        </is>
      </c>
    </row>
    <row r="454" ht="34" customHeight="1">
      <c r="A454" s="15" t="inlineStr">
        <is>
          <t xml:space="preserve">v0.8</t>
        </is>
      </c>
      <c r="B454" s="15" t="inlineStr">
        <is>
          <t xml:space="preserve">Bible_Journey_Canon_Map_v0_8_Acts_Pauline_Letters.xlsx</t>
        </is>
      </c>
      <c r="C454" s="15" t="inlineStr">
        <is>
          <t xml:space="preserve">CRS-NT-001</t>
        </is>
      </c>
      <c r="D454" s="15">
        <v>1</v>
      </c>
      <c r="E454" s="15">
        <v>8</v>
      </c>
      <c r="F454" s="15"/>
      <c r="G454" s="15" t="inlineStr">
        <is>
          <t xml:space="preserve">Acts / Jerusalem</t>
        </is>
      </c>
      <c r="H454" s="15" t="inlineStr">
        <is>
          <t xml:space="preserve">Origins</t>
        </is>
      </c>
      <c r="I454" s="15" t="inlineStr">
        <is>
          <t xml:space="preserve">Ascension and waiting</t>
        </is>
      </c>
      <c r="J454" s="15"/>
      <c r="K454" s="15"/>
      <c r="L454" s="15"/>
      <c r="M454" s="15"/>
      <c r="N454" s="15"/>
      <c r="O454" s="15" t="inlineStr">
        <is>
          <t xml:space="preserve">Acts 1</t>
        </is>
      </c>
      <c r="P454" s="15"/>
      <c r="Q454" s="15"/>
      <c r="R454" s="15"/>
      <c r="S454" s="15" t="inlineStr">
        <is>
          <t xml:space="preserve">S07</t>
        </is>
      </c>
      <c r="T454" s="15"/>
      <c r="U454" s="11" t="inlineStr">
        <is>
          <t xml:space="preserve">Ready for editorial review</t>
        </is>
      </c>
      <c r="V454" s="15"/>
      <c r="W454" s="15" t="inlineStr">
        <is>
          <t xml:space="preserve">The first unit begins with ascension, prayer, and restoration of the Twelve.</t>
        </is>
      </c>
    </row>
    <row r="455" ht="34" customHeight="1">
      <c r="A455" s="15" t="inlineStr">
        <is>
          <t xml:space="preserve">v0.8</t>
        </is>
      </c>
      <c r="B455" s="15" t="inlineStr">
        <is>
          <t xml:space="preserve">Bible_Journey_Canon_Map_v0_8_Acts_Pauline_Letters.xlsx</t>
        </is>
      </c>
      <c r="C455" s="15" t="inlineStr">
        <is>
          <t xml:space="preserve">CRS-NT-002</t>
        </is>
      </c>
      <c r="D455" s="15">
        <v>2</v>
      </c>
      <c r="E455" s="15">
        <v>8</v>
      </c>
      <c r="F455" s="15"/>
      <c r="G455" s="15" t="inlineStr">
        <is>
          <t xml:space="preserve">Acts / Jerusalem</t>
        </is>
      </c>
      <c r="H455" s="15" t="inlineStr">
        <is>
          <t xml:space="preserve">Origins</t>
        </is>
      </c>
      <c r="I455" s="15" t="inlineStr">
        <is>
          <t xml:space="preserve">Pentecost and the first community</t>
        </is>
      </c>
      <c r="J455" s="15"/>
      <c r="K455" s="15"/>
      <c r="L455" s="15"/>
      <c r="M455" s="15"/>
      <c r="N455" s="15"/>
      <c r="O455" s="15" t="inlineStr">
        <is>
          <t xml:space="preserve">Acts 2</t>
        </is>
      </c>
      <c r="P455" s="15"/>
      <c r="Q455" s="15"/>
      <c r="R455" s="15"/>
      <c r="S455" s="15" t="inlineStr">
        <is>
          <t xml:space="preserve">S07</t>
        </is>
      </c>
      <c r="T455" s="15"/>
      <c r="U455" s="11" t="inlineStr">
        <is>
          <t xml:space="preserve">Ready for editorial review</t>
        </is>
      </c>
      <c r="V455" s="15"/>
      <c r="W455" s="15" t="inlineStr">
        <is>
          <t xml:space="preserve">Core Jerusalem community unit.</t>
        </is>
      </c>
    </row>
    <row r="456" ht="34" customHeight="1">
      <c r="A456" s="15" t="inlineStr">
        <is>
          <t xml:space="preserve">v0.8</t>
        </is>
      </c>
      <c r="B456" s="15" t="inlineStr">
        <is>
          <t xml:space="preserve">Bible_Journey_Canon_Map_v0_8_Acts_Pauline_Letters.xlsx</t>
        </is>
      </c>
      <c r="C456" s="15" t="inlineStr">
        <is>
          <t xml:space="preserve">CRS-NT-003</t>
        </is>
      </c>
      <c r="D456" s="15">
        <v>3</v>
      </c>
      <c r="E456" s="15">
        <v>8</v>
      </c>
      <c r="F456" s="15"/>
      <c r="G456" s="15" t="inlineStr">
        <is>
          <t xml:space="preserve">Acts / Jerusalem</t>
        </is>
      </c>
      <c r="H456" s="15" t="inlineStr">
        <is>
          <t xml:space="preserve">Origins</t>
        </is>
      </c>
      <c r="I456" s="15" t="inlineStr">
        <is>
          <t xml:space="preserve">Temple witness and first opposition</t>
        </is>
      </c>
      <c r="J456" s="15"/>
      <c r="K456" s="15"/>
      <c r="L456" s="15"/>
      <c r="M456" s="15"/>
      <c r="N456" s="15"/>
      <c r="O456" s="15" t="inlineStr">
        <is>
          <t xml:space="preserve">Acts 3–4</t>
        </is>
      </c>
      <c r="P456" s="15"/>
      <c r="Q456" s="15"/>
      <c r="R456" s="15"/>
      <c r="S456" s="15" t="inlineStr">
        <is>
          <t xml:space="preserve">S07</t>
        </is>
      </c>
      <c r="T456" s="15"/>
      <c r="U456" s="11" t="inlineStr">
        <is>
          <t xml:space="preserve">Ready for editorial review</t>
        </is>
      </c>
      <c r="V456" s="15"/>
      <c r="W456" s="15" t="inlineStr">
        <is>
          <t xml:space="preserve">Healing, proclamation, and communal response.</t>
        </is>
      </c>
    </row>
    <row r="457" ht="34" customHeight="1">
      <c r="A457" s="15" t="inlineStr">
        <is>
          <t xml:space="preserve">v0.8</t>
        </is>
      </c>
      <c r="B457" s="15" t="inlineStr">
        <is>
          <t xml:space="preserve">Bible_Journey_Canon_Map_v0_8_Acts_Pauline_Letters.xlsx</t>
        </is>
      </c>
      <c r="C457" s="15" t="inlineStr">
        <is>
          <t xml:space="preserve">CRS-NT-004</t>
        </is>
      </c>
      <c r="D457" s="15">
        <v>4</v>
      </c>
      <c r="E457" s="15">
        <v>8</v>
      </c>
      <c r="F457" s="15"/>
      <c r="G457" s="15" t="inlineStr">
        <is>
          <t xml:space="preserve">Acts / Jerusalem</t>
        </is>
      </c>
      <c r="H457" s="15" t="inlineStr">
        <is>
          <t xml:space="preserve">Origins</t>
        </is>
      </c>
      <c r="I457" s="15" t="inlineStr">
        <is>
          <t xml:space="preserve">Community pressures and leadership growth</t>
        </is>
      </c>
      <c r="J457" s="15"/>
      <c r="K457" s="15"/>
      <c r="L457" s="15"/>
      <c r="M457" s="15"/>
      <c r="N457" s="15"/>
      <c r="O457" s="15" t="inlineStr">
        <is>
          <t xml:space="preserve">Acts 5:1–6:7</t>
        </is>
      </c>
      <c r="P457" s="15"/>
      <c r="Q457" s="15"/>
      <c r="R457" s="15"/>
      <c r="S457" s="15" t="inlineStr">
        <is>
          <t xml:space="preserve">S07</t>
        </is>
      </c>
      <c r="T457" s="15"/>
      <c r="U457" s="11" t="inlineStr">
        <is>
          <t xml:space="preserve">Ready for editorial review</t>
        </is>
      </c>
      <c r="V457" s="15"/>
      <c r="W457" s="15" t="inlineStr">
        <is>
          <t xml:space="preserve">Ananias and Sapphira, apostles before the council, and appointment of the Seven.</t>
        </is>
      </c>
    </row>
    <row r="458" ht="34" customHeight="1">
      <c r="A458" s="15" t="inlineStr">
        <is>
          <t xml:space="preserve">v0.8</t>
        </is>
      </c>
      <c r="B458" s="15" t="inlineStr">
        <is>
          <t xml:space="preserve">Bible_Journey_Canon_Map_v0_8_Acts_Pauline_Letters.xlsx</t>
        </is>
      </c>
      <c r="C458" s="15" t="inlineStr">
        <is>
          <t xml:space="preserve">CRS-NT-005</t>
        </is>
      </c>
      <c r="D458" s="15">
        <v>5</v>
      </c>
      <c r="E458" s="15">
        <v>8</v>
      </c>
      <c r="F458" s="15"/>
      <c r="G458" s="15" t="inlineStr">
        <is>
          <t xml:space="preserve">Acts / Jerusalem</t>
        </is>
      </c>
      <c r="H458" s="15" t="inlineStr">
        <is>
          <t xml:space="preserve">Origins</t>
        </is>
      </c>
      <c r="I458" s="15" t="inlineStr">
        <is>
          <t xml:space="preserve">Stephen, persecution, and dispersion</t>
        </is>
      </c>
      <c r="J458" s="15"/>
      <c r="K458" s="15"/>
      <c r="L458" s="15"/>
      <c r="M458" s="15"/>
      <c r="N458" s="15"/>
      <c r="O458" s="15" t="inlineStr">
        <is>
          <t xml:space="preserve">Acts 6:8–8:3</t>
        </is>
      </c>
      <c r="P458" s="15"/>
      <c r="Q458" s="15"/>
      <c r="R458" s="15"/>
      <c r="S458" s="15" t="inlineStr">
        <is>
          <t xml:space="preserve">S07</t>
        </is>
      </c>
      <c r="T458" s="15"/>
      <c r="U458" s="11" t="inlineStr">
        <is>
          <t xml:space="preserve">Ready for editorial review</t>
        </is>
      </c>
      <c r="V458" s="15"/>
      <c r="W458" s="15" t="inlineStr">
        <is>
          <t xml:space="preserve">Stephen's speech and the dispersion that reshapes the movement.</t>
        </is>
      </c>
    </row>
    <row r="459" ht="34" customHeight="1">
      <c r="A459" s="15" t="inlineStr">
        <is>
          <t xml:space="preserve">v0.8</t>
        </is>
      </c>
      <c r="B459" s="15" t="inlineStr">
        <is>
          <t xml:space="preserve">Bible_Journey_Canon_Map_v0_8_Acts_Pauline_Letters.xlsx</t>
        </is>
      </c>
      <c r="C459" s="15" t="inlineStr">
        <is>
          <t xml:space="preserve">CRS-NT-006</t>
        </is>
      </c>
      <c r="D459" s="15">
        <v>6</v>
      </c>
      <c r="E459" s="15">
        <v>8</v>
      </c>
      <c r="F459" s="15"/>
      <c r="G459" s="15" t="inlineStr">
        <is>
          <t xml:space="preserve">Acts / Samaria and Judea</t>
        </is>
      </c>
      <c r="H459" s="15" t="inlineStr">
        <is>
          <t xml:space="preserve">Expansion</t>
        </is>
      </c>
      <c r="I459" s="15" t="inlineStr">
        <is>
          <t xml:space="preserve">Samaria and the Ethiopian official</t>
        </is>
      </c>
      <c r="J459" s="15"/>
      <c r="K459" s="15"/>
      <c r="L459" s="15"/>
      <c r="M459" s="15"/>
      <c r="N459" s="15"/>
      <c r="O459" s="15" t="inlineStr">
        <is>
          <t xml:space="preserve">Acts 8:4–40</t>
        </is>
      </c>
      <c r="P459" s="15"/>
      <c r="Q459" s="15"/>
      <c r="R459" s="15"/>
      <c r="S459" s="15" t="inlineStr">
        <is>
          <t xml:space="preserve">S07</t>
        </is>
      </c>
      <c r="T459" s="15"/>
      <c r="U459" s="11" t="inlineStr">
        <is>
          <t xml:space="preserve">Ready for editorial review</t>
        </is>
      </c>
      <c r="V459" s="15"/>
      <c r="W459" s="15" t="inlineStr">
        <is>
          <t xml:space="preserve">Expansion beyond Jerusalem prior to Paul's calling.</t>
        </is>
      </c>
    </row>
    <row r="460" ht="34" customHeight="1">
      <c r="A460" s="15" t="inlineStr">
        <is>
          <t xml:space="preserve">v0.8</t>
        </is>
      </c>
      <c r="B460" s="15" t="inlineStr">
        <is>
          <t xml:space="preserve">Bible_Journey_Canon_Map_v0_8_Acts_Pauline_Letters.xlsx</t>
        </is>
      </c>
      <c r="C460" s="15" t="inlineStr">
        <is>
          <t xml:space="preserve">CRS-NT-007</t>
        </is>
      </c>
      <c r="D460" s="15">
        <v>7</v>
      </c>
      <c r="E460" s="15">
        <v>8</v>
      </c>
      <c r="F460" s="15"/>
      <c r="G460" s="15" t="inlineStr">
        <is>
          <t xml:space="preserve">Acts / Damascus and Judea</t>
        </is>
      </c>
      <c r="H460" s="15" t="inlineStr">
        <is>
          <t xml:space="preserve">Paul's calling</t>
        </is>
      </c>
      <c r="I460" s="15" t="inlineStr">
        <is>
          <t xml:space="preserve">Saul's calling and early ministry</t>
        </is>
      </c>
      <c r="J460" s="15"/>
      <c r="K460" s="15"/>
      <c r="L460" s="15"/>
      <c r="M460" s="15"/>
      <c r="N460" s="15"/>
      <c r="O460" s="15" t="inlineStr">
        <is>
          <t xml:space="preserve">Acts 9:1–31</t>
        </is>
      </c>
      <c r="P460" s="15"/>
      <c r="Q460" s="15"/>
      <c r="R460" s="15"/>
      <c r="S460" s="15" t="inlineStr">
        <is>
          <t xml:space="preserve">S01</t>
        </is>
      </c>
      <c r="T460" s="15"/>
      <c r="U460" s="15" t="inlineStr">
        <is>
          <t xml:space="preserve">Needs source check</t>
        </is>
      </c>
      <c r="V460" s="15"/>
      <c r="W460" s="15" t="inlineStr">
        <is>
          <t xml:space="preserve">Acts and Paul's autobiographical references should be kept distinguishable in Compare/Study mode.</t>
        </is>
      </c>
    </row>
    <row r="461" ht="34" customHeight="1">
      <c r="A461" s="15" t="inlineStr">
        <is>
          <t xml:space="preserve">v0.8</t>
        </is>
      </c>
      <c r="B461" s="15" t="inlineStr">
        <is>
          <t xml:space="preserve">Bible_Journey_Canon_Map_v0_8_Acts_Pauline_Letters.xlsx</t>
        </is>
      </c>
      <c r="C461" s="15" t="inlineStr">
        <is>
          <t xml:space="preserve">CRS-NT-008</t>
        </is>
      </c>
      <c r="D461" s="15">
        <v>8</v>
      </c>
      <c r="E461" s="15">
        <v>8</v>
      </c>
      <c r="F461" s="15"/>
      <c r="G461" s="15" t="inlineStr">
        <is>
          <t xml:space="preserve">Acts / Coastal Judea and Caesarea</t>
        </is>
      </c>
      <c r="H461" s="15" t="inlineStr">
        <is>
          <t xml:space="preserve">Expansion</t>
        </is>
      </c>
      <c r="I461" s="15" t="inlineStr">
        <is>
          <t xml:space="preserve">Peter, Cornelius, and Gentile inclusion</t>
        </is>
      </c>
      <c r="J461" s="15"/>
      <c r="K461" s="15"/>
      <c r="L461" s="15"/>
      <c r="M461" s="15"/>
      <c r="N461" s="15"/>
      <c r="O461" s="15" t="inlineStr">
        <is>
          <t xml:space="preserve">Acts 9:32–11:18</t>
        </is>
      </c>
      <c r="P461" s="15"/>
      <c r="Q461" s="15"/>
      <c r="R461" s="15"/>
      <c r="S461" s="15" t="inlineStr">
        <is>
          <t xml:space="preserve">S07</t>
        </is>
      </c>
      <c r="T461" s="15"/>
      <c r="U461" s="11" t="inlineStr">
        <is>
          <t xml:space="preserve">Ready for editorial review</t>
        </is>
      </c>
      <c r="V461" s="15"/>
      <c r="W461" s="15" t="inlineStr">
        <is>
          <t xml:space="preserve">Peter's ministry and Cornelius sequence.</t>
        </is>
      </c>
    </row>
    <row r="462" ht="34" customHeight="1">
      <c r="A462" s="15" t="inlineStr">
        <is>
          <t xml:space="preserve">v0.8</t>
        </is>
      </c>
      <c r="B462" s="15" t="inlineStr">
        <is>
          <t xml:space="preserve">Bible_Journey_Canon_Map_v0_8_Acts_Pauline_Letters.xlsx</t>
        </is>
      </c>
      <c r="C462" s="15" t="inlineStr">
        <is>
          <t xml:space="preserve">CRS-NT-009</t>
        </is>
      </c>
      <c r="D462" s="15">
        <v>9</v>
      </c>
      <c r="E462" s="15">
        <v>8</v>
      </c>
      <c r="F462" s="15"/>
      <c r="G462" s="15" t="inlineStr">
        <is>
          <t xml:space="preserve">Acts / Antioch</t>
        </is>
      </c>
      <c r="H462" s="15" t="inlineStr">
        <is>
          <t xml:space="preserve">Antioch</t>
        </is>
      </c>
      <c r="I462" s="15" t="inlineStr">
        <is>
          <t xml:space="preserve">Antioch forms and sends relief</t>
        </is>
      </c>
      <c r="J462" s="15"/>
      <c r="K462" s="15"/>
      <c r="L462" s="15"/>
      <c r="M462" s="15"/>
      <c r="N462" s="15"/>
      <c r="O462" s="15" t="inlineStr">
        <is>
          <t xml:space="preserve">Acts 11:19–30</t>
        </is>
      </c>
      <c r="P462" s="15"/>
      <c r="Q462" s="15"/>
      <c r="R462" s="15"/>
      <c r="S462" s="15" t="inlineStr">
        <is>
          <t xml:space="preserve">S08</t>
        </is>
      </c>
      <c r="T462" s="15"/>
      <c r="U462" s="15" t="inlineStr">
        <is>
          <t xml:space="preserve">Needs source check</t>
        </is>
      </c>
      <c r="V462" s="15"/>
      <c r="W462" s="15" t="inlineStr">
        <is>
          <t xml:space="preserve">Antioch is a key context for reconstructing later Paul-related chronology, but Acts and Galatians must not be harmonized without disclosure.</t>
        </is>
      </c>
    </row>
    <row r="463" ht="34" customHeight="1">
      <c r="A463" s="15" t="inlineStr">
        <is>
          <t xml:space="preserve">v0.8</t>
        </is>
      </c>
      <c r="B463" s="15" t="inlineStr">
        <is>
          <t xml:space="preserve">Bible_Journey_Canon_Map_v0_8_Acts_Pauline_Letters.xlsx</t>
        </is>
      </c>
      <c r="C463" s="15" t="inlineStr">
        <is>
          <t xml:space="preserve">CRS-NT-010</t>
        </is>
      </c>
      <c r="D463" s="15">
        <v>10</v>
      </c>
      <c r="E463" s="15">
        <v>8</v>
      </c>
      <c r="F463" s="15"/>
      <c r="G463" s="15" t="inlineStr">
        <is>
          <t xml:space="preserve">Acts / Jerusalem and Antioch</t>
        </is>
      </c>
      <c r="H463" s="15" t="inlineStr">
        <is>
          <t xml:space="preserve">Antioch</t>
        </is>
      </c>
      <c r="I463" s="15" t="inlineStr">
        <is>
          <t xml:space="preserve">Herod Agrippa, Jerusalem, and return to Antioch</t>
        </is>
      </c>
      <c r="J463" s="15"/>
      <c r="K463" s="15"/>
      <c r="L463" s="15"/>
      <c r="M463" s="15"/>
      <c r="N463" s="15"/>
      <c r="O463" s="15" t="inlineStr">
        <is>
          <t xml:space="preserve">Acts 12</t>
        </is>
      </c>
      <c r="P463" s="15"/>
      <c r="Q463" s="15"/>
      <c r="R463" s="15"/>
      <c r="S463" s="15" t="inlineStr">
        <is>
          <t xml:space="preserve">S07</t>
        </is>
      </c>
      <c r="T463" s="15"/>
      <c r="U463" s="11" t="inlineStr">
        <is>
          <t xml:space="preserve">Ready for editorial review</t>
        </is>
      </c>
      <c r="V463" s="15"/>
      <c r="W463" s="15" t="inlineStr">
        <is>
          <t xml:space="preserve">Acts anchors a transition into the mission narrative.</t>
        </is>
      </c>
    </row>
    <row r="464" ht="34" customHeight="1">
      <c r="A464" s="15" t="inlineStr">
        <is>
          <t xml:space="preserve">v0.8</t>
        </is>
      </c>
      <c r="B464" s="15" t="inlineStr">
        <is>
          <t xml:space="preserve">Bible_Journey_Canon_Map_v0_8_Acts_Pauline_Letters.xlsx</t>
        </is>
      </c>
      <c r="C464" s="15" t="inlineStr">
        <is>
          <t xml:space="preserve">CRS-NT-011</t>
        </is>
      </c>
      <c r="D464" s="15">
        <v>11</v>
      </c>
      <c r="E464" s="15">
        <v>8</v>
      </c>
      <c r="F464" s="15"/>
      <c r="G464" s="15" t="inlineStr">
        <is>
          <t xml:space="preserve">First mission</t>
        </is>
      </c>
      <c r="H464" s="15" t="inlineStr">
        <is>
          <t xml:space="preserve">Cyprus and Pisidia</t>
        </is>
      </c>
      <c r="I464" s="15" t="inlineStr">
        <is>
          <t xml:space="preserve">First mission: Cyprus and Pisidian Antioch</t>
        </is>
      </c>
      <c r="J464" s="15"/>
      <c r="K464" s="15"/>
      <c r="L464" s="15"/>
      <c r="M464" s="15"/>
      <c r="N464" s="15"/>
      <c r="O464" s="15" t="inlineStr">
        <is>
          <t xml:space="preserve">Acts 13</t>
        </is>
      </c>
      <c r="P464" s="15"/>
      <c r="Q464" s="15"/>
      <c r="R464" s="15"/>
      <c r="S464" s="15" t="inlineStr">
        <is>
          <t xml:space="preserve">S03</t>
        </is>
      </c>
      <c r="T464" s="15"/>
      <c r="U464" s="15" t="inlineStr">
        <is>
          <t xml:space="preserve">Needs source check</t>
        </is>
      </c>
      <c r="V464" s="15"/>
      <c r="W464" s="15" t="inlineStr">
        <is>
          <t xml:space="preserve">Acts 13–14 may contextualize Galatians under a South Galatian reconstruction; this is a configurable editorial profile, not settled fact.</t>
        </is>
      </c>
    </row>
    <row r="465" ht="34" customHeight="1">
      <c r="A465" s="15" t="inlineStr">
        <is>
          <t xml:space="preserve">v0.8</t>
        </is>
      </c>
      <c r="B465" s="15" t="inlineStr">
        <is>
          <t xml:space="preserve">Bible_Journey_Canon_Map_v0_8_Acts_Pauline_Letters.xlsx</t>
        </is>
      </c>
      <c r="C465" s="15" t="inlineStr">
        <is>
          <t xml:space="preserve">CRS-NT-012</t>
        </is>
      </c>
      <c r="D465" s="15">
        <v>12</v>
      </c>
      <c r="E465" s="15">
        <v>8</v>
      </c>
      <c r="F465" s="15"/>
      <c r="G465" s="15" t="inlineStr">
        <is>
          <t xml:space="preserve">First mission</t>
        </is>
      </c>
      <c r="H465" s="15" t="inlineStr">
        <is>
          <t xml:space="preserve">Lycaonia</t>
        </is>
      </c>
      <c r="I465" s="15" t="inlineStr">
        <is>
          <t xml:space="preserve">First mission: Iconium, Lystra, Derbe, and return</t>
        </is>
      </c>
      <c r="J465" s="15"/>
      <c r="K465" s="15"/>
      <c r="L465" s="15"/>
      <c r="M465" s="15"/>
      <c r="N465" s="15"/>
      <c r="O465" s="15" t="inlineStr">
        <is>
          <t xml:space="preserve">Acts 14</t>
        </is>
      </c>
      <c r="P465" s="15"/>
      <c r="Q465" s="15"/>
      <c r="R465" s="15"/>
      <c r="S465" s="15" t="inlineStr">
        <is>
          <t xml:space="preserve">S09</t>
        </is>
      </c>
      <c r="T465" s="15"/>
      <c r="U465" s="15" t="inlineStr">
        <is>
          <t xml:space="preserve">Needs source check</t>
        </is>
      </c>
      <c r="V465" s="15"/>
      <c r="W465" s="15" t="inlineStr">
        <is>
          <t xml:space="preserve">Acts 14 contains communities associated with the Galatia placement discussion.</t>
        </is>
      </c>
    </row>
    <row r="466" ht="34" customHeight="1">
      <c r="A466" s="15" t="inlineStr">
        <is>
          <t xml:space="preserve">v0.8</t>
        </is>
      </c>
      <c r="B466" s="15" t="inlineStr">
        <is>
          <t xml:space="preserve">Bible_Journey_Canon_Map_v0_8_Acts_Pauline_Letters.xlsx</t>
        </is>
      </c>
      <c r="C466" s="15" t="inlineStr">
        <is>
          <t xml:space="preserve">CRS-NT-013</t>
        </is>
      </c>
      <c r="D466" s="15">
        <v>13</v>
      </c>
      <c r="E466" s="15">
        <v>8</v>
      </c>
      <c r="F466" s="15"/>
      <c r="G466" s="15" t="inlineStr">
        <is>
          <t xml:space="preserve">Pauline letter</t>
        </is>
      </c>
      <c r="H466" s="15" t="inlineStr">
        <is>
          <t xml:space="preserve">Galatians placement branch</t>
        </is>
      </c>
      <c r="I466" s="15" t="inlineStr">
        <is>
          <t xml:space="preserve">Galatians: early mission controversy</t>
        </is>
      </c>
      <c r="J466" s="15"/>
      <c r="K466" s="15"/>
      <c r="L466" s="15"/>
      <c r="M466" s="15"/>
      <c r="N466" s="15"/>
      <c r="O466" s="15" t="inlineStr">
        <is>
          <t xml:space="preserve">Galatians 1–6</t>
        </is>
      </c>
      <c r="P466" s="15"/>
      <c r="Q466" s="15"/>
      <c r="R466" s="15"/>
      <c r="S466" s="15" t="inlineStr">
        <is>
          <t xml:space="preserve">S02; S03</t>
        </is>
      </c>
      <c r="T466" s="15"/>
      <c r="U466" s="11" t="inlineStr">
        <is>
          <t xml:space="preserve">Needs editorial decision</t>
        </is>
      </c>
      <c r="V466" s="15"/>
      <c r="W466" s="15" t="inlineStr">
        <is>
          <t xml:space="preserve">Default cautious profile places Galatians before Acts 15 with an explicit placement disclosure; alternate profiles remain available.</t>
        </is>
      </c>
    </row>
    <row r="467" ht="34" customHeight="1">
      <c r="A467" s="15" t="inlineStr">
        <is>
          <t xml:space="preserve">v0.8</t>
        </is>
      </c>
      <c r="B467" s="15" t="inlineStr">
        <is>
          <t xml:space="preserve">Bible_Journey_Canon_Map_v0_8_Acts_Pauline_Letters.xlsx</t>
        </is>
      </c>
      <c r="C467" s="15" t="inlineStr">
        <is>
          <t xml:space="preserve">CRS-NT-014</t>
        </is>
      </c>
      <c r="D467" s="15">
        <v>14</v>
      </c>
      <c r="E467" s="15">
        <v>8</v>
      </c>
      <c r="F467" s="15"/>
      <c r="G467" s="15" t="inlineStr">
        <is>
          <t xml:space="preserve">Acts / Jerusalem</t>
        </is>
      </c>
      <c r="H467" s="15" t="inlineStr">
        <is>
          <t xml:space="preserve">Council</t>
        </is>
      </c>
      <c r="I467" s="15" t="inlineStr">
        <is>
          <t xml:space="preserve">Jerusalem council and Antioch transition</t>
        </is>
      </c>
      <c r="J467" s="15"/>
      <c r="K467" s="15"/>
      <c r="L467" s="15"/>
      <c r="M467" s="15"/>
      <c r="N467" s="15"/>
      <c r="O467" s="15" t="inlineStr">
        <is>
          <t xml:space="preserve">Acts 15:1–35</t>
        </is>
      </c>
      <c r="P467" s="15"/>
      <c r="Q467" s="15"/>
      <c r="R467" s="15"/>
      <c r="S467" s="15" t="inlineStr">
        <is>
          <t xml:space="preserve">S01; S03</t>
        </is>
      </c>
      <c r="T467" s="15"/>
      <c r="U467" s="11" t="inlineStr">
        <is>
          <t xml:space="preserve">Needs editorial decision</t>
        </is>
      </c>
      <c r="V467" s="15"/>
      <c r="W467" s="15" t="inlineStr">
        <is>
          <t xml:space="preserve">Do not equate Acts 15 automatically with Galatians 2; expose the relationship as an editorial decision.</t>
        </is>
      </c>
    </row>
    <row r="468" ht="34" customHeight="1">
      <c r="A468" s="15" t="inlineStr">
        <is>
          <t xml:space="preserve">v0.8</t>
        </is>
      </c>
      <c r="B468" s="15" t="inlineStr">
        <is>
          <t xml:space="preserve">Bible_Journey_Canon_Map_v0_8_Acts_Pauline_Letters.xlsx</t>
        </is>
      </c>
      <c r="C468" s="15" t="inlineStr">
        <is>
          <t xml:space="preserve">CRS-NT-015</t>
        </is>
      </c>
      <c r="D468" s="15">
        <v>15</v>
      </c>
      <c r="E468" s="15">
        <v>8</v>
      </c>
      <c r="F468" s="15"/>
      <c r="G468" s="15" t="inlineStr">
        <is>
          <t xml:space="preserve">Second mission</t>
        </is>
      </c>
      <c r="H468" s="15" t="inlineStr">
        <is>
          <t xml:space="preserve">Asia Minor</t>
        </is>
      </c>
      <c r="I468" s="15" t="inlineStr">
        <is>
          <t xml:space="preserve">Paul and Silas begin the second mission</t>
        </is>
      </c>
      <c r="J468" s="15"/>
      <c r="K468" s="15"/>
      <c r="L468" s="15"/>
      <c r="M468" s="15"/>
      <c r="N468" s="15"/>
      <c r="O468" s="15" t="inlineStr">
        <is>
          <t xml:space="preserve">Acts 15:36–16:5</t>
        </is>
      </c>
      <c r="P468" s="15"/>
      <c r="Q468" s="15"/>
      <c r="R468" s="15"/>
      <c r="S468" s="15" t="inlineStr">
        <is>
          <t xml:space="preserve">S35</t>
        </is>
      </c>
      <c r="T468" s="15"/>
      <c r="U468" s="11" t="inlineStr">
        <is>
          <t xml:space="preserve">Ready for editorial review</t>
        </is>
      </c>
      <c r="V468" s="15"/>
      <c r="W468" s="15" t="inlineStr">
        <is>
          <t xml:space="preserve">Includes separation from Barnabas and Mark and recruitment of Timothy.</t>
        </is>
      </c>
    </row>
    <row r="469" ht="34" customHeight="1">
      <c r="A469" s="15" t="inlineStr">
        <is>
          <t xml:space="preserve">v0.8</t>
        </is>
      </c>
      <c r="B469" s="15" t="inlineStr">
        <is>
          <t xml:space="preserve">Bible_Journey_Canon_Map_v0_8_Acts_Pauline_Letters.xlsx</t>
        </is>
      </c>
      <c r="C469" s="15" t="inlineStr">
        <is>
          <t xml:space="preserve">CRS-NT-016</t>
        </is>
      </c>
      <c r="D469" s="15">
        <v>16</v>
      </c>
      <c r="E469" s="15">
        <v>8</v>
      </c>
      <c r="F469" s="15"/>
      <c r="G469" s="15" t="inlineStr">
        <is>
          <t xml:space="preserve">Second mission</t>
        </is>
      </c>
      <c r="H469" s="15" t="inlineStr">
        <is>
          <t xml:space="preserve">Macedonia</t>
        </is>
      </c>
      <c r="I469" s="15" t="inlineStr">
        <is>
          <t xml:space="preserve">Philippi and the Macedonian turn</t>
        </is>
      </c>
      <c r="J469" s="15"/>
      <c r="K469" s="15"/>
      <c r="L469" s="15"/>
      <c r="M469" s="15"/>
      <c r="N469" s="15"/>
      <c r="O469" s="15" t="inlineStr">
        <is>
          <t xml:space="preserve">Acts 16:6–40</t>
        </is>
      </c>
      <c r="P469" s="15"/>
      <c r="Q469" s="15"/>
      <c r="R469" s="15"/>
      <c r="S469" s="15" t="inlineStr">
        <is>
          <t xml:space="preserve">S07</t>
        </is>
      </c>
      <c r="T469" s="15"/>
      <c r="U469" s="11" t="inlineStr">
        <is>
          <t xml:space="preserve">Ready for editorial review</t>
        </is>
      </c>
      <c r="V469" s="15"/>
      <c r="W469" s="15" t="inlineStr">
        <is>
          <t xml:space="preserve">Mission moves to Macedonia through Philippi.</t>
        </is>
      </c>
    </row>
    <row r="470" ht="34" customHeight="1">
      <c r="A470" s="15" t="inlineStr">
        <is>
          <t xml:space="preserve">v0.8</t>
        </is>
      </c>
      <c r="B470" s="15" t="inlineStr">
        <is>
          <t xml:space="preserve">Bible_Journey_Canon_Map_v0_8_Acts_Pauline_Letters.xlsx</t>
        </is>
      </c>
      <c r="C470" s="15" t="inlineStr">
        <is>
          <t xml:space="preserve">CRS-NT-017</t>
        </is>
      </c>
      <c r="D470" s="15">
        <v>17</v>
      </c>
      <c r="E470" s="15">
        <v>8</v>
      </c>
      <c r="F470" s="15"/>
      <c r="G470" s="15" t="inlineStr">
        <is>
          <t xml:space="preserve">Second mission</t>
        </is>
      </c>
      <c r="H470" s="15" t="inlineStr">
        <is>
          <t xml:space="preserve">Macedonia</t>
        </is>
      </c>
      <c r="I470" s="15" t="inlineStr">
        <is>
          <t xml:space="preserve">Thessalonica and Berea</t>
        </is>
      </c>
      <c r="J470" s="15"/>
      <c r="K470" s="15"/>
      <c r="L470" s="15"/>
      <c r="M470" s="15"/>
      <c r="N470" s="15"/>
      <c r="O470" s="15" t="inlineStr">
        <is>
          <t xml:space="preserve">Acts 17:1–15</t>
        </is>
      </c>
      <c r="P470" s="15"/>
      <c r="Q470" s="15"/>
      <c r="R470" s="15"/>
      <c r="S470" s="15" t="inlineStr">
        <is>
          <t xml:space="preserve">S02</t>
        </is>
      </c>
      <c r="T470" s="15"/>
      <c r="U470" s="11" t="inlineStr">
        <is>
          <t xml:space="preserve">Ready for editorial review</t>
        </is>
      </c>
      <c r="V470" s="15"/>
      <c r="W470" s="15" t="inlineStr">
        <is>
          <t xml:space="preserve">Provides the immediate narrative context for the Thessalonian correspondence.</t>
        </is>
      </c>
    </row>
    <row r="471" ht="34" customHeight="1">
      <c r="A471" s="15" t="inlineStr">
        <is>
          <t xml:space="preserve">v0.8</t>
        </is>
      </c>
      <c r="B471" s="15" t="inlineStr">
        <is>
          <t xml:space="preserve">Bible_Journey_Canon_Map_v0_8_Acts_Pauline_Letters.xlsx</t>
        </is>
      </c>
      <c r="C471" s="15" t="inlineStr">
        <is>
          <t xml:space="preserve">CRS-NT-018</t>
        </is>
      </c>
      <c r="D471" s="15">
        <v>18</v>
      </c>
      <c r="E471" s="15">
        <v>8</v>
      </c>
      <c r="F471" s="15"/>
      <c r="G471" s="15" t="inlineStr">
        <is>
          <t xml:space="preserve">Second mission</t>
        </is>
      </c>
      <c r="H471" s="15" t="inlineStr">
        <is>
          <t xml:space="preserve">Achaia</t>
        </is>
      </c>
      <c r="I471" s="15" t="inlineStr">
        <is>
          <t xml:space="preserve">Athens</t>
        </is>
      </c>
      <c r="J471" s="15"/>
      <c r="K471" s="15"/>
      <c r="L471" s="15"/>
      <c r="M471" s="15"/>
      <c r="N471" s="15"/>
      <c r="O471" s="15" t="inlineStr">
        <is>
          <t xml:space="preserve">Acts 17:16–34</t>
        </is>
      </c>
      <c r="P471" s="15"/>
      <c r="Q471" s="15"/>
      <c r="R471" s="15"/>
      <c r="S471" s="15" t="inlineStr">
        <is>
          <t xml:space="preserve">S07</t>
        </is>
      </c>
      <c r="T471" s="15"/>
      <c r="U471" s="11" t="inlineStr">
        <is>
          <t xml:space="preserve">Ready for editorial review</t>
        </is>
      </c>
      <c r="V471" s="15"/>
      <c r="W471" s="15" t="inlineStr">
        <is>
          <t xml:space="preserve">Athens is a discrete narrative unit before Corinth.</t>
        </is>
      </c>
    </row>
    <row r="472" ht="34" customHeight="1">
      <c r="A472" s="15" t="inlineStr">
        <is>
          <t xml:space="preserve">v0.8</t>
        </is>
      </c>
      <c r="B472" s="15" t="inlineStr">
        <is>
          <t xml:space="preserve">Bible_Journey_Canon_Map_v0_8_Acts_Pauline_Letters.xlsx</t>
        </is>
      </c>
      <c r="C472" s="15" t="inlineStr">
        <is>
          <t xml:space="preserve">CRS-NT-019</t>
        </is>
      </c>
      <c r="D472" s="15">
        <v>19</v>
      </c>
      <c r="E472" s="15">
        <v>8</v>
      </c>
      <c r="F472" s="15"/>
      <c r="G472" s="15" t="inlineStr">
        <is>
          <t xml:space="preserve">Second mission</t>
        </is>
      </c>
      <c r="H472" s="15" t="inlineStr">
        <is>
          <t xml:space="preserve">Achaia</t>
        </is>
      </c>
      <c r="I472" s="15" t="inlineStr">
        <is>
          <t xml:space="preserve">Corinthian ministry</t>
        </is>
      </c>
      <c r="J472" s="15"/>
      <c r="K472" s="15"/>
      <c r="L472" s="15"/>
      <c r="M472" s="15"/>
      <c r="N472" s="15"/>
      <c r="O472" s="15" t="inlineStr">
        <is>
          <t xml:space="preserve">Acts 18:1–17</t>
        </is>
      </c>
      <c r="P472" s="15"/>
      <c r="Q472" s="15"/>
      <c r="R472" s="15"/>
      <c r="S472" s="15" t="inlineStr">
        <is>
          <t xml:space="preserve">S05; S02</t>
        </is>
      </c>
      <c r="T472" s="15"/>
      <c r="U472" s="15" t="inlineStr">
        <is>
          <t xml:space="preserve">Needs source check</t>
        </is>
      </c>
      <c r="V472" s="15"/>
      <c r="W472" s="15" t="inlineStr">
        <is>
          <t xml:space="preserve">Acts reports an extended Corinthian stay; letters to Thessalonica are commonly linked to this period in reconstructions.</t>
        </is>
      </c>
    </row>
    <row r="473" ht="34" customHeight="1">
      <c r="A473" s="15" t="inlineStr">
        <is>
          <t xml:space="preserve">v0.8</t>
        </is>
      </c>
      <c r="B473" s="15" t="inlineStr">
        <is>
          <t xml:space="preserve">Bible_Journey_Canon_Map_v0_8_Acts_Pauline_Letters.xlsx</t>
        </is>
      </c>
      <c r="C473" s="15" t="inlineStr">
        <is>
          <t xml:space="preserve">CRS-NT-020</t>
        </is>
      </c>
      <c r="D473" s="15">
        <v>20</v>
      </c>
      <c r="E473" s="15">
        <v>8</v>
      </c>
      <c r="F473" s="15"/>
      <c r="G473" s="15" t="inlineStr">
        <is>
          <t xml:space="preserve">Pauline letter</t>
        </is>
      </c>
      <c r="H473" s="15" t="inlineStr">
        <is>
          <t xml:space="preserve">Thessalonica</t>
        </is>
      </c>
      <c r="I473" s="15" t="inlineStr">
        <is>
          <t xml:space="preserve">1 Thessalonians</t>
        </is>
      </c>
      <c r="J473" s="15"/>
      <c r="K473" s="15"/>
      <c r="L473" s="15"/>
      <c r="M473" s="15"/>
      <c r="N473" s="15"/>
      <c r="O473" s="15" t="inlineStr">
        <is>
          <t xml:space="preserve">1 Thessalonians 1–5</t>
        </is>
      </c>
      <c r="P473" s="15"/>
      <c r="Q473" s="15"/>
      <c r="R473" s="15"/>
      <c r="S473" s="15" t="inlineStr">
        <is>
          <t xml:space="preserve">S02; S05</t>
        </is>
      </c>
      <c r="T473" s="15"/>
      <c r="U473" s="11" t="inlineStr">
        <is>
          <t xml:space="preserve">Ready for editorial review</t>
        </is>
      </c>
      <c r="V473" s="15"/>
      <c r="W473" s="15" t="inlineStr">
        <is>
          <t xml:space="preserve">Default placement: Corinthian phase after Acts 18:1–17. Show as probable, not direct narrative fact.</t>
        </is>
      </c>
    </row>
    <row r="474" ht="34" customHeight="1">
      <c r="A474" s="15" t="inlineStr">
        <is>
          <t xml:space="preserve">v0.8</t>
        </is>
      </c>
      <c r="B474" s="15" t="inlineStr">
        <is>
          <t xml:space="preserve">Bible_Journey_Canon_Map_v0_8_Acts_Pauline_Letters.xlsx</t>
        </is>
      </c>
      <c r="C474" s="15" t="inlineStr">
        <is>
          <t xml:space="preserve">CRS-NT-021</t>
        </is>
      </c>
      <c r="D474" s="15">
        <v>21</v>
      </c>
      <c r="E474" s="15">
        <v>8</v>
      </c>
      <c r="F474" s="15"/>
      <c r="G474" s="15" t="inlineStr">
        <is>
          <t xml:space="preserve">Pauline letter</t>
        </is>
      </c>
      <c r="H474" s="15" t="inlineStr">
        <is>
          <t xml:space="preserve">Thessalonica</t>
        </is>
      </c>
      <c r="I474" s="15" t="inlineStr">
        <is>
          <t xml:space="preserve">2 Thessalonians</t>
        </is>
      </c>
      <c r="J474" s="15"/>
      <c r="K474" s="15"/>
      <c r="L474" s="15"/>
      <c r="M474" s="15"/>
      <c r="N474" s="15"/>
      <c r="O474" s="15" t="inlineStr">
        <is>
          <t xml:space="preserve">2 Thessalonians 1–3</t>
        </is>
      </c>
      <c r="P474" s="15"/>
      <c r="Q474" s="15"/>
      <c r="R474" s="15"/>
      <c r="S474" s="15" t="inlineStr">
        <is>
          <t xml:space="preserve">S02; S06</t>
        </is>
      </c>
      <c r="T474" s="15"/>
      <c r="U474" s="11" t="inlineStr">
        <is>
          <t xml:space="preserve">Needs editorial decision</t>
        </is>
      </c>
      <c r="V474" s="15"/>
      <c r="W474" s="15" t="inlineStr">
        <is>
          <t xml:space="preserve">Placed after 1 Thessalonians under default profile; date, order, and authorship are editorially sensitive.</t>
        </is>
      </c>
    </row>
    <row r="475" ht="34" customHeight="1">
      <c r="A475" s="15" t="inlineStr">
        <is>
          <t xml:space="preserve">v0.8</t>
        </is>
      </c>
      <c r="B475" s="15" t="inlineStr">
        <is>
          <t xml:space="preserve">Bible_Journey_Canon_Map_v0_8_Acts_Pauline_Letters.xlsx</t>
        </is>
      </c>
      <c r="C475" s="15" t="inlineStr">
        <is>
          <t xml:space="preserve">CRS-NT-022</t>
        </is>
      </c>
      <c r="D475" s="15">
        <v>22</v>
      </c>
      <c r="E475" s="15">
        <v>8</v>
      </c>
      <c r="F475" s="15"/>
      <c r="G475" s="15" t="inlineStr">
        <is>
          <t xml:space="preserve">Second mission</t>
        </is>
      </c>
      <c r="H475" s="15" t="inlineStr">
        <is>
          <t xml:space="preserve">Return</t>
        </is>
      </c>
      <c r="I475" s="15" t="inlineStr">
        <is>
          <t xml:space="preserve">Return through Ephesus and Caesarea</t>
        </is>
      </c>
      <c r="J475" s="15"/>
      <c r="K475" s="15"/>
      <c r="L475" s="15"/>
      <c r="M475" s="15"/>
      <c r="N475" s="15"/>
      <c r="O475" s="15" t="inlineStr">
        <is>
          <t xml:space="preserve">Acts 18:18–22</t>
        </is>
      </c>
      <c r="P475" s="15"/>
      <c r="Q475" s="15"/>
      <c r="R475" s="15"/>
      <c r="S475" s="15" t="inlineStr">
        <is>
          <t xml:space="preserve">S07</t>
        </is>
      </c>
      <c r="T475" s="15"/>
      <c r="U475" s="11" t="inlineStr">
        <is>
          <t xml:space="preserve">Ready for editorial review</t>
        </is>
      </c>
      <c r="V475" s="15"/>
      <c r="W475" s="15" t="inlineStr">
        <is>
          <t xml:space="preserve">Transitional return unit.</t>
        </is>
      </c>
    </row>
    <row r="476" ht="34" customHeight="1">
      <c r="A476" s="15" t="inlineStr">
        <is>
          <t xml:space="preserve">v0.8</t>
        </is>
      </c>
      <c r="B476" s="15" t="inlineStr">
        <is>
          <t xml:space="preserve">Bible_Journey_Canon_Map_v0_8_Acts_Pauline_Letters.xlsx</t>
        </is>
      </c>
      <c r="C476" s="15" t="inlineStr">
        <is>
          <t xml:space="preserve">CRS-NT-023</t>
        </is>
      </c>
      <c r="D476" s="15">
        <v>23</v>
      </c>
      <c r="E476" s="15">
        <v>8</v>
      </c>
      <c r="F476" s="15"/>
      <c r="G476" s="15" t="inlineStr">
        <is>
          <t xml:space="preserve">Third mission</t>
        </is>
      </c>
      <c r="H476" s="15" t="inlineStr">
        <is>
          <t xml:space="preserve">Ephesus</t>
        </is>
      </c>
      <c r="I476" s="15" t="inlineStr">
        <is>
          <t xml:space="preserve">Third mission begins in Ephesus</t>
        </is>
      </c>
      <c r="J476" s="15"/>
      <c r="K476" s="15"/>
      <c r="L476" s="15"/>
      <c r="M476" s="15"/>
      <c r="N476" s="15"/>
      <c r="O476" s="15" t="inlineStr">
        <is>
          <t xml:space="preserve">Acts 18:23–19:20</t>
        </is>
      </c>
      <c r="P476" s="15"/>
      <c r="Q476" s="15"/>
      <c r="R476" s="15"/>
      <c r="S476" s="15" t="inlineStr">
        <is>
          <t xml:space="preserve">S04</t>
        </is>
      </c>
      <c r="T476" s="15"/>
      <c r="U476" s="11" t="inlineStr">
        <is>
          <t xml:space="preserve">Ready for editorial review</t>
        </is>
      </c>
      <c r="V476" s="15"/>
      <c r="W476" s="15" t="inlineStr">
        <is>
          <t xml:space="preserve">Ephesus is a major base for Paul's work in later chronology reconstructions.</t>
        </is>
      </c>
    </row>
    <row r="477" ht="34" customHeight="1">
      <c r="A477" s="15" t="inlineStr">
        <is>
          <t xml:space="preserve">v0.8</t>
        </is>
      </c>
      <c r="B477" s="15" t="inlineStr">
        <is>
          <t xml:space="preserve">Bible_Journey_Canon_Map_v0_8_Acts_Pauline_Letters.xlsx</t>
        </is>
      </c>
      <c r="C477" s="15" t="inlineStr">
        <is>
          <t xml:space="preserve">CRS-NT-024</t>
        </is>
      </c>
      <c r="D477" s="15">
        <v>24</v>
      </c>
      <c r="E477" s="15">
        <v>8</v>
      </c>
      <c r="F477" s="15"/>
      <c r="G477" s="15" t="inlineStr">
        <is>
          <t xml:space="preserve">Pauline letter</t>
        </is>
      </c>
      <c r="H477" s="15" t="inlineStr">
        <is>
          <t xml:space="preserve">Ephesus</t>
        </is>
      </c>
      <c r="I477" s="15" t="inlineStr">
        <is>
          <t xml:space="preserve">1 Corinthians</t>
        </is>
      </c>
      <c r="J477" s="15"/>
      <c r="K477" s="15"/>
      <c r="L477" s="15"/>
      <c r="M477" s="15"/>
      <c r="N477" s="15"/>
      <c r="O477" s="15" t="inlineStr">
        <is>
          <t xml:space="preserve">1 Corinthians 1–16</t>
        </is>
      </c>
      <c r="P477" s="15"/>
      <c r="Q477" s="15"/>
      <c r="R477" s="15"/>
      <c r="S477" s="15" t="inlineStr">
        <is>
          <t xml:space="preserve">S04; S01</t>
        </is>
      </c>
      <c r="T477" s="15"/>
      <c r="U477" s="11" t="inlineStr">
        <is>
          <t xml:space="preserve">Ready for editorial review</t>
        </is>
      </c>
      <c r="V477" s="15"/>
      <c r="W477" s="15" t="inlineStr">
        <is>
          <t xml:space="preserve">Default placement: Ephesus phase. Do not imply every personal detail maps one-to-one onto Acts.</t>
        </is>
      </c>
    </row>
    <row r="478" ht="34" customHeight="1">
      <c r="A478" s="15" t="inlineStr">
        <is>
          <t xml:space="preserve">v0.8</t>
        </is>
      </c>
      <c r="B478" s="15" t="inlineStr">
        <is>
          <t xml:space="preserve">Bible_Journey_Canon_Map_v0_8_Acts_Pauline_Letters.xlsx</t>
        </is>
      </c>
      <c r="C478" s="15" t="inlineStr">
        <is>
          <t xml:space="preserve">CRS-NT-025</t>
        </is>
      </c>
      <c r="D478" s="15">
        <v>25</v>
      </c>
      <c r="E478" s="15">
        <v>8</v>
      </c>
      <c r="F478" s="15"/>
      <c r="G478" s="15" t="inlineStr">
        <is>
          <t xml:space="preserve">Third mission</t>
        </is>
      </c>
      <c r="H478" s="15" t="inlineStr">
        <is>
          <t xml:space="preserve">Macedonia</t>
        </is>
      </c>
      <c r="I478" s="15" t="inlineStr">
        <is>
          <t xml:space="preserve">Departure from Ephesus and Macedonia</t>
        </is>
      </c>
      <c r="J478" s="15"/>
      <c r="K478" s="15"/>
      <c r="L478" s="15"/>
      <c r="M478" s="15"/>
      <c r="N478" s="15"/>
      <c r="O478" s="15" t="inlineStr">
        <is>
          <t xml:space="preserve">Acts 19:21–20:3</t>
        </is>
      </c>
      <c r="P478" s="15"/>
      <c r="Q478" s="15"/>
      <c r="R478" s="15"/>
      <c r="S478" s="15" t="inlineStr">
        <is>
          <t xml:space="preserve">S01; S28</t>
        </is>
      </c>
      <c r="T478" s="15"/>
      <c r="U478" s="15" t="inlineStr">
        <is>
          <t xml:space="preserve">Needs source check</t>
        </is>
      </c>
      <c r="V478" s="15"/>
      <c r="W478" s="15" t="inlineStr">
        <is>
          <t xml:space="preserve">Acts does not narrate every visit and letter implied in Corinthians; disclosure is mandatory.</t>
        </is>
      </c>
    </row>
    <row r="479" ht="34" customHeight="1">
      <c r="A479" s="15" t="inlineStr">
        <is>
          <t xml:space="preserve">v0.8</t>
        </is>
      </c>
      <c r="B479" s="15" t="inlineStr">
        <is>
          <t xml:space="preserve">Bible_Journey_Canon_Map_v0_8_Acts_Pauline_Letters.xlsx</t>
        </is>
      </c>
      <c r="C479" s="15" t="inlineStr">
        <is>
          <t xml:space="preserve">CRS-NT-026</t>
        </is>
      </c>
      <c r="D479" s="15">
        <v>26</v>
      </c>
      <c r="E479" s="15">
        <v>8</v>
      </c>
      <c r="F479" s="15"/>
      <c r="G479" s="15" t="inlineStr">
        <is>
          <t xml:space="preserve">Pauline letter</t>
        </is>
      </c>
      <c r="H479" s="15" t="inlineStr">
        <is>
          <t xml:space="preserve">Macedonia</t>
        </is>
      </c>
      <c r="I479" s="15" t="inlineStr">
        <is>
          <t xml:space="preserve">2 Corinthians</t>
        </is>
      </c>
      <c r="J479" s="15"/>
      <c r="K479" s="15"/>
      <c r="L479" s="15"/>
      <c r="M479" s="15"/>
      <c r="N479" s="15"/>
      <c r="O479" s="15" t="inlineStr">
        <is>
          <t xml:space="preserve">2 Corinthians 1–13</t>
        </is>
      </c>
      <c r="P479" s="15"/>
      <c r="Q479" s="15"/>
      <c r="R479" s="15"/>
      <c r="S479" s="15" t="inlineStr">
        <is>
          <t xml:space="preserve">S02; S04</t>
        </is>
      </c>
      <c r="T479" s="15"/>
      <c r="U479" s="11" t="inlineStr">
        <is>
          <t xml:space="preserve">Ready for editorial review</t>
        </is>
      </c>
      <c r="V479" s="15"/>
      <c r="W479" s="15" t="inlineStr">
        <is>
          <t xml:space="preserve">Default placement: Macedonia after Ephesus. The correlation is probable and not a strict parallel account.</t>
        </is>
      </c>
    </row>
    <row r="480" ht="34" customHeight="1">
      <c r="A480" s="15" t="inlineStr">
        <is>
          <t xml:space="preserve">v0.8</t>
        </is>
      </c>
      <c r="B480" s="15" t="inlineStr">
        <is>
          <t xml:space="preserve">Bible_Journey_Canon_Map_v0_8_Acts_Pauline_Letters.xlsx</t>
        </is>
      </c>
      <c r="C480" s="15" t="inlineStr">
        <is>
          <t xml:space="preserve">CRS-NT-027</t>
        </is>
      </c>
      <c r="D480" s="15">
        <v>27</v>
      </c>
      <c r="E480" s="15">
        <v>8</v>
      </c>
      <c r="F480" s="15"/>
      <c r="G480" s="15" t="inlineStr">
        <is>
          <t xml:space="preserve">Third mission</t>
        </is>
      </c>
      <c r="H480" s="15" t="inlineStr">
        <is>
          <t xml:space="preserve">Achaia</t>
        </is>
      </c>
      <c r="I480" s="15" t="inlineStr">
        <is>
          <t xml:space="preserve">Three months in Greece</t>
        </is>
      </c>
      <c r="J480" s="15"/>
      <c r="K480" s="15"/>
      <c r="L480" s="15"/>
      <c r="M480" s="15"/>
      <c r="N480" s="15"/>
      <c r="O480" s="15" t="inlineStr">
        <is>
          <t xml:space="preserve">Acts 20:3–6</t>
        </is>
      </c>
      <c r="P480" s="15"/>
      <c r="Q480" s="15"/>
      <c r="R480" s="15"/>
      <c r="S480" s="15" t="inlineStr">
        <is>
          <t xml:space="preserve">S07</t>
        </is>
      </c>
      <c r="T480" s="15"/>
      <c r="U480" s="11" t="inlineStr">
        <is>
          <t xml:space="preserve">Ready for editorial review</t>
        </is>
      </c>
      <c r="V480" s="15"/>
      <c r="W480" s="15" t="inlineStr">
        <is>
          <t xml:space="preserve">Acts 20 provides a narrative bridge to the default Romans placement.</t>
        </is>
      </c>
    </row>
    <row r="481" ht="34" customHeight="1">
      <c r="A481" s="15" t="inlineStr">
        <is>
          <t xml:space="preserve">v0.8</t>
        </is>
      </c>
      <c r="B481" s="15" t="inlineStr">
        <is>
          <t xml:space="preserve">Bible_Journey_Canon_Map_v0_8_Acts_Pauline_Letters.xlsx</t>
        </is>
      </c>
      <c r="C481" s="15" t="inlineStr">
        <is>
          <t xml:space="preserve">CRS-NT-028</t>
        </is>
      </c>
      <c r="D481" s="15">
        <v>28</v>
      </c>
      <c r="E481" s="15">
        <v>8</v>
      </c>
      <c r="F481" s="15"/>
      <c r="G481" s="15" t="inlineStr">
        <is>
          <t xml:space="preserve">Pauline letter</t>
        </is>
      </c>
      <c r="H481" s="15" t="inlineStr">
        <is>
          <t xml:space="preserve">Achaia</t>
        </is>
      </c>
      <c r="I481" s="15" t="inlineStr">
        <is>
          <t xml:space="preserve">Romans</t>
        </is>
      </c>
      <c r="J481" s="15"/>
      <c r="K481" s="15"/>
      <c r="L481" s="15"/>
      <c r="M481" s="15"/>
      <c r="N481" s="15"/>
      <c r="O481" s="15" t="inlineStr">
        <is>
          <t xml:space="preserve">Romans 1–16</t>
        </is>
      </c>
      <c r="P481" s="15"/>
      <c r="Q481" s="15"/>
      <c r="R481" s="15"/>
      <c r="S481" s="15" t="inlineStr">
        <is>
          <t xml:space="preserve">S02</t>
        </is>
      </c>
      <c r="T481" s="15"/>
      <c r="U481" s="11" t="inlineStr">
        <is>
          <t xml:space="preserve">Ready for editorial review</t>
        </is>
      </c>
      <c r="V481" s="15"/>
      <c r="W481" s="15" t="inlineStr">
        <is>
          <t xml:space="preserve">Default placement: Greek/Achaian phase before the Jerusalem journey. Use an explicit probable label.</t>
        </is>
      </c>
    </row>
    <row r="482" ht="34" customHeight="1">
      <c r="A482" s="15" t="inlineStr">
        <is>
          <t xml:space="preserve">v0.8</t>
        </is>
      </c>
      <c r="B482" s="15" t="inlineStr">
        <is>
          <t xml:space="preserve">Bible_Journey_Canon_Map_v0_8_Acts_Pauline_Letters.xlsx</t>
        </is>
      </c>
      <c r="C482" s="15" t="inlineStr">
        <is>
          <t xml:space="preserve">CRS-NT-029</t>
        </is>
      </c>
      <c r="D482" s="15">
        <v>29</v>
      </c>
      <c r="E482" s="15">
        <v>8</v>
      </c>
      <c r="F482" s="15"/>
      <c r="G482" s="15" t="inlineStr">
        <is>
          <t xml:space="preserve">Third mission</t>
        </is>
      </c>
      <c r="H482" s="15" t="inlineStr">
        <is>
          <t xml:space="preserve">Troas and Miletus</t>
        </is>
      </c>
      <c r="I482" s="15" t="inlineStr">
        <is>
          <t xml:space="preserve">Troas and the Miletus farewell</t>
        </is>
      </c>
      <c r="J482" s="15"/>
      <c r="K482" s="15"/>
      <c r="L482" s="15"/>
      <c r="M482" s="15"/>
      <c r="N482" s="15"/>
      <c r="O482" s="15" t="inlineStr">
        <is>
          <t xml:space="preserve">Acts 20:7–38</t>
        </is>
      </c>
      <c r="P482" s="15"/>
      <c r="Q482" s="15"/>
      <c r="R482" s="15"/>
      <c r="S482" s="15" t="inlineStr">
        <is>
          <t xml:space="preserve">S07</t>
        </is>
      </c>
      <c r="T482" s="15"/>
      <c r="U482" s="11" t="inlineStr">
        <is>
          <t xml:space="preserve">Ready for editorial review</t>
        </is>
      </c>
      <c r="V482" s="15"/>
      <c r="W482" s="15" t="inlineStr">
        <is>
          <t xml:space="preserve">Final travel segment toward Jerusalem.</t>
        </is>
      </c>
    </row>
    <row r="483" ht="34" customHeight="1">
      <c r="A483" s="15" t="inlineStr">
        <is>
          <t xml:space="preserve">v0.8</t>
        </is>
      </c>
      <c r="B483" s="15" t="inlineStr">
        <is>
          <t xml:space="preserve">Bible_Journey_Canon_Map_v0_8_Acts_Pauline_Letters.xlsx</t>
        </is>
      </c>
      <c r="C483" s="15" t="inlineStr">
        <is>
          <t xml:space="preserve">CRS-NT-030</t>
        </is>
      </c>
      <c r="D483" s="15">
        <v>30</v>
      </c>
      <c r="E483" s="15">
        <v>8</v>
      </c>
      <c r="F483" s="15"/>
      <c r="G483" s="15" t="inlineStr">
        <is>
          <t xml:space="preserve">Acts / Jerusalem</t>
        </is>
      </c>
      <c r="H483" s="15" t="inlineStr">
        <is>
          <t xml:space="preserve">Arrest</t>
        </is>
      </c>
      <c r="I483" s="15" t="inlineStr">
        <is>
          <t xml:space="preserve">Journey to Jerusalem, arrest, and transfer</t>
        </is>
      </c>
      <c r="J483" s="15"/>
      <c r="K483" s="15"/>
      <c r="L483" s="15"/>
      <c r="M483" s="15"/>
      <c r="N483" s="15"/>
      <c r="O483" s="15" t="inlineStr">
        <is>
          <t xml:space="preserve">Acts 21:1–23:35</t>
        </is>
      </c>
      <c r="P483" s="15"/>
      <c r="Q483" s="15"/>
      <c r="R483" s="15"/>
      <c r="S483" s="15" t="inlineStr">
        <is>
          <t xml:space="preserve">S07</t>
        </is>
      </c>
      <c r="T483" s="15"/>
      <c r="U483" s="11" t="inlineStr">
        <is>
          <t xml:space="preserve">Ready for editorial review</t>
        </is>
      </c>
      <c r="V483" s="15"/>
      <c r="W483" s="15" t="inlineStr">
        <is>
          <t xml:space="preserve">Treat as narrative sequence, not a setting for forcing letter placement.</t>
        </is>
      </c>
    </row>
    <row r="484" ht="34" customHeight="1">
      <c r="A484" s="15" t="inlineStr">
        <is>
          <t xml:space="preserve">v0.8</t>
        </is>
      </c>
      <c r="B484" s="15" t="inlineStr">
        <is>
          <t xml:space="preserve">Bible_Journey_Canon_Map_v0_8_Acts_Pauline_Letters.xlsx</t>
        </is>
      </c>
      <c r="C484" s="15" t="inlineStr">
        <is>
          <t xml:space="preserve">CRS-NT-031</t>
        </is>
      </c>
      <c r="D484" s="15">
        <v>31</v>
      </c>
      <c r="E484" s="15">
        <v>8</v>
      </c>
      <c r="F484" s="15"/>
      <c r="G484" s="15" t="inlineStr">
        <is>
          <t xml:space="preserve">Acts / Caesarea</t>
        </is>
      </c>
      <c r="H484" s="15" t="inlineStr">
        <is>
          <t xml:space="preserve">Trials</t>
        </is>
      </c>
      <c r="I484" s="15" t="inlineStr">
        <is>
          <t xml:space="preserve">Caesarea hearings</t>
        </is>
      </c>
      <c r="J484" s="15"/>
      <c r="K484" s="15"/>
      <c r="L484" s="15"/>
      <c r="M484" s="15"/>
      <c r="N484" s="15"/>
      <c r="O484" s="15" t="inlineStr">
        <is>
          <t xml:space="preserve">Acts 24–26</t>
        </is>
      </c>
      <c r="P484" s="15"/>
      <c r="Q484" s="15"/>
      <c r="R484" s="15"/>
      <c r="S484" s="15" t="inlineStr">
        <is>
          <t xml:space="preserve">S02; S06</t>
        </is>
      </c>
      <c r="T484" s="15"/>
      <c r="U484" s="11" t="inlineStr">
        <is>
          <t xml:space="preserve">Needs editorial decision</t>
        </is>
      </c>
      <c r="V484" s="15"/>
      <c r="W484" s="15" t="inlineStr">
        <is>
          <t xml:space="preserve">Potential alternative setting for certain prison letters must be surfaced, not silently excluded.</t>
        </is>
      </c>
    </row>
    <row r="485" ht="34" customHeight="1">
      <c r="A485" s="15" t="inlineStr">
        <is>
          <t xml:space="preserve">v0.8</t>
        </is>
      </c>
      <c r="B485" s="15" t="inlineStr">
        <is>
          <t xml:space="preserve">Bible_Journey_Canon_Map_v0_8_Acts_Pauline_Letters.xlsx</t>
        </is>
      </c>
      <c r="C485" s="15" t="inlineStr">
        <is>
          <t xml:space="preserve">CRS-NT-032</t>
        </is>
      </c>
      <c r="D485" s="15">
        <v>32</v>
      </c>
      <c r="E485" s="15">
        <v>8</v>
      </c>
      <c r="F485" s="15"/>
      <c r="G485" s="15" t="inlineStr">
        <is>
          <t xml:space="preserve">Acts / Mediterranean</t>
        </is>
      </c>
      <c r="H485" s="15" t="inlineStr">
        <is>
          <t xml:space="preserve">Voyage to Rome</t>
        </is>
      </c>
      <c r="I485" s="15" t="inlineStr">
        <is>
          <t xml:space="preserve">Voyage, shipwreck, and Malta</t>
        </is>
      </c>
      <c r="J485" s="15"/>
      <c r="K485" s="15"/>
      <c r="L485" s="15"/>
      <c r="M485" s="15"/>
      <c r="N485" s="15"/>
      <c r="O485" s="15" t="inlineStr">
        <is>
          <t xml:space="preserve">Acts 27</t>
        </is>
      </c>
      <c r="P485" s="15"/>
      <c r="Q485" s="15"/>
      <c r="R485" s="15"/>
      <c r="S485" s="15" t="inlineStr">
        <is>
          <t xml:space="preserve">S28</t>
        </is>
      </c>
      <c r="T485" s="15"/>
      <c r="U485" s="11" t="inlineStr">
        <is>
          <t xml:space="preserve">Ready for editorial review</t>
        </is>
      </c>
      <c r="V485" s="15"/>
      <c r="W485" s="15" t="inlineStr">
        <is>
          <t xml:space="preserve">Travel/shipwreck unit.</t>
        </is>
      </c>
    </row>
    <row r="486" ht="34" customHeight="1">
      <c r="A486" s="15" t="inlineStr">
        <is>
          <t xml:space="preserve">v0.8</t>
        </is>
      </c>
      <c r="B486" s="15" t="inlineStr">
        <is>
          <t xml:space="preserve">Bible_Journey_Canon_Map_v0_8_Acts_Pauline_Letters.xlsx</t>
        </is>
      </c>
      <c r="C486" s="15" t="inlineStr">
        <is>
          <t xml:space="preserve">CRS-NT-033</t>
        </is>
      </c>
      <c r="D486" s="15">
        <v>33</v>
      </c>
      <c r="E486" s="15">
        <v>8</v>
      </c>
      <c r="F486" s="15"/>
      <c r="G486" s="15" t="inlineStr">
        <is>
          <t xml:space="preserve">Acts / Rome</t>
        </is>
      </c>
      <c r="H486" s="15" t="inlineStr">
        <is>
          <t xml:space="preserve">Roman detention</t>
        </is>
      </c>
      <c r="I486" s="15" t="inlineStr">
        <is>
          <t xml:space="preserve">Rome and open-ended ministry</t>
        </is>
      </c>
      <c r="J486" s="15"/>
      <c r="K486" s="15"/>
      <c r="L486" s="15"/>
      <c r="M486" s="15"/>
      <c r="N486" s="15"/>
      <c r="O486" s="15" t="inlineStr">
        <is>
          <t xml:space="preserve">Acts 28</t>
        </is>
      </c>
      <c r="P486" s="15"/>
      <c r="Q486" s="15"/>
      <c r="R486" s="15"/>
      <c r="S486" s="15" t="inlineStr">
        <is>
          <t xml:space="preserve">S01; S07</t>
        </is>
      </c>
      <c r="T486" s="15"/>
      <c r="U486" s="11" t="inlineStr">
        <is>
          <t xml:space="preserve">Ready for editorial review</t>
        </is>
      </c>
      <c r="V486" s="15"/>
      <c r="W486" s="15" t="inlineStr">
        <is>
          <t xml:space="preserve">Acts ends before a complete account of later Pauline activity; preserve the narrative ending as written.</t>
        </is>
      </c>
    </row>
    <row r="487" ht="34" customHeight="1">
      <c r="A487" s="15" t="inlineStr">
        <is>
          <t xml:space="preserve">v0.8</t>
        </is>
      </c>
      <c r="B487" s="15" t="inlineStr">
        <is>
          <t xml:space="preserve">Bible_Journey_Canon_Map_v0_8_Acts_Pauline_Letters.xlsx</t>
        </is>
      </c>
      <c r="C487" s="15" t="inlineStr">
        <is>
          <t xml:space="preserve">CRS-NT-034</t>
        </is>
      </c>
      <c r="D487" s="15">
        <v>34</v>
      </c>
      <c r="E487" s="15">
        <v>8</v>
      </c>
      <c r="F487" s="15"/>
      <c r="G487" s="15" t="inlineStr">
        <is>
          <t xml:space="preserve">Pauline letters</t>
        </is>
      </c>
      <c r="H487" s="15" t="inlineStr">
        <is>
          <t xml:space="preserve">Imprisonment dossier</t>
        </is>
      </c>
      <c r="I487" s="15" t="inlineStr">
        <is>
          <t xml:space="preserve">Philemon</t>
        </is>
      </c>
      <c r="J487" s="15"/>
      <c r="K487" s="15"/>
      <c r="L487" s="15"/>
      <c r="M487" s="15"/>
      <c r="N487" s="15"/>
      <c r="O487" s="15" t="inlineStr">
        <is>
          <t xml:space="preserve">Philemon</t>
        </is>
      </c>
      <c r="P487" s="15"/>
      <c r="Q487" s="15"/>
      <c r="R487" s="15"/>
      <c r="S487" s="15" t="inlineStr">
        <is>
          <t xml:space="preserve">S02; S06</t>
        </is>
      </c>
      <c r="T487" s="15"/>
      <c r="U487" s="11" t="inlineStr">
        <is>
          <t xml:space="preserve">Needs editorial decision</t>
        </is>
      </c>
      <c r="V487" s="15"/>
      <c r="W487" s="15" t="inlineStr">
        <is>
          <t xml:space="preserve">Default cautious profile groups Philemon in a Roman detention dossier while retaining alternative locations in Study Mode.</t>
        </is>
      </c>
    </row>
    <row r="488" ht="34" customHeight="1">
      <c r="A488" s="15" t="inlineStr">
        <is>
          <t xml:space="preserve">v0.8</t>
        </is>
      </c>
      <c r="B488" s="15" t="inlineStr">
        <is>
          <t xml:space="preserve">Bible_Journey_Canon_Map_v0_8_Acts_Pauline_Letters.xlsx</t>
        </is>
      </c>
      <c r="C488" s="15" t="inlineStr">
        <is>
          <t xml:space="preserve">CRS-NT-035</t>
        </is>
      </c>
      <c r="D488" s="15">
        <v>35</v>
      </c>
      <c r="E488" s="15">
        <v>8</v>
      </c>
      <c r="F488" s="15"/>
      <c r="G488" s="15" t="inlineStr">
        <is>
          <t xml:space="preserve">Pauline letters</t>
        </is>
      </c>
      <c r="H488" s="15" t="inlineStr">
        <is>
          <t xml:space="preserve">Imprisonment dossier</t>
        </is>
      </c>
      <c r="I488" s="15" t="inlineStr">
        <is>
          <t xml:space="preserve">Colossians</t>
        </is>
      </c>
      <c r="J488" s="15"/>
      <c r="K488" s="15"/>
      <c r="L488" s="15"/>
      <c r="M488" s="15"/>
      <c r="N488" s="15"/>
      <c r="O488" s="15" t="inlineStr">
        <is>
          <t xml:space="preserve">Colossians 1–4</t>
        </is>
      </c>
      <c r="P488" s="15"/>
      <c r="Q488" s="15"/>
      <c r="R488" s="15"/>
      <c r="S488" s="15" t="inlineStr">
        <is>
          <t xml:space="preserve">S06</t>
        </is>
      </c>
      <c r="T488" s="15"/>
      <c r="U488" s="11" t="inlineStr">
        <is>
          <t xml:space="preserve">Needs editorial decision</t>
        </is>
      </c>
      <c r="V488" s="15"/>
      <c r="W488" s="15" t="inlineStr">
        <is>
          <t xml:space="preserve">Default grouping with Philemon; authorship and precise location require disclosure.</t>
        </is>
      </c>
    </row>
    <row r="489" ht="34" customHeight="1">
      <c r="A489" s="15" t="inlineStr">
        <is>
          <t xml:space="preserve">v0.8</t>
        </is>
      </c>
      <c r="B489" s="15" t="inlineStr">
        <is>
          <t xml:space="preserve">Bible_Journey_Canon_Map_v0_8_Acts_Pauline_Letters.xlsx</t>
        </is>
      </c>
      <c r="C489" s="15" t="inlineStr">
        <is>
          <t xml:space="preserve">CRS-NT-036</t>
        </is>
      </c>
      <c r="D489" s="15">
        <v>36</v>
      </c>
      <c r="E489" s="15">
        <v>8</v>
      </c>
      <c r="F489" s="15"/>
      <c r="G489" s="15" t="inlineStr">
        <is>
          <t xml:space="preserve">Pauline letters</t>
        </is>
      </c>
      <c r="H489" s="15" t="inlineStr">
        <is>
          <t xml:space="preserve">Imprisonment dossier</t>
        </is>
      </c>
      <c r="I489" s="15" t="inlineStr">
        <is>
          <t xml:space="preserve">Ephesians</t>
        </is>
      </c>
      <c r="J489" s="15"/>
      <c r="K489" s="15"/>
      <c r="L489" s="15"/>
      <c r="M489" s="15"/>
      <c r="N489" s="15"/>
      <c r="O489" s="15" t="inlineStr">
        <is>
          <t xml:space="preserve">Ephesians 1–6</t>
        </is>
      </c>
      <c r="P489" s="15"/>
      <c r="Q489" s="15"/>
      <c r="R489" s="15"/>
      <c r="S489" s="15" t="inlineStr">
        <is>
          <t xml:space="preserve">S06</t>
        </is>
      </c>
      <c r="T489" s="15"/>
      <c r="U489" s="11" t="inlineStr">
        <is>
          <t xml:space="preserve">Needs editorial decision</t>
        </is>
      </c>
      <c r="V489" s="15"/>
      <c r="W489" s="15" t="inlineStr">
        <is>
          <t xml:space="preserve">Do not present as a settled Acts 28 product; disclose authorship and location debate.</t>
        </is>
      </c>
    </row>
    <row r="490" ht="34" customHeight="1">
      <c r="A490" s="15" t="inlineStr">
        <is>
          <t xml:space="preserve">v0.8</t>
        </is>
      </c>
      <c r="B490" s="15" t="inlineStr">
        <is>
          <t xml:space="preserve">Bible_Journey_Canon_Map_v0_8_Acts_Pauline_Letters.xlsx</t>
        </is>
      </c>
      <c r="C490" s="15" t="inlineStr">
        <is>
          <t xml:space="preserve">CRS-NT-037</t>
        </is>
      </c>
      <c r="D490" s="15">
        <v>37</v>
      </c>
      <c r="E490" s="15">
        <v>8</v>
      </c>
      <c r="F490" s="15"/>
      <c r="G490" s="15" t="inlineStr">
        <is>
          <t xml:space="preserve">Pauline letters</t>
        </is>
      </c>
      <c r="H490" s="15" t="inlineStr">
        <is>
          <t xml:space="preserve">Imprisonment dossier</t>
        </is>
      </c>
      <c r="I490" s="15" t="inlineStr">
        <is>
          <t xml:space="preserve">Philippians</t>
        </is>
      </c>
      <c r="J490" s="15"/>
      <c r="K490" s="15"/>
      <c r="L490" s="15"/>
      <c r="M490" s="15"/>
      <c r="N490" s="15"/>
      <c r="O490" s="15" t="inlineStr">
        <is>
          <t xml:space="preserve">Philippians 1–4</t>
        </is>
      </c>
      <c r="P490" s="15"/>
      <c r="Q490" s="15"/>
      <c r="R490" s="15"/>
      <c r="S490" s="15" t="inlineStr">
        <is>
          <t xml:space="preserve">S02; S06</t>
        </is>
      </c>
      <c r="T490" s="15"/>
      <c r="U490" s="11" t="inlineStr">
        <is>
          <t xml:space="preserve">Needs editorial decision</t>
        </is>
      </c>
      <c r="V490" s="15"/>
      <c r="W490" s="15" t="inlineStr">
        <is>
          <t xml:space="preserve">Default cautious placement: Roman detention dossier with Ephesus/Caesarea alternatives available.</t>
        </is>
      </c>
    </row>
    <row r="491" ht="34" customHeight="1">
      <c r="A491" s="15" t="inlineStr">
        <is>
          <t xml:space="preserve">v0.8</t>
        </is>
      </c>
      <c r="B491" s="15" t="inlineStr">
        <is>
          <t xml:space="preserve">Bible_Journey_Canon_Map_v0_8_Acts_Pauline_Letters.xlsx</t>
        </is>
      </c>
      <c r="C491" s="15" t="inlineStr">
        <is>
          <t xml:space="preserve">CRS-NT-038</t>
        </is>
      </c>
      <c r="D491" s="15">
        <v>38</v>
      </c>
      <c r="E491" s="15">
        <v>8</v>
      </c>
      <c r="F491" s="15"/>
      <c r="G491" s="15" t="inlineStr">
        <is>
          <t xml:space="preserve">Pauline letters</t>
        </is>
      </c>
      <c r="H491" s="15" t="inlineStr">
        <is>
          <t xml:space="preserve">Post-Acts tradition</t>
        </is>
      </c>
      <c r="I491" s="15" t="inlineStr">
        <is>
          <t xml:space="preserve">1 Timothy</t>
        </is>
      </c>
      <c r="J491" s="15"/>
      <c r="K491" s="15"/>
      <c r="L491" s="15"/>
      <c r="M491" s="15"/>
      <c r="N491" s="15"/>
      <c r="O491" s="15" t="inlineStr">
        <is>
          <t xml:space="preserve">1 Timothy 1–6</t>
        </is>
      </c>
      <c r="P491" s="15"/>
      <c r="Q491" s="15"/>
      <c r="R491" s="15"/>
      <c r="S491" s="15" t="inlineStr">
        <is>
          <t xml:space="preserve">S06</t>
        </is>
      </c>
      <c r="T491" s="15"/>
      <c r="U491" s="11" t="inlineStr">
        <is>
          <t xml:space="preserve">Needs editorial decision</t>
        </is>
      </c>
      <c r="V491" s="15"/>
      <c r="W491" s="15" t="inlineStr">
        <is>
          <t xml:space="preserve">A post-Acts placement is a traditional reconstruction; authorship and chronology are debated.</t>
        </is>
      </c>
    </row>
    <row r="492" ht="34" customHeight="1">
      <c r="A492" s="15" t="inlineStr">
        <is>
          <t xml:space="preserve">v0.8</t>
        </is>
      </c>
      <c r="B492" s="15" t="inlineStr">
        <is>
          <t xml:space="preserve">Bible_Journey_Canon_Map_v0_8_Acts_Pauline_Letters.xlsx</t>
        </is>
      </c>
      <c r="C492" s="15" t="inlineStr">
        <is>
          <t xml:space="preserve">CRS-NT-039</t>
        </is>
      </c>
      <c r="D492" s="15">
        <v>39</v>
      </c>
      <c r="E492" s="15">
        <v>8</v>
      </c>
      <c r="F492" s="15"/>
      <c r="G492" s="15" t="inlineStr">
        <is>
          <t xml:space="preserve">Pauline letters</t>
        </is>
      </c>
      <c r="H492" s="15" t="inlineStr">
        <is>
          <t xml:space="preserve">Post-Acts tradition</t>
        </is>
      </c>
      <c r="I492" s="15" t="inlineStr">
        <is>
          <t xml:space="preserve">Titus</t>
        </is>
      </c>
      <c r="J492" s="15"/>
      <c r="K492" s="15"/>
      <c r="L492" s="15"/>
      <c r="M492" s="15"/>
      <c r="N492" s="15"/>
      <c r="O492" s="15" t="inlineStr">
        <is>
          <t xml:space="preserve">Titus 1–3</t>
        </is>
      </c>
      <c r="P492" s="15"/>
      <c r="Q492" s="15"/>
      <c r="R492" s="15"/>
      <c r="S492" s="15" t="inlineStr">
        <is>
          <t xml:space="preserve">S06</t>
        </is>
      </c>
      <c r="T492" s="15"/>
      <c r="U492" s="11" t="inlineStr">
        <is>
          <t xml:space="preserve">Needs editorial decision</t>
        </is>
      </c>
      <c r="V492" s="15"/>
      <c r="W492" s="15" t="inlineStr">
        <is>
          <t xml:space="preserve">A post-Acts placement is a traditional reconstruction; authorship and chronology are debated.</t>
        </is>
      </c>
    </row>
    <row r="493" ht="34" customHeight="1">
      <c r="A493" s="15" t="inlineStr">
        <is>
          <t xml:space="preserve">v0.8</t>
        </is>
      </c>
      <c r="B493" s="15" t="inlineStr">
        <is>
          <t xml:space="preserve">Bible_Journey_Canon_Map_v0_8_Acts_Pauline_Letters.xlsx</t>
        </is>
      </c>
      <c r="C493" s="15" t="inlineStr">
        <is>
          <t xml:space="preserve">CRS-NT-040</t>
        </is>
      </c>
      <c r="D493" s="15">
        <v>40</v>
      </c>
      <c r="E493" s="15">
        <v>8</v>
      </c>
      <c r="F493" s="15"/>
      <c r="G493" s="15" t="inlineStr">
        <is>
          <t xml:space="preserve">Pauline letters</t>
        </is>
      </c>
      <c r="H493" s="15" t="inlineStr">
        <is>
          <t xml:space="preserve">Post-Acts tradition</t>
        </is>
      </c>
      <c r="I493" s="15" t="inlineStr">
        <is>
          <t xml:space="preserve">2 Timothy</t>
        </is>
      </c>
      <c r="J493" s="15"/>
      <c r="K493" s="15"/>
      <c r="L493" s="15"/>
      <c r="M493" s="15"/>
      <c r="N493" s="15"/>
      <c r="O493" s="15" t="inlineStr">
        <is>
          <t xml:space="preserve">2 Timothy 1–4</t>
        </is>
      </c>
      <c r="P493" s="15"/>
      <c r="Q493" s="15"/>
      <c r="R493" s="15"/>
      <c r="S493" s="15" t="inlineStr">
        <is>
          <t xml:space="preserve">S06</t>
        </is>
      </c>
      <c r="T493" s="15"/>
      <c r="U493" s="11" t="inlineStr">
        <is>
          <t xml:space="preserve">Needs editorial decision</t>
        </is>
      </c>
      <c r="V493" s="15"/>
      <c r="W493" s="15" t="inlineStr">
        <is>
          <t xml:space="preserve">Traditional final-imprisonment placement; do not claim exact dating as settled.</t>
        </is>
      </c>
    </row>
    <row r="494" ht="34" customHeight="1">
      <c r="A494" s="15" t="inlineStr">
        <is>
          <t xml:space="preserve">v0.9</t>
        </is>
      </c>
      <c r="B494" s="15" t="inlineStr">
        <is>
          <t xml:space="preserve">Bible_Journey_Canon_Map_v0_9_General_Letters_Revelation.xlsx</t>
        </is>
      </c>
      <c r="C494" s="15" t="inlineStr">
        <is>
          <t xml:space="preserve">CRS-GEN-001</t>
        </is>
      </c>
      <c r="D494" s="15">
        <v>1</v>
      </c>
      <c r="E494" s="15">
        <v>9</v>
      </c>
      <c r="F494" s="15" t="inlineStr">
        <is>
          <t xml:space="preserve">Hebrews</t>
        </is>
      </c>
      <c r="G494" s="15" t="inlineStr">
        <is>
          <t xml:space="preserve">Correspondence Beyond Acts</t>
        </is>
      </c>
      <c r="H494" s="15" t="inlineStr">
        <is>
          <t xml:space="preserve">Hebrews</t>
        </is>
      </c>
      <c r="I494" s="15" t="inlineStr">
        <is>
          <t xml:space="preserve">Hebrews 1–2 · The Son and the angels</t>
        </is>
      </c>
      <c r="J494" s="15"/>
      <c r="K494" s="15"/>
      <c r="L494" s="13" t="inlineStr">
        <is>
          <t xml:space="preserve">Unresolved</t>
        </is>
      </c>
      <c r="M494" s="15"/>
      <c r="N494" s="15"/>
      <c r="O494" s="15" t="inlineStr">
        <is>
          <t xml:space="preserve">Read as a literary dossier; not tied to a named Acts scene</t>
        </is>
      </c>
      <c r="P494" s="15"/>
      <c r="Q494" s="15"/>
      <c r="R494" s="15"/>
      <c r="S494" s="15" t="inlineStr">
        <is>
          <t xml:space="preserve">S01; S02</t>
        </is>
      </c>
      <c r="T494" s="15"/>
      <c r="U494" s="11" t="inlineStr">
        <is>
          <t xml:space="preserve">Needs editorial decision</t>
        </is>
      </c>
      <c r="V494" s="15"/>
      <c r="W494" s="15" t="inlineStr">
        <is>
          <t xml:space="preserve">Hebrews has no named author in the text and no secure Acts anchor. Preserve canonical reading while disclosing chronology is unresolved.</t>
        </is>
      </c>
    </row>
    <row r="495" ht="34" customHeight="1">
      <c r="A495" s="15" t="inlineStr">
        <is>
          <t xml:space="preserve">v0.9</t>
        </is>
      </c>
      <c r="B495" s="15" t="inlineStr">
        <is>
          <t xml:space="preserve">Bible_Journey_Canon_Map_v0_9_General_Letters_Revelation.xlsx</t>
        </is>
      </c>
      <c r="C495" s="15" t="inlineStr">
        <is>
          <t xml:space="preserve">CRS-GEN-002</t>
        </is>
      </c>
      <c r="D495" s="15">
        <v>2</v>
      </c>
      <c r="E495" s="15">
        <v>9</v>
      </c>
      <c r="F495" s="15" t="inlineStr">
        <is>
          <t xml:space="preserve">Hebrews</t>
        </is>
      </c>
      <c r="G495" s="15" t="inlineStr">
        <is>
          <t xml:space="preserve">Correspondence Beyond Acts</t>
        </is>
      </c>
      <c r="H495" s="15" t="inlineStr">
        <is>
          <t xml:space="preserve">Hebrews</t>
        </is>
      </c>
      <c r="I495" s="15" t="inlineStr">
        <is>
          <t xml:space="preserve">Hebrews 3–4 · Wilderness and rest</t>
        </is>
      </c>
      <c r="J495" s="15"/>
      <c r="K495" s="15"/>
      <c r="L495" s="13" t="inlineStr">
        <is>
          <t xml:space="preserve">Unresolved</t>
        </is>
      </c>
      <c r="M495" s="15"/>
      <c r="N495" s="15"/>
      <c r="O495" s="15" t="inlineStr">
        <is>
          <t xml:space="preserve">Continue Hebrews literary flow</t>
        </is>
      </c>
      <c r="P495" s="15"/>
      <c r="Q495" s="15"/>
      <c r="R495" s="15"/>
      <c r="S495" s="15" t="inlineStr">
        <is>
          <t xml:space="preserve">S01; S02</t>
        </is>
      </c>
      <c r="T495" s="15"/>
      <c r="U495" s="11" t="inlineStr">
        <is>
          <t xml:space="preserve">Needs editorial decision</t>
        </is>
      </c>
      <c r="V495" s="15"/>
      <c r="W495" s="15" t="inlineStr">
        <is>
          <t xml:space="preserve">Read within the argument of Hebrews, not as a chronological episode after Acts.</t>
        </is>
      </c>
    </row>
    <row r="496" ht="34" customHeight="1">
      <c r="A496" s="15" t="inlineStr">
        <is>
          <t xml:space="preserve">v0.9</t>
        </is>
      </c>
      <c r="B496" s="15" t="inlineStr">
        <is>
          <t xml:space="preserve">Bible_Journey_Canon_Map_v0_9_General_Letters_Revelation.xlsx</t>
        </is>
      </c>
      <c r="C496" s="15" t="inlineStr">
        <is>
          <t xml:space="preserve">CRS-GEN-003</t>
        </is>
      </c>
      <c r="D496" s="15">
        <v>3</v>
      </c>
      <c r="E496" s="15">
        <v>9</v>
      </c>
      <c r="F496" s="15" t="inlineStr">
        <is>
          <t xml:space="preserve">Hebrews</t>
        </is>
      </c>
      <c r="G496" s="15" t="inlineStr">
        <is>
          <t xml:space="preserve">Correspondence Beyond Acts</t>
        </is>
      </c>
      <c r="H496" s="15" t="inlineStr">
        <is>
          <t xml:space="preserve">Hebrews</t>
        </is>
      </c>
      <c r="I496" s="15" t="inlineStr">
        <is>
          <t xml:space="preserve">Hebrews 5–7 · Priesthood and Melchizedek</t>
        </is>
      </c>
      <c r="J496" s="15"/>
      <c r="K496" s="15"/>
      <c r="L496" s="13" t="inlineStr">
        <is>
          <t xml:space="preserve">Unresolved</t>
        </is>
      </c>
      <c r="M496" s="15"/>
      <c r="N496" s="15"/>
      <c r="O496" s="15" t="inlineStr">
        <is>
          <t xml:space="preserve">Continue Hebrews literary flow</t>
        </is>
      </c>
      <c r="P496" s="15"/>
      <c r="Q496" s="15"/>
      <c r="R496" s="15"/>
      <c r="S496" s="15" t="inlineStr">
        <is>
          <t xml:space="preserve">S01; S02</t>
        </is>
      </c>
      <c r="T496" s="15"/>
      <c r="U496" s="15" t="inlineStr">
        <is>
          <t xml:space="preserve">Needs source check</t>
        </is>
      </c>
      <c r="V496" s="15"/>
      <c r="W496" s="15" t="inlineStr">
        <is>
          <t xml:space="preserve">Intertextual material belongs in Study Mode; no synthetic combination with Genesis, Psalms, or Leviticus.</t>
        </is>
      </c>
    </row>
    <row r="497" ht="34" customHeight="1">
      <c r="A497" s="15" t="inlineStr">
        <is>
          <t xml:space="preserve">v0.9</t>
        </is>
      </c>
      <c r="B497" s="15" t="inlineStr">
        <is>
          <t xml:space="preserve">Bible_Journey_Canon_Map_v0_9_General_Letters_Revelation.xlsx</t>
        </is>
      </c>
      <c r="C497" s="15" t="inlineStr">
        <is>
          <t xml:space="preserve">CRS-GEN-004</t>
        </is>
      </c>
      <c r="D497" s="15">
        <v>4</v>
      </c>
      <c r="E497" s="15">
        <v>9</v>
      </c>
      <c r="F497" s="15" t="inlineStr">
        <is>
          <t xml:space="preserve">Hebrews</t>
        </is>
      </c>
      <c r="G497" s="15" t="inlineStr">
        <is>
          <t xml:space="preserve">Correspondence Beyond Acts</t>
        </is>
      </c>
      <c r="H497" s="15" t="inlineStr">
        <is>
          <t xml:space="preserve">Hebrews</t>
        </is>
      </c>
      <c r="I497" s="15" t="inlineStr">
        <is>
          <t xml:space="preserve">Hebrews 8–10 · Covenant and sacrifice</t>
        </is>
      </c>
      <c r="J497" s="15"/>
      <c r="K497" s="15"/>
      <c r="L497" s="13" t="inlineStr">
        <is>
          <t xml:space="preserve">Unresolved</t>
        </is>
      </c>
      <c r="M497" s="15"/>
      <c r="N497" s="15"/>
      <c r="O497" s="15" t="inlineStr">
        <is>
          <t xml:space="preserve">Continue Hebrews literary flow</t>
        </is>
      </c>
      <c r="P497" s="15"/>
      <c r="Q497" s="15"/>
      <c r="R497" s="15"/>
      <c r="S497" s="15" t="inlineStr">
        <is>
          <t xml:space="preserve">S01; S02</t>
        </is>
      </c>
      <c r="T497" s="15"/>
      <c r="U497" s="15" t="inlineStr">
        <is>
          <t xml:space="preserve">Needs source check</t>
        </is>
      </c>
      <c r="V497" s="15"/>
      <c r="W497" s="15" t="inlineStr">
        <is>
          <t xml:space="preserve">Jeremiah 31 and cultic texts are supporting intertexts, not parallel accounts.</t>
        </is>
      </c>
    </row>
    <row r="498" ht="34" customHeight="1">
      <c r="A498" s="15" t="inlineStr">
        <is>
          <t xml:space="preserve">v0.9</t>
        </is>
      </c>
      <c r="B498" s="15" t="inlineStr">
        <is>
          <t xml:space="preserve">Bible_Journey_Canon_Map_v0_9_General_Letters_Revelation.xlsx</t>
        </is>
      </c>
      <c r="C498" s="15" t="inlineStr">
        <is>
          <t xml:space="preserve">CRS-GEN-005</t>
        </is>
      </c>
      <c r="D498" s="15">
        <v>5</v>
      </c>
      <c r="E498" s="15">
        <v>9</v>
      </c>
      <c r="F498" s="15" t="inlineStr">
        <is>
          <t xml:space="preserve">Hebrews</t>
        </is>
      </c>
      <c r="G498" s="15" t="inlineStr">
        <is>
          <t xml:space="preserve">Correspondence Beyond Acts</t>
        </is>
      </c>
      <c r="H498" s="15" t="inlineStr">
        <is>
          <t xml:space="preserve">Hebrews</t>
        </is>
      </c>
      <c r="I498" s="15" t="inlineStr">
        <is>
          <t xml:space="preserve">Hebrews 11–13 · Faith, endurance, and closing exhortations</t>
        </is>
      </c>
      <c r="J498" s="15"/>
      <c r="K498" s="15"/>
      <c r="L498" s="13" t="inlineStr">
        <is>
          <t xml:space="preserve">Unresolved</t>
        </is>
      </c>
      <c r="M498" s="15"/>
      <c r="N498" s="15"/>
      <c r="O498" s="15" t="inlineStr">
        <is>
          <t xml:space="preserve">Complete Hebrews dossier</t>
        </is>
      </c>
      <c r="P498" s="15"/>
      <c r="Q498" s="15"/>
      <c r="R498" s="15"/>
      <c r="S498" s="15" t="inlineStr">
        <is>
          <t xml:space="preserve">S01; S02</t>
        </is>
      </c>
      <c r="T498" s="15"/>
      <c r="U498" s="11" t="inlineStr">
        <is>
          <t xml:space="preserve">Needs editorial decision</t>
        </is>
      </c>
      <c r="V498" s="15"/>
      <c r="W498" s="15" t="inlineStr">
        <is>
          <t xml:space="preserve">End Hebrews as a complete letter/sermon-like literary unit; no invented post-Acts date.</t>
        </is>
      </c>
    </row>
    <row r="499" ht="34" customHeight="1">
      <c r="A499" s="15" t="inlineStr">
        <is>
          <t xml:space="preserve">v0.9</t>
        </is>
      </c>
      <c r="B499" s="15" t="inlineStr">
        <is>
          <t xml:space="preserve">Bible_Journey_Canon_Map_v0_9_General_Letters_Revelation.xlsx</t>
        </is>
      </c>
      <c r="C499" s="15" t="inlineStr">
        <is>
          <t xml:space="preserve">CRS-GEN-006</t>
        </is>
      </c>
      <c r="D499" s="15">
        <v>6</v>
      </c>
      <c r="E499" s="15">
        <v>9</v>
      </c>
      <c r="F499" s="15" t="inlineStr">
        <is>
          <t xml:space="preserve">James</t>
        </is>
      </c>
      <c r="G499" s="15" t="inlineStr">
        <is>
          <t xml:space="preserve">Correspondence Beyond Acts</t>
        </is>
      </c>
      <c r="H499" s="15" t="inlineStr">
        <is>
          <t xml:space="preserve">James</t>
        </is>
      </c>
      <c r="I499" s="15" t="inlineStr">
        <is>
          <t xml:space="preserve">James 1–2 · Trials, hearing, and active faith</t>
        </is>
      </c>
      <c r="J499" s="15"/>
      <c r="K499" s="15"/>
      <c r="L499" s="15" t="inlineStr">
        <is>
          <t xml:space="preserve">Debated</t>
        </is>
      </c>
      <c r="M499" s="15"/>
      <c r="N499" s="15"/>
      <c r="O499" s="15" t="inlineStr">
        <is>
          <t xml:space="preserve">Read in canonical correspondence dossier</t>
        </is>
      </c>
      <c r="P499" s="15"/>
      <c r="Q499" s="15"/>
      <c r="R499" s="15"/>
      <c r="S499" s="15" t="inlineStr">
        <is>
          <t xml:space="preserve">S03; S04</t>
        </is>
      </c>
      <c r="T499" s="15"/>
      <c r="U499" s="11" t="inlineStr">
        <is>
          <t xml:space="preserve">Needs editorial decision</t>
        </is>
      </c>
      <c r="V499" s="15"/>
      <c r="W499" s="15" t="inlineStr">
        <is>
          <t xml:space="preserve">James is retained in canonical sequence because its date, author, audience, and exact relationship to Acts are not settled.</t>
        </is>
      </c>
    </row>
    <row r="500" ht="34" customHeight="1">
      <c r="A500" s="15" t="inlineStr">
        <is>
          <t xml:space="preserve">v0.9</t>
        </is>
      </c>
      <c r="B500" s="15" t="inlineStr">
        <is>
          <t xml:space="preserve">Bible_Journey_Canon_Map_v0_9_General_Letters_Revelation.xlsx</t>
        </is>
      </c>
      <c r="C500" s="15" t="inlineStr">
        <is>
          <t xml:space="preserve">CRS-GEN-007</t>
        </is>
      </c>
      <c r="D500" s="15">
        <v>7</v>
      </c>
      <c r="E500" s="15">
        <v>9</v>
      </c>
      <c r="F500" s="15" t="inlineStr">
        <is>
          <t xml:space="preserve">James</t>
        </is>
      </c>
      <c r="G500" s="15" t="inlineStr">
        <is>
          <t xml:space="preserve">Correspondence Beyond Acts</t>
        </is>
      </c>
      <c r="H500" s="15" t="inlineStr">
        <is>
          <t xml:space="preserve">James</t>
        </is>
      </c>
      <c r="I500" s="15" t="inlineStr">
        <is>
          <t xml:space="preserve">James 3–5 · Wisdom, wealth, patience, and prayer</t>
        </is>
      </c>
      <c r="J500" s="15"/>
      <c r="K500" s="15"/>
      <c r="L500" s="15" t="inlineStr">
        <is>
          <t xml:space="preserve">Debated</t>
        </is>
      </c>
      <c r="M500" s="15"/>
      <c r="N500" s="15"/>
      <c r="O500" s="15" t="inlineStr">
        <is>
          <t xml:space="preserve">Complete James dossier</t>
        </is>
      </c>
      <c r="P500" s="15"/>
      <c r="Q500" s="15"/>
      <c r="R500" s="15"/>
      <c r="S500" s="15" t="inlineStr">
        <is>
          <t xml:space="preserve">S03; S04</t>
        </is>
      </c>
      <c r="T500" s="15"/>
      <c r="U500" s="15" t="inlineStr">
        <is>
          <t xml:space="preserve">Needs source check</t>
        </is>
      </c>
      <c r="V500" s="15"/>
      <c r="W500" s="15" t="inlineStr">
        <is>
          <t xml:space="preserve">Do not frame James 2 and Paul as a direct chronological dispute without a separately sourced study note.</t>
        </is>
      </c>
    </row>
    <row r="501" ht="34" customHeight="1">
      <c r="A501" s="15" t="inlineStr">
        <is>
          <t xml:space="preserve">v0.9</t>
        </is>
      </c>
      <c r="B501" s="15" t="inlineStr">
        <is>
          <t xml:space="preserve">Bible_Journey_Canon_Map_v0_9_General_Letters_Revelation.xlsx</t>
        </is>
      </c>
      <c r="C501" s="15" t="inlineStr">
        <is>
          <t xml:space="preserve">CRS-GEN-008</t>
        </is>
      </c>
      <c r="D501" s="15">
        <v>8</v>
      </c>
      <c r="E501" s="15">
        <v>9</v>
      </c>
      <c r="F501" s="15" t="inlineStr">
        <is>
          <t xml:space="preserve">1 Peter</t>
        </is>
      </c>
      <c r="G501" s="15" t="inlineStr">
        <is>
          <t xml:space="preserve">Correspondence Beyond Acts</t>
        </is>
      </c>
      <c r="H501" s="15" t="inlineStr">
        <is>
          <t xml:space="preserve">1 Peter</t>
        </is>
      </c>
      <c r="I501" s="15" t="inlineStr">
        <is>
          <t xml:space="preserve">1 Peter 1–2 · Identity, holiness, and hope</t>
        </is>
      </c>
      <c r="J501" s="15"/>
      <c r="K501" s="15"/>
      <c r="L501" s="15" t="inlineStr">
        <is>
          <t xml:space="preserve">Debated</t>
        </is>
      </c>
      <c r="M501" s="15"/>
      <c r="N501" s="15"/>
      <c r="O501" s="15" t="inlineStr">
        <is>
          <t xml:space="preserve">Read in canonical correspondence dossier</t>
        </is>
      </c>
      <c r="P501" s="15"/>
      <c r="Q501" s="15"/>
      <c r="R501" s="15"/>
      <c r="S501" s="15" t="inlineStr">
        <is>
          <t xml:space="preserve">S05; S06</t>
        </is>
      </c>
      <c r="T501" s="15"/>
      <c r="U501" s="11" t="inlineStr">
        <is>
          <t xml:space="preserve">Needs editorial decision</t>
        </is>
      </c>
      <c r="V501" s="15"/>
      <c r="W501" s="15" t="inlineStr">
        <is>
          <t xml:space="preserve">The letter names regions in Asia Minor but does not supply a secure point in Acts for placement.</t>
        </is>
      </c>
    </row>
    <row r="502" ht="34" customHeight="1">
      <c r="A502" s="15" t="inlineStr">
        <is>
          <t xml:space="preserve">v0.9</t>
        </is>
      </c>
      <c r="B502" s="15" t="inlineStr">
        <is>
          <t xml:space="preserve">Bible_Journey_Canon_Map_v0_9_General_Letters_Revelation.xlsx</t>
        </is>
      </c>
      <c r="C502" s="15" t="inlineStr">
        <is>
          <t xml:space="preserve">CRS-GEN-009</t>
        </is>
      </c>
      <c r="D502" s="15">
        <v>9</v>
      </c>
      <c r="E502" s="15">
        <v>9</v>
      </c>
      <c r="F502" s="15" t="inlineStr">
        <is>
          <t xml:space="preserve">1 Peter</t>
        </is>
      </c>
      <c r="G502" s="15" t="inlineStr">
        <is>
          <t xml:space="preserve">Correspondence Beyond Acts</t>
        </is>
      </c>
      <c r="H502" s="15" t="inlineStr">
        <is>
          <t xml:space="preserve">1 Peter</t>
        </is>
      </c>
      <c r="I502" s="15" t="inlineStr">
        <is>
          <t xml:space="preserve">1 Peter 3–5 · Suffering, witness, and shepherding</t>
        </is>
      </c>
      <c r="J502" s="15"/>
      <c r="K502" s="15"/>
      <c r="L502" s="15" t="inlineStr">
        <is>
          <t xml:space="preserve">Debated</t>
        </is>
      </c>
      <c r="M502" s="15"/>
      <c r="N502" s="15"/>
      <c r="O502" s="15" t="inlineStr">
        <is>
          <t xml:space="preserve">Complete 1 Peter dossier</t>
        </is>
      </c>
      <c r="P502" s="15"/>
      <c r="Q502" s="15"/>
      <c r="R502" s="15"/>
      <c r="S502" s="15" t="inlineStr">
        <is>
          <t xml:space="preserve">S05; S06</t>
        </is>
      </c>
      <c r="T502" s="15"/>
      <c r="U502" s="15" t="inlineStr">
        <is>
          <t xml:space="preserve">Needs source check</t>
        </is>
      </c>
      <c r="V502" s="15"/>
      <c r="W502" s="15" t="inlineStr">
        <is>
          <t xml:space="preserve">Map regional references as context, not evidence of a dated Acts itinerary.</t>
        </is>
      </c>
    </row>
    <row r="503" ht="34" customHeight="1">
      <c r="A503" s="15" t="inlineStr">
        <is>
          <t xml:space="preserve">v0.9</t>
        </is>
      </c>
      <c r="B503" s="15" t="inlineStr">
        <is>
          <t xml:space="preserve">Bible_Journey_Canon_Map_v0_9_General_Letters_Revelation.xlsx</t>
        </is>
      </c>
      <c r="C503" s="15" t="inlineStr">
        <is>
          <t xml:space="preserve">CRS-GEN-010</t>
        </is>
      </c>
      <c r="D503" s="15">
        <v>10</v>
      </c>
      <c r="E503" s="15">
        <v>9</v>
      </c>
      <c r="F503" s="15" t="inlineStr">
        <is>
          <t xml:space="preserve">2 Peter</t>
        </is>
      </c>
      <c r="G503" s="15" t="inlineStr">
        <is>
          <t xml:space="preserve">Correspondence Beyond Acts</t>
        </is>
      </c>
      <c r="H503" s="15" t="inlineStr">
        <is>
          <t xml:space="preserve">2 Peter</t>
        </is>
      </c>
      <c r="I503" s="15" t="inlineStr">
        <is>
          <t xml:space="preserve">2 Peter 1–3 · Apostolic memory and delayed fulfillment</t>
        </is>
      </c>
      <c r="J503" s="15"/>
      <c r="K503" s="15"/>
      <c r="L503" s="15" t="inlineStr">
        <is>
          <t xml:space="preserve">Debated</t>
        </is>
      </c>
      <c r="M503" s="15"/>
      <c r="N503" s="15"/>
      <c r="O503" s="15" t="inlineStr">
        <is>
          <t xml:space="preserve">Read as a distinct letter; surface Jude relationship in Study Mode</t>
        </is>
      </c>
      <c r="P503" s="15"/>
      <c r="Q503" s="15"/>
      <c r="R503" s="15"/>
      <c r="S503" s="15" t="inlineStr">
        <is>
          <t xml:space="preserve">S07; S08</t>
        </is>
      </c>
      <c r="T503" s="15"/>
      <c r="U503" s="11" t="inlineStr">
        <is>
          <t xml:space="preserve">Needs editorial decision</t>
        </is>
      </c>
      <c r="V503" s="15"/>
      <c r="W503" s="15" t="inlineStr">
        <is>
          <t xml:space="preserve">Questions of authorship and date require a debated placement label; retain canonical reading coverage.</t>
        </is>
      </c>
    </row>
    <row r="504" ht="34" customHeight="1">
      <c r="A504" s="15" t="inlineStr">
        <is>
          <t xml:space="preserve">v0.9</t>
        </is>
      </c>
      <c r="B504" s="15" t="inlineStr">
        <is>
          <t xml:space="preserve">Bible_Journey_Canon_Map_v0_9_General_Letters_Revelation.xlsx</t>
        </is>
      </c>
      <c r="C504" s="15" t="inlineStr">
        <is>
          <t xml:space="preserve">CRS-GEN-011</t>
        </is>
      </c>
      <c r="D504" s="15">
        <v>11</v>
      </c>
      <c r="E504" s="15">
        <v>9</v>
      </c>
      <c r="F504" s="15" t="inlineStr">
        <is>
          <t xml:space="preserve">1 John</t>
        </is>
      </c>
      <c r="G504" s="15" t="inlineStr">
        <is>
          <t xml:space="preserve">Correspondence Beyond Acts</t>
        </is>
      </c>
      <c r="H504" s="15" t="inlineStr">
        <is>
          <t xml:space="preserve">1 John</t>
        </is>
      </c>
      <c r="I504" s="15" t="inlineStr">
        <is>
          <t xml:space="preserve">1 John 1–2 · Life, light, truth, and testing claims</t>
        </is>
      </c>
      <c r="J504" s="15"/>
      <c r="K504" s="15"/>
      <c r="L504" s="15" t="inlineStr">
        <is>
          <t xml:space="preserve">Debated</t>
        </is>
      </c>
      <c r="M504" s="15"/>
      <c r="N504" s="15"/>
      <c r="O504" s="15" t="inlineStr">
        <is>
          <t xml:space="preserve">Read within the Johannine correspondence dossier</t>
        </is>
      </c>
      <c r="P504" s="15"/>
      <c r="Q504" s="15"/>
      <c r="R504" s="15"/>
      <c r="S504" s="15" t="inlineStr">
        <is>
          <t xml:space="preserve">S09; S10</t>
        </is>
      </c>
      <c r="T504" s="15"/>
      <c r="U504" s="11" t="inlineStr">
        <is>
          <t xml:space="preserve">Needs editorial decision</t>
        </is>
      </c>
      <c r="V504" s="15"/>
      <c r="W504" s="15" t="inlineStr">
        <is>
          <t xml:space="preserve">Relationship to the Fourth Gospel and the other Johannine letters is a literary/contextual question, not a fixed historical sequence.</t>
        </is>
      </c>
    </row>
    <row r="505" ht="34" customHeight="1">
      <c r="A505" s="15" t="inlineStr">
        <is>
          <t xml:space="preserve">v0.9</t>
        </is>
      </c>
      <c r="B505" s="15" t="inlineStr">
        <is>
          <t xml:space="preserve">Bible_Journey_Canon_Map_v0_9_General_Letters_Revelation.xlsx</t>
        </is>
      </c>
      <c r="C505" s="15" t="inlineStr">
        <is>
          <t xml:space="preserve">CRS-GEN-012</t>
        </is>
      </c>
      <c r="D505" s="15">
        <v>12</v>
      </c>
      <c r="E505" s="15">
        <v>9</v>
      </c>
      <c r="F505" s="15" t="inlineStr">
        <is>
          <t xml:space="preserve">1 John</t>
        </is>
      </c>
      <c r="G505" s="15" t="inlineStr">
        <is>
          <t xml:space="preserve">Correspondence Beyond Acts</t>
        </is>
      </c>
      <c r="H505" s="15" t="inlineStr">
        <is>
          <t xml:space="preserve">1 John</t>
        </is>
      </c>
      <c r="I505" s="15" t="inlineStr">
        <is>
          <t xml:space="preserve">1 John 3–5 · Love, testimony, and confidence</t>
        </is>
      </c>
      <c r="J505" s="15"/>
      <c r="K505" s="15"/>
      <c r="L505" s="15" t="inlineStr">
        <is>
          <t xml:space="preserve">Debated</t>
        </is>
      </c>
      <c r="M505" s="15"/>
      <c r="N505" s="15"/>
      <c r="O505" s="15" t="inlineStr">
        <is>
          <t xml:space="preserve">Continue Johannine correspondence dossier</t>
        </is>
      </c>
      <c r="P505" s="15"/>
      <c r="Q505" s="15"/>
      <c r="R505" s="15"/>
      <c r="S505" s="15" t="inlineStr">
        <is>
          <t xml:space="preserve">S09; S10</t>
        </is>
      </c>
      <c r="T505" s="15"/>
      <c r="U505" s="15" t="inlineStr">
        <is>
          <t xml:space="preserve">Needs source check</t>
        </is>
      </c>
      <c r="V505" s="15"/>
      <c r="W505" s="15" t="inlineStr">
        <is>
          <t xml:space="preserve">Preserve letter integrity; Study Mode may show literary links to 2–3 John without merging them.</t>
        </is>
      </c>
    </row>
    <row r="506" ht="34" customHeight="1">
      <c r="A506" s="15" t="inlineStr">
        <is>
          <t xml:space="preserve">v0.9</t>
        </is>
      </c>
      <c r="B506" s="15" t="inlineStr">
        <is>
          <t xml:space="preserve">Bible_Journey_Canon_Map_v0_9_General_Letters_Revelation.xlsx</t>
        </is>
      </c>
      <c r="C506" s="15" t="inlineStr">
        <is>
          <t xml:space="preserve">CRS-GEN-013</t>
        </is>
      </c>
      <c r="D506" s="15">
        <v>13</v>
      </c>
      <c r="E506" s="15">
        <v>9</v>
      </c>
      <c r="F506" s="15" t="inlineStr">
        <is>
          <t xml:space="preserve">2 John</t>
        </is>
      </c>
      <c r="G506" s="15" t="inlineStr">
        <is>
          <t xml:space="preserve">Correspondence Beyond Acts</t>
        </is>
      </c>
      <c r="H506" s="15" t="inlineStr">
        <is>
          <t xml:space="preserve">2 John</t>
        </is>
      </c>
      <c r="I506" s="15" t="inlineStr">
        <is>
          <t xml:space="preserve">2 John · Truth, love, and discernment</t>
        </is>
      </c>
      <c r="J506" s="15"/>
      <c r="K506" s="15"/>
      <c r="L506" s="15" t="inlineStr">
        <is>
          <t xml:space="preserve">Debated</t>
        </is>
      </c>
      <c r="M506" s="15"/>
      <c r="N506" s="15"/>
      <c r="O506" s="15" t="inlineStr">
        <is>
          <t xml:space="preserve">Read after 1 John in canonical fallback order</t>
        </is>
      </c>
      <c r="P506" s="15"/>
      <c r="Q506" s="15"/>
      <c r="R506" s="15"/>
      <c r="S506" s="15" t="inlineStr">
        <is>
          <t xml:space="preserve">S09; S10</t>
        </is>
      </c>
      <c r="T506" s="15"/>
      <c r="U506" s="11" t="inlineStr">
        <is>
          <t xml:space="preserve">Needs editorial decision</t>
        </is>
      </c>
      <c r="V506" s="15"/>
      <c r="W506" s="15" t="inlineStr">
        <is>
          <t xml:space="preserve">Placement is literary/canonical, not asserted chronology.</t>
        </is>
      </c>
    </row>
    <row r="507" ht="34" customHeight="1">
      <c r="A507" s="15" t="inlineStr">
        <is>
          <t xml:space="preserve">v0.9</t>
        </is>
      </c>
      <c r="B507" s="15" t="inlineStr">
        <is>
          <t xml:space="preserve">Bible_Journey_Canon_Map_v0_9_General_Letters_Revelation.xlsx</t>
        </is>
      </c>
      <c r="C507" s="15" t="inlineStr">
        <is>
          <t xml:space="preserve">CRS-GEN-014</t>
        </is>
      </c>
      <c r="D507" s="15">
        <v>14</v>
      </c>
      <c r="E507" s="15">
        <v>9</v>
      </c>
      <c r="F507" s="15" t="inlineStr">
        <is>
          <t xml:space="preserve">3 John</t>
        </is>
      </c>
      <c r="G507" s="15" t="inlineStr">
        <is>
          <t xml:space="preserve">Correspondence Beyond Acts</t>
        </is>
      </c>
      <c r="H507" s="15" t="inlineStr">
        <is>
          <t xml:space="preserve">3 John</t>
        </is>
      </c>
      <c r="I507" s="15" t="inlineStr">
        <is>
          <t xml:space="preserve">3 John · Hospitality and local conflict</t>
        </is>
      </c>
      <c r="J507" s="15"/>
      <c r="K507" s="15"/>
      <c r="L507" s="15" t="inlineStr">
        <is>
          <t xml:space="preserve">Debated</t>
        </is>
      </c>
      <c r="M507" s="15"/>
      <c r="N507" s="15"/>
      <c r="O507" s="15" t="inlineStr">
        <is>
          <t xml:space="preserve">Complete Johannine correspondence dossier</t>
        </is>
      </c>
      <c r="P507" s="15"/>
      <c r="Q507" s="15"/>
      <c r="R507" s="15"/>
      <c r="S507" s="15" t="inlineStr">
        <is>
          <t xml:space="preserve">S09; S10</t>
        </is>
      </c>
      <c r="T507" s="15"/>
      <c r="U507" s="11" t="inlineStr">
        <is>
          <t xml:space="preserve">Needs editorial decision</t>
        </is>
      </c>
      <c r="V507" s="15"/>
      <c r="W507" s="15" t="inlineStr">
        <is>
          <t xml:space="preserve">Read as an intact short letter with localized setting; no direct Acts anchor.</t>
        </is>
      </c>
    </row>
    <row r="508" ht="34" customHeight="1">
      <c r="A508" s="15" t="inlineStr">
        <is>
          <t xml:space="preserve">v0.9</t>
        </is>
      </c>
      <c r="B508" s="15" t="inlineStr">
        <is>
          <t xml:space="preserve">Bible_Journey_Canon_Map_v0_9_General_Letters_Revelation.xlsx</t>
        </is>
      </c>
      <c r="C508" s="15" t="inlineStr">
        <is>
          <t xml:space="preserve">CRS-GEN-015</t>
        </is>
      </c>
      <c r="D508" s="15">
        <v>15</v>
      </c>
      <c r="E508" s="15">
        <v>9</v>
      </c>
      <c r="F508" s="15" t="inlineStr">
        <is>
          <t xml:space="preserve">Jude</t>
        </is>
      </c>
      <c r="G508" s="15" t="inlineStr">
        <is>
          <t xml:space="preserve">Correspondence Beyond Acts</t>
        </is>
      </c>
      <c r="H508" s="15" t="inlineStr">
        <is>
          <t xml:space="preserve">Jude</t>
        </is>
      </c>
      <c r="I508" s="15" t="inlineStr">
        <is>
          <t xml:space="preserve">Jude · Contending for the faith</t>
        </is>
      </c>
      <c r="J508" s="15"/>
      <c r="K508" s="15"/>
      <c r="L508" s="15" t="inlineStr">
        <is>
          <t xml:space="preserve">Debated</t>
        </is>
      </c>
      <c r="M508" s="15"/>
      <c r="N508" s="15"/>
      <c r="O508" s="15" t="inlineStr">
        <is>
          <t xml:space="preserve">Read as a distinct letter; offer 2 Peter comparison after completion</t>
        </is>
      </c>
      <c r="P508" s="15"/>
      <c r="Q508" s="15"/>
      <c r="R508" s="15"/>
      <c r="S508" s="15" t="inlineStr">
        <is>
          <t xml:space="preserve">S08; S11</t>
        </is>
      </c>
      <c r="T508" s="15"/>
      <c r="U508" s="11" t="inlineStr">
        <is>
          <t xml:space="preserve">Needs editorial decision</t>
        </is>
      </c>
      <c r="V508" s="15"/>
      <c r="W508" s="15" t="inlineStr">
        <is>
          <t xml:space="preserve">Jude and 2 Peter share significant material, but the direction and date of dependence are not treated as settled.</t>
        </is>
      </c>
    </row>
    <row r="509" ht="34" customHeight="1">
      <c r="A509" s="15" t="inlineStr">
        <is>
          <t xml:space="preserve">v0.9</t>
        </is>
      </c>
      <c r="B509" s="15" t="inlineStr">
        <is>
          <t xml:space="preserve">Bible_Journey_Canon_Map_v0_9_General_Letters_Revelation.xlsx</t>
        </is>
      </c>
      <c r="C509" s="15" t="inlineStr">
        <is>
          <t xml:space="preserve">CRS-REV-001</t>
        </is>
      </c>
      <c r="D509" s="15">
        <v>16</v>
      </c>
      <c r="E509" s="15">
        <v>9</v>
      </c>
      <c r="F509" s="15" t="inlineStr">
        <is>
          <t xml:space="preserve">Revelation</t>
        </is>
      </c>
      <c r="G509" s="15" t="inlineStr">
        <is>
          <t xml:space="preserve">Apocalyptic Witness</t>
        </is>
      </c>
      <c r="H509" s="15" t="inlineStr">
        <is>
          <t xml:space="preserve">Revelation</t>
        </is>
      </c>
      <c r="I509" s="15" t="inlineStr">
        <is>
          <t xml:space="preserve">Revelation 1 · Prologue and inaugural vision</t>
        </is>
      </c>
      <c r="J509" s="15"/>
      <c r="K509" s="15"/>
      <c r="L509" s="15" t="inlineStr">
        <is>
          <t xml:space="preserve">Probable</t>
        </is>
      </c>
      <c r="M509" s="15"/>
      <c r="N509" s="15"/>
      <c r="O509" s="15" t="inlineStr">
        <is>
          <t xml:space="preserve">Read in book order; never treat this as a world-event timeline</t>
        </is>
      </c>
      <c r="P509" s="15"/>
      <c r="Q509" s="15"/>
      <c r="R509" s="15"/>
      <c r="S509" s="15" t="inlineStr">
        <is>
          <t xml:space="preserve">S12; S13</t>
        </is>
      </c>
      <c r="T509" s="15"/>
      <c r="U509" s="11" t="inlineStr">
        <is>
          <t xml:space="preserve">Ready for editorial review</t>
        </is>
      </c>
      <c r="V509" s="15"/>
      <c r="W509" s="15" t="inlineStr">
        <is>
          <t xml:space="preserve">The default product mode is a literary vision sequence with historical context for the seven congregations.</t>
        </is>
      </c>
    </row>
    <row r="510" ht="34" customHeight="1">
      <c r="A510" s="15" t="inlineStr">
        <is>
          <t xml:space="preserve">v0.9</t>
        </is>
      </c>
      <c r="B510" s="15" t="inlineStr">
        <is>
          <t xml:space="preserve">Bible_Journey_Canon_Map_v0_9_General_Letters_Revelation.xlsx</t>
        </is>
      </c>
      <c r="C510" s="15" t="inlineStr">
        <is>
          <t xml:space="preserve">CRS-REV-002</t>
        </is>
      </c>
      <c r="D510" s="15">
        <v>17</v>
      </c>
      <c r="E510" s="15">
        <v>9</v>
      </c>
      <c r="F510" s="15" t="inlineStr">
        <is>
          <t xml:space="preserve">Revelation</t>
        </is>
      </c>
      <c r="G510" s="15" t="inlineStr">
        <is>
          <t xml:space="preserve">Apocalyptic Witness</t>
        </is>
      </c>
      <c r="H510" s="15" t="inlineStr">
        <is>
          <t xml:space="preserve">Revelation</t>
        </is>
      </c>
      <c r="I510" s="15" t="inlineStr">
        <is>
          <t xml:space="preserve">Revelation 2–3 · Messages to seven assemblies</t>
        </is>
      </c>
      <c r="J510" s="15"/>
      <c r="K510" s="15"/>
      <c r="L510" s="15" t="inlineStr">
        <is>
          <t xml:space="preserve">Probable</t>
        </is>
      </c>
      <c r="M510" s="15"/>
      <c r="N510" s="15"/>
      <c r="O510" s="15" t="inlineStr">
        <is>
          <t xml:space="preserve">Read seven messages as a unified dossier with city context cards</t>
        </is>
      </c>
      <c r="P510" s="15"/>
      <c r="Q510" s="15"/>
      <c r="R510" s="15"/>
      <c r="S510" s="15" t="inlineStr">
        <is>
          <t xml:space="preserve">S13; S14</t>
        </is>
      </c>
      <c r="T510" s="15"/>
      <c r="U510" s="11" t="inlineStr">
        <is>
          <t xml:space="preserve">Ready for editorial review</t>
        </is>
      </c>
      <c r="V510" s="15"/>
      <c r="W510" s="15" t="inlineStr">
        <is>
          <t xml:space="preserve">The seven cities are historical locations; the app must not claim a single prophecy-fulfillment timeline as default.</t>
        </is>
      </c>
    </row>
    <row r="511" ht="34" customHeight="1">
      <c r="A511" s="15" t="inlineStr">
        <is>
          <t xml:space="preserve">v0.9</t>
        </is>
      </c>
      <c r="B511" s="15" t="inlineStr">
        <is>
          <t xml:space="preserve">Bible_Journey_Canon_Map_v0_9_General_Letters_Revelation.xlsx</t>
        </is>
      </c>
      <c r="C511" s="15" t="inlineStr">
        <is>
          <t xml:space="preserve">CRS-REV-003</t>
        </is>
      </c>
      <c r="D511" s="15">
        <v>18</v>
      </c>
      <c r="E511" s="15">
        <v>9</v>
      </c>
      <c r="F511" s="15" t="inlineStr">
        <is>
          <t xml:space="preserve">Revelation</t>
        </is>
      </c>
      <c r="G511" s="15" t="inlineStr">
        <is>
          <t xml:space="preserve">Apocalyptic Witness</t>
        </is>
      </c>
      <c r="H511" s="15" t="inlineStr">
        <is>
          <t xml:space="preserve">Revelation</t>
        </is>
      </c>
      <c r="I511" s="15" t="inlineStr">
        <is>
          <t xml:space="preserve">Revelation 4–5 · Throne room and scroll</t>
        </is>
      </c>
      <c r="J511" s="15"/>
      <c r="K511" s="15"/>
      <c r="L511" s="15" t="inlineStr">
        <is>
          <t xml:space="preserve">Probable</t>
        </is>
      </c>
      <c r="M511" s="15"/>
      <c r="N511" s="15"/>
      <c r="O511" s="15" t="inlineStr">
        <is>
          <t xml:space="preserve">Continue literary sequence</t>
        </is>
      </c>
      <c r="P511" s="15"/>
      <c r="Q511" s="15"/>
      <c r="R511" s="15"/>
      <c r="S511" s="15" t="inlineStr">
        <is>
          <t xml:space="preserve">S12; S13</t>
        </is>
      </c>
      <c r="T511" s="15"/>
      <c r="U511" s="15" t="inlineStr">
        <is>
          <t xml:space="preserve">Needs source check</t>
        </is>
      </c>
      <c r="V511" s="15"/>
      <c r="W511" s="15" t="inlineStr">
        <is>
          <t xml:space="preserve">Use intertext cards for throne imagery and worship language; Scripture remains intact.</t>
        </is>
      </c>
    </row>
    <row r="512" ht="34" customHeight="1">
      <c r="A512" s="15" t="inlineStr">
        <is>
          <t xml:space="preserve">v0.9</t>
        </is>
      </c>
      <c r="B512" s="15" t="inlineStr">
        <is>
          <t xml:space="preserve">Bible_Journey_Canon_Map_v0_9_General_Letters_Revelation.xlsx</t>
        </is>
      </c>
      <c r="C512" s="15" t="inlineStr">
        <is>
          <t xml:space="preserve">CRS-REV-004</t>
        </is>
      </c>
      <c r="D512" s="15">
        <v>19</v>
      </c>
      <c r="E512" s="15">
        <v>9</v>
      </c>
      <c r="F512" s="15" t="inlineStr">
        <is>
          <t xml:space="preserve">Revelation</t>
        </is>
      </c>
      <c r="G512" s="15" t="inlineStr">
        <is>
          <t xml:space="preserve">Apocalyptic Witness</t>
        </is>
      </c>
      <c r="H512" s="15" t="inlineStr">
        <is>
          <t xml:space="preserve">Revelation</t>
        </is>
      </c>
      <c r="I512" s="15" t="inlineStr">
        <is>
          <t xml:space="preserve">Revelation 6–8:1 · Seals and interlude</t>
        </is>
      </c>
      <c r="J512" s="15"/>
      <c r="K512" s="15"/>
      <c r="L512" s="15" t="inlineStr">
        <is>
          <t xml:space="preserve">Debated</t>
        </is>
      </c>
      <c r="M512" s="15"/>
      <c r="N512" s="15"/>
      <c r="O512" s="15" t="inlineStr">
        <is>
          <t xml:space="preserve">Continue literary sequence with cycle-aware note</t>
        </is>
      </c>
      <c r="P512" s="15"/>
      <c r="Q512" s="15"/>
      <c r="R512" s="15"/>
      <c r="S512" s="15" t="inlineStr">
        <is>
          <t xml:space="preserve">S12; S15</t>
        </is>
      </c>
      <c r="T512" s="15"/>
      <c r="U512" s="11" t="inlineStr">
        <is>
          <t xml:space="preserve">Needs editorial decision</t>
        </is>
      </c>
      <c r="V512" s="15"/>
      <c r="W512" s="15" t="inlineStr">
        <is>
          <t xml:space="preserve">Do not predefine the seals as successive future world events. Display interpretive lenses only in opted-in Study Mode.</t>
        </is>
      </c>
    </row>
    <row r="513" ht="34" customHeight="1">
      <c r="A513" s="15" t="inlineStr">
        <is>
          <t xml:space="preserve">v0.9</t>
        </is>
      </c>
      <c r="B513" s="15" t="inlineStr">
        <is>
          <t xml:space="preserve">Bible_Journey_Canon_Map_v0_9_General_Letters_Revelation.xlsx</t>
        </is>
      </c>
      <c r="C513" s="15" t="inlineStr">
        <is>
          <t xml:space="preserve">CRS-REV-005</t>
        </is>
      </c>
      <c r="D513" s="15">
        <v>20</v>
      </c>
      <c r="E513" s="15">
        <v>9</v>
      </c>
      <c r="F513" s="15" t="inlineStr">
        <is>
          <t xml:space="preserve">Revelation</t>
        </is>
      </c>
      <c r="G513" s="15" t="inlineStr">
        <is>
          <t xml:space="preserve">Apocalyptic Witness</t>
        </is>
      </c>
      <c r="H513" s="15" t="inlineStr">
        <is>
          <t xml:space="preserve">Revelation</t>
        </is>
      </c>
      <c r="I513" s="15" t="inlineStr">
        <is>
          <t xml:space="preserve">Revelation 8:2–11 · Trumpets and witness</t>
        </is>
      </c>
      <c r="J513" s="15"/>
      <c r="K513" s="15"/>
      <c r="L513" s="15" t="inlineStr">
        <is>
          <t xml:space="preserve">Debated</t>
        </is>
      </c>
      <c r="M513" s="15"/>
      <c r="N513" s="15"/>
      <c r="O513" s="15" t="inlineStr">
        <is>
          <t xml:space="preserve">Continue literary sequence with cycle-aware note</t>
        </is>
      </c>
      <c r="P513" s="15"/>
      <c r="Q513" s="15"/>
      <c r="R513" s="15"/>
      <c r="S513" s="15" t="inlineStr">
        <is>
          <t xml:space="preserve">S12; S15</t>
        </is>
      </c>
      <c r="T513" s="15"/>
      <c r="U513" s="11" t="inlineStr">
        <is>
          <t xml:space="preserve">Needs editorial decision</t>
        </is>
      </c>
      <c r="V513" s="15"/>
      <c r="W513" s="15" t="inlineStr">
        <is>
          <t xml:space="preserve">Keep the trumpet cycle intact and distinguish literary sequence from historical chronology.</t>
        </is>
      </c>
    </row>
    <row r="514" ht="34" customHeight="1">
      <c r="A514" s="15" t="inlineStr">
        <is>
          <t xml:space="preserve">v0.9</t>
        </is>
      </c>
      <c r="B514" s="15" t="inlineStr">
        <is>
          <t xml:space="preserve">Bible_Journey_Canon_Map_v0_9_General_Letters_Revelation.xlsx</t>
        </is>
      </c>
      <c r="C514" s="15" t="inlineStr">
        <is>
          <t xml:space="preserve">CRS-REV-006</t>
        </is>
      </c>
      <c r="D514" s="15">
        <v>21</v>
      </c>
      <c r="E514" s="15">
        <v>9</v>
      </c>
      <c r="F514" s="15" t="inlineStr">
        <is>
          <t xml:space="preserve">Revelation</t>
        </is>
      </c>
      <c r="G514" s="15" t="inlineStr">
        <is>
          <t xml:space="preserve">Apocalyptic Witness</t>
        </is>
      </c>
      <c r="H514" s="15" t="inlineStr">
        <is>
          <t xml:space="preserve">Revelation</t>
        </is>
      </c>
      <c r="I514" s="15" t="inlineStr">
        <is>
          <t xml:space="preserve">Revelation 12–14 · Conflict, beasts, and faithful witness</t>
        </is>
      </c>
      <c r="J514" s="15"/>
      <c r="K514" s="15"/>
      <c r="L514" s="15" t="inlineStr">
        <is>
          <t xml:space="preserve">Debated</t>
        </is>
      </c>
      <c r="M514" s="15"/>
      <c r="N514" s="15"/>
      <c r="O514" s="15" t="inlineStr">
        <is>
          <t xml:space="preserve">Continue literary sequence with intertext map</t>
        </is>
      </c>
      <c r="P514" s="15"/>
      <c r="Q514" s="15"/>
      <c r="R514" s="15"/>
      <c r="S514" s="15" t="inlineStr">
        <is>
          <t xml:space="preserve">S12; S15</t>
        </is>
      </c>
      <c r="T514" s="15"/>
      <c r="U514" s="11" t="inlineStr">
        <is>
          <t xml:space="preserve">Needs editorial decision</t>
        </is>
      </c>
      <c r="V514" s="15"/>
      <c r="W514" s="15" t="inlineStr">
        <is>
          <t xml:space="preserve">Visions should not be forcibly mapped to one denomination's historical scheme in default mode.</t>
        </is>
      </c>
    </row>
    <row r="515" ht="34" customHeight="1">
      <c r="A515" s="15" t="inlineStr">
        <is>
          <t xml:space="preserve">v0.9</t>
        </is>
      </c>
      <c r="B515" s="15" t="inlineStr">
        <is>
          <t xml:space="preserve">Bible_Journey_Canon_Map_v0_9_General_Letters_Revelation.xlsx</t>
        </is>
      </c>
      <c r="C515" s="15" t="inlineStr">
        <is>
          <t xml:space="preserve">CRS-REV-007</t>
        </is>
      </c>
      <c r="D515" s="15">
        <v>22</v>
      </c>
      <c r="E515" s="15">
        <v>9</v>
      </c>
      <c r="F515" s="15" t="inlineStr">
        <is>
          <t xml:space="preserve">Revelation</t>
        </is>
      </c>
      <c r="G515" s="15" t="inlineStr">
        <is>
          <t xml:space="preserve">Apocalyptic Witness</t>
        </is>
      </c>
      <c r="H515" s="15" t="inlineStr">
        <is>
          <t xml:space="preserve">Revelation</t>
        </is>
      </c>
      <c r="I515" s="15" t="inlineStr">
        <is>
          <t xml:space="preserve">Revelation 15–16 · Bowls</t>
        </is>
      </c>
      <c r="J515" s="15"/>
      <c r="K515" s="15"/>
      <c r="L515" s="15" t="inlineStr">
        <is>
          <t xml:space="preserve">Debated</t>
        </is>
      </c>
      <c r="M515" s="15"/>
      <c r="N515" s="15"/>
      <c r="O515" s="15" t="inlineStr">
        <is>
          <t xml:space="preserve">Continue literary sequence with cycle-aware note</t>
        </is>
      </c>
      <c r="P515" s="15"/>
      <c r="Q515" s="15"/>
      <c r="R515" s="15"/>
      <c r="S515" s="15" t="inlineStr">
        <is>
          <t xml:space="preserve">S12; S15</t>
        </is>
      </c>
      <c r="T515" s="15"/>
      <c r="U515" s="11" t="inlineStr">
        <is>
          <t xml:space="preserve">Needs editorial decision</t>
        </is>
      </c>
      <c r="V515" s="15"/>
      <c r="W515" s="15" t="inlineStr">
        <is>
          <t xml:space="preserve">No default assumption that bowls follow seals/trumpets as a single strict temporal chain.</t>
        </is>
      </c>
    </row>
    <row r="516" ht="34" customHeight="1">
      <c r="A516" s="15" t="inlineStr">
        <is>
          <t xml:space="preserve">v0.9</t>
        </is>
      </c>
      <c r="B516" s="15" t="inlineStr">
        <is>
          <t xml:space="preserve">Bible_Journey_Canon_Map_v0_9_General_Letters_Revelation.xlsx</t>
        </is>
      </c>
      <c r="C516" s="15" t="inlineStr">
        <is>
          <t xml:space="preserve">CRS-REV-008</t>
        </is>
      </c>
      <c r="D516" s="15">
        <v>23</v>
      </c>
      <c r="E516" s="15">
        <v>9</v>
      </c>
      <c r="F516" s="15" t="inlineStr">
        <is>
          <t xml:space="preserve">Revelation</t>
        </is>
      </c>
      <c r="G516" s="15" t="inlineStr">
        <is>
          <t xml:space="preserve">Apocalyptic Witness</t>
        </is>
      </c>
      <c r="H516" s="15" t="inlineStr">
        <is>
          <t xml:space="preserve">Revelation</t>
        </is>
      </c>
      <c r="I516" s="15" t="inlineStr">
        <is>
          <t xml:space="preserve">Revelation 17–18 · Babylon</t>
        </is>
      </c>
      <c r="J516" s="15"/>
      <c r="K516" s="15"/>
      <c r="L516" s="15" t="inlineStr">
        <is>
          <t xml:space="preserve">Debated</t>
        </is>
      </c>
      <c r="M516" s="15"/>
      <c r="N516" s="15"/>
      <c r="O516" s="15" t="inlineStr">
        <is>
          <t xml:space="preserve">Continue literary sequence with imperial-context card</t>
        </is>
      </c>
      <c r="P516" s="15"/>
      <c r="Q516" s="15"/>
      <c r="R516" s="15"/>
      <c r="S516" s="15" t="inlineStr">
        <is>
          <t xml:space="preserve">S12; S15</t>
        </is>
      </c>
      <c r="T516" s="15"/>
      <c r="U516" s="15" t="inlineStr">
        <is>
          <t xml:space="preserve">Needs source check</t>
        </is>
      </c>
      <c r="V516" s="15"/>
      <c r="W516" s="15" t="inlineStr">
        <is>
          <t xml:space="preserve">Historical and literary context may be shown without collapsing imagery into one asserted referent.</t>
        </is>
      </c>
    </row>
    <row r="517" ht="34" customHeight="1">
      <c r="A517" s="15" t="inlineStr">
        <is>
          <t xml:space="preserve">v0.9</t>
        </is>
      </c>
      <c r="B517" s="15" t="inlineStr">
        <is>
          <t xml:space="preserve">Bible_Journey_Canon_Map_v0_9_General_Letters_Revelation.xlsx</t>
        </is>
      </c>
      <c r="C517" s="15" t="inlineStr">
        <is>
          <t xml:space="preserve">CRS-REV-009</t>
        </is>
      </c>
      <c r="D517" s="15">
        <v>24</v>
      </c>
      <c r="E517" s="15">
        <v>9</v>
      </c>
      <c r="F517" s="15" t="inlineStr">
        <is>
          <t xml:space="preserve">Revelation</t>
        </is>
      </c>
      <c r="G517" s="15" t="inlineStr">
        <is>
          <t xml:space="preserve">Apocalyptic Witness</t>
        </is>
      </c>
      <c r="H517" s="15" t="inlineStr">
        <is>
          <t xml:space="preserve">Revelation</t>
        </is>
      </c>
      <c r="I517" s="15" t="inlineStr">
        <is>
          <t xml:space="preserve">Revelation 19–20 · Victory and judgment</t>
        </is>
      </c>
      <c r="J517" s="15"/>
      <c r="K517" s="15"/>
      <c r="L517" s="15" t="inlineStr">
        <is>
          <t xml:space="preserve">Debated</t>
        </is>
      </c>
      <c r="M517" s="15"/>
      <c r="N517" s="15"/>
      <c r="O517" s="15" t="inlineStr">
        <is>
          <t xml:space="preserve">Continue literary sequence; interpretation is opt-in</t>
        </is>
      </c>
      <c r="P517" s="15"/>
      <c r="Q517" s="15"/>
      <c r="R517" s="15"/>
      <c r="S517" s="15" t="inlineStr">
        <is>
          <t xml:space="preserve">S12; S15</t>
        </is>
      </c>
      <c r="T517" s="15"/>
      <c r="U517" s="11" t="inlineStr">
        <is>
          <t xml:space="preserve">Needs editorial decision</t>
        </is>
      </c>
      <c r="V517" s="15"/>
      <c r="W517" s="15" t="inlineStr">
        <is>
          <t xml:space="preserve">The product must distinguish literary sequence, theological interpretation, and eschatological system.</t>
        </is>
      </c>
    </row>
    <row r="518" ht="34" customHeight="1">
      <c r="A518" s="15" t="inlineStr">
        <is>
          <t xml:space="preserve">v0.9</t>
        </is>
      </c>
      <c r="B518" s="15" t="inlineStr">
        <is>
          <t xml:space="preserve">Bible_Journey_Canon_Map_v0_9_General_Letters_Revelation.xlsx</t>
        </is>
      </c>
      <c r="C518" s="15" t="inlineStr">
        <is>
          <t xml:space="preserve">CRS-REV-010</t>
        </is>
      </c>
      <c r="D518" s="15">
        <v>25</v>
      </c>
      <c r="E518" s="15">
        <v>9</v>
      </c>
      <c r="F518" s="15" t="inlineStr">
        <is>
          <t xml:space="preserve">Revelation</t>
        </is>
      </c>
      <c r="G518" s="15" t="inlineStr">
        <is>
          <t xml:space="preserve">Apocalyptic Witness</t>
        </is>
      </c>
      <c r="H518" s="15" t="inlineStr">
        <is>
          <t xml:space="preserve">Revelation</t>
        </is>
      </c>
      <c r="I518" s="15" t="inlineStr">
        <is>
          <t xml:space="preserve">Revelation 21–22 · New creation and closing witness</t>
        </is>
      </c>
      <c r="J518" s="15"/>
      <c r="K518" s="15"/>
      <c r="L518" s="15" t="inlineStr">
        <is>
          <t xml:space="preserve">Probable</t>
        </is>
      </c>
      <c r="M518" s="15"/>
      <c r="N518" s="15"/>
      <c r="O518" s="15" t="inlineStr">
        <is>
          <t xml:space="preserve">Complete Revelation as final canonical vision dossier</t>
        </is>
      </c>
      <c r="P518" s="15"/>
      <c r="Q518" s="15"/>
      <c r="R518" s="15"/>
      <c r="S518" s="15" t="inlineStr">
        <is>
          <t xml:space="preserve">S12; S13</t>
        </is>
      </c>
      <c r="T518" s="15"/>
      <c r="U518" s="11" t="inlineStr">
        <is>
          <t xml:space="preserve">Ready for editorial review</t>
        </is>
      </c>
      <c r="V518" s="15"/>
      <c r="W518" s="15" t="inlineStr">
        <is>
          <t xml:space="preserve">End the canonical stream with the book's own closure, not a product-generated prophecy timeline.</t>
        </is>
      </c>
    </row>
  </sheetData>
  <autoFilter ref="A4:W518"/>
  <mergeCells count="2">
    <mergeCell ref="A1:W1"/>
    <mergeCell ref="A2:W2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S671"/>
  <sheetViews>
    <sheetView workbookViewId="0">
      <pane ySplit="4" topLeftCell="A5" activePane="bottomLeft" state="frozen"/>
      <selection pane="bottomLeft" activeCell="A5" sqref="A5"/>
    </sheetView>
  </sheetViews>
  <cols>
    <col min="1" max="1" width="12" customWidth="1"/>
    <col min="2" max="2" width="50" customWidth="1"/>
    <col min="3" max="3" width="22" customWidth="1"/>
    <col min="4" max="4" width="22" customWidth="1"/>
    <col min="5" max="5" width="16" customWidth="1"/>
    <col min="6" max="6" width="20" customWidth="1"/>
    <col min="7" max="7" width="30" customWidth="1"/>
    <col min="8" max="8" width="28" customWidth="1"/>
    <col min="9" max="9" width="12" customWidth="1"/>
    <col min="10" max="10" width="22" customWidth="1"/>
    <col min="11" max="11" width="28" customWidth="1"/>
    <col min="12" max="12" width="22" customWidth="1"/>
    <col min="13" max="13" width="20" customWidth="1"/>
    <col min="14" max="14" width="40" customWidth="1"/>
    <col min="15" max="15" width="32" customWidth="1"/>
    <col min="16" max="16" width="24" customWidth="1"/>
    <col min="17" max="17" width="24" customWidth="1"/>
    <col min="18" max="18" width="24" customWidth="1"/>
    <col min="19" max="19" width="75" customWidth="1"/>
  </cols>
  <sheetData>
    <row r="1" ht="30" customHeight="1">
      <c r="A1" s="1" t="inlineStr">
        <is>
          <t xml:space="preserve">MASTER READING BLOCKS</t>
        </is>
      </c>
    </row>
    <row r="2" ht="30" customHeight="1">
      <c r="A2" s="2" t="inlineStr">
        <is>
          <t xml:space="preserve">Normalized inventory of intact canonical blocks. These are future passage-level units for Reader, progress logic, and Compare Accounts.</t>
        </is>
      </c>
    </row>
    <row r="4">
      <c r="A4" s="3" t="inlineStr">
        <is>
          <t xml:space="preserve">Map Version</t>
        </is>
      </c>
      <c r="B4" s="3" t="inlineStr">
        <is>
          <t xml:space="preserve">Source Workbook</t>
        </is>
      </c>
      <c r="C4" s="3" t="inlineStr">
        <is>
          <t xml:space="preserve">Local Block ID</t>
        </is>
      </c>
      <c r="D4" s="3" t="inlineStr">
        <is>
          <t xml:space="preserve">Parent CRS ID</t>
        </is>
      </c>
      <c r="E4" s="3" t="inlineStr">
        <is>
          <t xml:space="preserve">Display / Block Order</t>
        </is>
      </c>
      <c r="F4" s="3" t="inlineStr">
        <is>
          <t xml:space="preserve">Book</t>
        </is>
      </c>
      <c r="G4" s="3" t="inlineStr">
        <is>
          <t xml:space="preserve">Passage / Reference</t>
        </is>
      </c>
      <c r="H4" s="3" t="inlineStr">
        <is>
          <t xml:space="preserve">Block Role</t>
        </is>
      </c>
      <c r="I4" s="3" t="inlineStr">
        <is>
          <t xml:space="preserve">In Scope</t>
        </is>
      </c>
      <c r="J4" s="3" t="inlineStr">
        <is>
          <t xml:space="preserve">Required in Full Stream</t>
        </is>
      </c>
      <c r="K4" s="3" t="inlineStr">
        <is>
          <t xml:space="preserve">Narrative Flow Default</t>
        </is>
      </c>
      <c r="L4" s="3" t="inlineStr">
        <is>
          <t xml:space="preserve">Event / Setting Confidence</t>
        </is>
      </c>
      <c r="M4" s="3" t="inlineStr">
        <is>
          <t xml:space="preserve">Placement Confidence</t>
        </is>
      </c>
      <c r="N4" s="3" t="inlineStr">
        <is>
          <t xml:space="preserve">Integration / Anchor / Exception</t>
        </is>
      </c>
      <c r="O4" s="3" t="inlineStr">
        <is>
          <t xml:space="preserve">Target CRS / Compare Group</t>
        </is>
      </c>
      <c r="P4" s="3" t="inlineStr">
        <is>
          <t xml:space="preserve">End-User Label</t>
        </is>
      </c>
      <c r="Q4" s="3" t="inlineStr">
        <is>
          <t xml:space="preserve">Source Keys</t>
        </is>
      </c>
      <c r="R4" s="3" t="inlineStr">
        <is>
          <t xml:space="preserve">QA / Review Status</t>
        </is>
      </c>
      <c r="S4" s="3" t="inlineStr">
        <is>
          <t xml:space="preserve">Why It Appears Here / Notes</t>
        </is>
      </c>
    </row>
    <row r="5" ht="34" customHeight="1">
      <c r="A5" s="15" t="inlineStr">
        <is>
          <t xml:space="preserve">v0.1</t>
        </is>
      </c>
      <c r="B5" s="15" t="inlineStr">
        <is>
          <t xml:space="preserve">Bible_Journey_Canon_Map_v0_1_Genesis_to_2Samuel.xlsx</t>
        </is>
      </c>
      <c r="C5" s="15" t="inlineStr">
        <is>
          <t xml:space="preserve">BLK-GEN-001-01</t>
        </is>
      </c>
      <c r="D5" s="15" t="inlineStr">
        <is>
          <t xml:space="preserve">CRS-GEN-001</t>
        </is>
      </c>
      <c r="E5" s="15">
        <v>1</v>
      </c>
      <c r="F5" s="15" t="inlineStr">
        <is>
          <t xml:space="preserve">Genesis</t>
        </is>
      </c>
      <c r="G5" s="15" t="inlineStr">
        <is>
          <t xml:space="preserve">1-3</t>
        </is>
      </c>
      <c r="H5" s="15" t="inlineStr">
        <is>
          <t xml:space="preserve">Primary Account</t>
        </is>
      </c>
      <c r="I5" s="15" t="inlineStr">
        <is>
          <t xml:space="preserve">Yes</t>
        </is>
      </c>
      <c r="J5" s="15" t="inlineStr">
        <is>
          <t xml:space="preserve">Yes</t>
        </is>
      </c>
      <c r="K5" s="15" t="inlineStr">
        <is>
          <t xml:space="preserve">Yes</t>
        </is>
      </c>
      <c r="L5" s="15" t="inlineStr">
        <is>
          <t xml:space="preserve">High</t>
        </is>
      </c>
      <c r="M5" s="15" t="inlineStr">
        <is>
          <t xml:space="preserve">High</t>
        </is>
      </c>
      <c r="N5" s="15" t="inlineStr">
        <is>
          <t xml:space="preserve">Genesis</t>
        </is>
      </c>
      <c r="O5" s="15"/>
      <c r="P5" s="15" t="inlineStr">
        <is>
          <t xml:space="preserve">Primary account</t>
        </is>
      </c>
      <c r="Q5" s="15" t="inlineStr">
        <is>
          <t xml:space="preserve">SRC-TEXT-TORAH; SRC-TORAH-OVERVIEW</t>
        </is>
      </c>
      <c r="R5" s="11" t="inlineStr">
        <is>
          <t xml:space="preserve">Needs Review</t>
        </is>
      </c>
      <c r="S5" s="15" t="inlineStr">
        <is>
          <t xml:space="preserve">Canonical spine reading block for Creation, garden, and fall.</t>
        </is>
      </c>
    </row>
    <row r="6" ht="34" customHeight="1">
      <c r="A6" s="15" t="inlineStr">
        <is>
          <t xml:space="preserve">v0.1</t>
        </is>
      </c>
      <c r="B6" s="15" t="inlineStr">
        <is>
          <t xml:space="preserve">Bible_Journey_Canon_Map_v0_1_Genesis_to_2Samuel.xlsx</t>
        </is>
      </c>
      <c r="C6" s="15" t="inlineStr">
        <is>
          <t xml:space="preserve">BLK-GEN-002-01</t>
        </is>
      </c>
      <c r="D6" s="15" t="inlineStr">
        <is>
          <t xml:space="preserve">CRS-GEN-002</t>
        </is>
      </c>
      <c r="E6" s="15">
        <v>1</v>
      </c>
      <c r="F6" s="15" t="inlineStr">
        <is>
          <t xml:space="preserve">Genesis</t>
        </is>
      </c>
      <c r="G6" s="15" t="inlineStr">
        <is>
          <t xml:space="preserve">4-5</t>
        </is>
      </c>
      <c r="H6" s="15" t="inlineStr">
        <is>
          <t xml:space="preserve">Primary Account</t>
        </is>
      </c>
      <c r="I6" s="15" t="inlineStr">
        <is>
          <t xml:space="preserve">Yes</t>
        </is>
      </c>
      <c r="J6" s="15" t="inlineStr">
        <is>
          <t xml:space="preserve">Yes</t>
        </is>
      </c>
      <c r="K6" s="15" t="inlineStr">
        <is>
          <t xml:space="preserve">Yes</t>
        </is>
      </c>
      <c r="L6" s="15" t="inlineStr">
        <is>
          <t xml:space="preserve">High</t>
        </is>
      </c>
      <c r="M6" s="15" t="inlineStr">
        <is>
          <t xml:space="preserve">High</t>
        </is>
      </c>
      <c r="N6" s="15" t="inlineStr">
        <is>
          <t xml:space="preserve">Genesis</t>
        </is>
      </c>
      <c r="O6" s="15"/>
      <c r="P6" s="15" t="inlineStr">
        <is>
          <t xml:space="preserve">Primary account</t>
        </is>
      </c>
      <c r="Q6" s="15" t="inlineStr">
        <is>
          <t xml:space="preserve">SRC-TEXT-TORAH; SRC-TORAH-OVERVIEW</t>
        </is>
      </c>
      <c r="R6" s="11" t="inlineStr">
        <is>
          <t xml:space="preserve">Needs Review</t>
        </is>
      </c>
      <c r="S6" s="15" t="inlineStr">
        <is>
          <t xml:space="preserve">Canonical spine reading block for Cain, Seth, and the pre-flood line.</t>
        </is>
      </c>
    </row>
    <row r="7" ht="34" customHeight="1">
      <c r="A7" s="15" t="inlineStr">
        <is>
          <t xml:space="preserve">v0.1</t>
        </is>
      </c>
      <c r="B7" s="15" t="inlineStr">
        <is>
          <t xml:space="preserve">Bible_Journey_Canon_Map_v0_1_Genesis_to_2Samuel.xlsx</t>
        </is>
      </c>
      <c r="C7" s="15" t="inlineStr">
        <is>
          <t xml:space="preserve">BLK-GEN-003-01</t>
        </is>
      </c>
      <c r="D7" s="15" t="inlineStr">
        <is>
          <t xml:space="preserve">CRS-GEN-003</t>
        </is>
      </c>
      <c r="E7" s="15">
        <v>1</v>
      </c>
      <c r="F7" s="15" t="inlineStr">
        <is>
          <t xml:space="preserve">Genesis</t>
        </is>
      </c>
      <c r="G7" s="15" t="inlineStr">
        <is>
          <t xml:space="preserve">6-9</t>
        </is>
      </c>
      <c r="H7" s="15" t="inlineStr">
        <is>
          <t xml:space="preserve">Primary Account</t>
        </is>
      </c>
      <c r="I7" s="15" t="inlineStr">
        <is>
          <t xml:space="preserve">Yes</t>
        </is>
      </c>
      <c r="J7" s="15" t="inlineStr">
        <is>
          <t xml:space="preserve">Yes</t>
        </is>
      </c>
      <c r="K7" s="15" t="inlineStr">
        <is>
          <t xml:space="preserve">Yes</t>
        </is>
      </c>
      <c r="L7" s="15" t="inlineStr">
        <is>
          <t xml:space="preserve">High</t>
        </is>
      </c>
      <c r="M7" s="15" t="inlineStr">
        <is>
          <t xml:space="preserve">High</t>
        </is>
      </c>
      <c r="N7" s="15" t="inlineStr">
        <is>
          <t xml:space="preserve">Genesis</t>
        </is>
      </c>
      <c r="O7" s="15"/>
      <c r="P7" s="15" t="inlineStr">
        <is>
          <t xml:space="preserve">Primary account</t>
        </is>
      </c>
      <c r="Q7" s="15" t="inlineStr">
        <is>
          <t xml:space="preserve">SRC-TEXT-TORAH; SRC-TORAH-OVERVIEW</t>
        </is>
      </c>
      <c r="R7" s="11" t="inlineStr">
        <is>
          <t xml:space="preserve">Needs Review</t>
        </is>
      </c>
      <c r="S7" s="15" t="inlineStr">
        <is>
          <t xml:space="preserve">Canonical spine reading block for The flood and Noahic covenant.</t>
        </is>
      </c>
    </row>
    <row r="8" ht="34" customHeight="1">
      <c r="A8" s="15" t="inlineStr">
        <is>
          <t xml:space="preserve">v0.1</t>
        </is>
      </c>
      <c r="B8" s="15" t="inlineStr">
        <is>
          <t xml:space="preserve">Bible_Journey_Canon_Map_v0_1_Genesis_to_2Samuel.xlsx</t>
        </is>
      </c>
      <c r="C8" s="15" t="inlineStr">
        <is>
          <t xml:space="preserve">BLK-GEN-004-01</t>
        </is>
      </c>
      <c r="D8" s="15" t="inlineStr">
        <is>
          <t xml:space="preserve">CRS-GEN-004</t>
        </is>
      </c>
      <c r="E8" s="15">
        <v>1</v>
      </c>
      <c r="F8" s="15" t="inlineStr">
        <is>
          <t xml:space="preserve">Genesis</t>
        </is>
      </c>
      <c r="G8" s="15" t="inlineStr">
        <is>
          <t xml:space="preserve">10-11</t>
        </is>
      </c>
      <c r="H8" s="15" t="inlineStr">
        <is>
          <t xml:space="preserve">Primary Account</t>
        </is>
      </c>
      <c r="I8" s="15" t="inlineStr">
        <is>
          <t xml:space="preserve">Yes</t>
        </is>
      </c>
      <c r="J8" s="15" t="inlineStr">
        <is>
          <t xml:space="preserve">Yes</t>
        </is>
      </c>
      <c r="K8" s="15" t="inlineStr">
        <is>
          <t xml:space="preserve">Yes</t>
        </is>
      </c>
      <c r="L8" s="15" t="inlineStr">
        <is>
          <t xml:space="preserve">High</t>
        </is>
      </c>
      <c r="M8" s="15" t="inlineStr">
        <is>
          <t xml:space="preserve">High</t>
        </is>
      </c>
      <c r="N8" s="15" t="inlineStr">
        <is>
          <t xml:space="preserve">Genesis</t>
        </is>
      </c>
      <c r="O8" s="15"/>
      <c r="P8" s="15" t="inlineStr">
        <is>
          <t xml:space="preserve">Primary account</t>
        </is>
      </c>
      <c r="Q8" s="15" t="inlineStr">
        <is>
          <t xml:space="preserve">SRC-TEXT-TORAH; SRC-TORAH-OVERVIEW</t>
        </is>
      </c>
      <c r="R8" s="11" t="inlineStr">
        <is>
          <t xml:space="preserve">Needs Review</t>
        </is>
      </c>
      <c r="S8" s="15" t="inlineStr">
        <is>
          <t xml:space="preserve">Canonical spine reading block for Nations and the tower of Babel.</t>
        </is>
      </c>
    </row>
    <row r="9" ht="34" customHeight="1">
      <c r="A9" s="15" t="inlineStr">
        <is>
          <t xml:space="preserve">v0.1</t>
        </is>
      </c>
      <c r="B9" s="15" t="inlineStr">
        <is>
          <t xml:space="preserve">Bible_Journey_Canon_Map_v0_1_Genesis_to_2Samuel.xlsx</t>
        </is>
      </c>
      <c r="C9" s="15" t="inlineStr">
        <is>
          <t xml:space="preserve">BLK-GEN-005-01</t>
        </is>
      </c>
      <c r="D9" s="15" t="inlineStr">
        <is>
          <t xml:space="preserve">CRS-GEN-005</t>
        </is>
      </c>
      <c r="E9" s="15">
        <v>1</v>
      </c>
      <c r="F9" s="15" t="inlineStr">
        <is>
          <t xml:space="preserve">Genesis</t>
        </is>
      </c>
      <c r="G9" s="15" t="inlineStr">
        <is>
          <t xml:space="preserve">12-14</t>
        </is>
      </c>
      <c r="H9" s="15" t="inlineStr">
        <is>
          <t xml:space="preserve">Primary Account</t>
        </is>
      </c>
      <c r="I9" s="15" t="inlineStr">
        <is>
          <t xml:space="preserve">Yes</t>
        </is>
      </c>
      <c r="J9" s="15" t="inlineStr">
        <is>
          <t xml:space="preserve">Yes</t>
        </is>
      </c>
      <c r="K9" s="15" t="inlineStr">
        <is>
          <t xml:space="preserve">Yes</t>
        </is>
      </c>
      <c r="L9" s="15" t="inlineStr">
        <is>
          <t xml:space="preserve">High</t>
        </is>
      </c>
      <c r="M9" s="15" t="inlineStr">
        <is>
          <t xml:space="preserve">High</t>
        </is>
      </c>
      <c r="N9" s="15" t="inlineStr">
        <is>
          <t xml:space="preserve">Genesis</t>
        </is>
      </c>
      <c r="O9" s="15"/>
      <c r="P9" s="15" t="inlineStr">
        <is>
          <t xml:space="preserve">Primary account</t>
        </is>
      </c>
      <c r="Q9" s="15" t="inlineStr">
        <is>
          <t xml:space="preserve">SRC-TEXT-TORAH; SRC-TORAH-OVERVIEW</t>
        </is>
      </c>
      <c r="R9" s="11" t="inlineStr">
        <is>
          <t xml:space="preserve">Needs Review</t>
        </is>
      </c>
      <c r="S9" s="15" t="inlineStr">
        <is>
          <t xml:space="preserve">Canonical spine reading block for Abram's call, separation, and rescue of Lot.</t>
        </is>
      </c>
    </row>
    <row r="10" ht="34" customHeight="1">
      <c r="A10" s="15" t="inlineStr">
        <is>
          <t xml:space="preserve">v0.1</t>
        </is>
      </c>
      <c r="B10" s="15" t="inlineStr">
        <is>
          <t xml:space="preserve">Bible_Journey_Canon_Map_v0_1_Genesis_to_2Samuel.xlsx</t>
        </is>
      </c>
      <c r="C10" s="15" t="inlineStr">
        <is>
          <t xml:space="preserve">BLK-GEN-006-01</t>
        </is>
      </c>
      <c r="D10" s="15" t="inlineStr">
        <is>
          <t xml:space="preserve">CRS-GEN-006</t>
        </is>
      </c>
      <c r="E10" s="15">
        <v>1</v>
      </c>
      <c r="F10" s="15" t="inlineStr">
        <is>
          <t xml:space="preserve">Genesis</t>
        </is>
      </c>
      <c r="G10" s="15" t="inlineStr">
        <is>
          <t xml:space="preserve">15-17</t>
        </is>
      </c>
      <c r="H10" s="15" t="inlineStr">
        <is>
          <t xml:space="preserve">Primary Account</t>
        </is>
      </c>
      <c r="I10" s="15" t="inlineStr">
        <is>
          <t xml:space="preserve">Yes</t>
        </is>
      </c>
      <c r="J10" s="15" t="inlineStr">
        <is>
          <t xml:space="preserve">Yes</t>
        </is>
      </c>
      <c r="K10" s="15" t="inlineStr">
        <is>
          <t xml:space="preserve">Yes</t>
        </is>
      </c>
      <c r="L10" s="15" t="inlineStr">
        <is>
          <t xml:space="preserve">High</t>
        </is>
      </c>
      <c r="M10" s="15" t="inlineStr">
        <is>
          <t xml:space="preserve">High</t>
        </is>
      </c>
      <c r="N10" s="15" t="inlineStr">
        <is>
          <t xml:space="preserve">Genesis</t>
        </is>
      </c>
      <c r="O10" s="15"/>
      <c r="P10" s="15" t="inlineStr">
        <is>
          <t xml:space="preserve">Primary account</t>
        </is>
      </c>
      <c r="Q10" s="15" t="inlineStr">
        <is>
          <t xml:space="preserve">SRC-TEXT-TORAH; SRC-TORAH-OVERVIEW</t>
        </is>
      </c>
      <c r="R10" s="11" t="inlineStr">
        <is>
          <t xml:space="preserve">Needs Review</t>
        </is>
      </c>
      <c r="S10" s="15" t="inlineStr">
        <is>
          <t xml:space="preserve">Canonical spine reading block for Covenant, Hagar, and the promised son.</t>
        </is>
      </c>
    </row>
    <row r="11" ht="34" customHeight="1">
      <c r="A11" s="15" t="inlineStr">
        <is>
          <t xml:space="preserve">v0.1</t>
        </is>
      </c>
      <c r="B11" s="15" t="inlineStr">
        <is>
          <t xml:space="preserve">Bible_Journey_Canon_Map_v0_1_Genesis_to_2Samuel.xlsx</t>
        </is>
      </c>
      <c r="C11" s="15" t="inlineStr">
        <is>
          <t xml:space="preserve">BLK-GEN-007-01</t>
        </is>
      </c>
      <c r="D11" s="15" t="inlineStr">
        <is>
          <t xml:space="preserve">CRS-GEN-007</t>
        </is>
      </c>
      <c r="E11" s="15">
        <v>1</v>
      </c>
      <c r="F11" s="15" t="inlineStr">
        <is>
          <t xml:space="preserve">Genesis</t>
        </is>
      </c>
      <c r="G11" s="15" t="inlineStr">
        <is>
          <t xml:space="preserve">18-19</t>
        </is>
      </c>
      <c r="H11" s="15" t="inlineStr">
        <is>
          <t xml:space="preserve">Primary Account</t>
        </is>
      </c>
      <c r="I11" s="15" t="inlineStr">
        <is>
          <t xml:space="preserve">Yes</t>
        </is>
      </c>
      <c r="J11" s="15" t="inlineStr">
        <is>
          <t xml:space="preserve">Yes</t>
        </is>
      </c>
      <c r="K11" s="15" t="inlineStr">
        <is>
          <t xml:space="preserve">Yes</t>
        </is>
      </c>
      <c r="L11" s="15" t="inlineStr">
        <is>
          <t xml:space="preserve">High</t>
        </is>
      </c>
      <c r="M11" s="15" t="inlineStr">
        <is>
          <t xml:space="preserve">High</t>
        </is>
      </c>
      <c r="N11" s="15" t="inlineStr">
        <is>
          <t xml:space="preserve">Genesis</t>
        </is>
      </c>
      <c r="O11" s="15"/>
      <c r="P11" s="15" t="inlineStr">
        <is>
          <t xml:space="preserve">Primary account</t>
        </is>
      </c>
      <c r="Q11" s="15" t="inlineStr">
        <is>
          <t xml:space="preserve">SRC-TEXT-TORAH; SRC-TORAH-OVERVIEW</t>
        </is>
      </c>
      <c r="R11" s="11" t="inlineStr">
        <is>
          <t xml:space="preserve">Needs Review</t>
        </is>
      </c>
      <c r="S11" s="15" t="inlineStr">
        <is>
          <t xml:space="preserve">Canonical spine reading block for Sodom, Gomorrah, and Lot's escape.</t>
        </is>
      </c>
    </row>
    <row r="12" ht="34" customHeight="1">
      <c r="A12" s="15" t="inlineStr">
        <is>
          <t xml:space="preserve">v0.1</t>
        </is>
      </c>
      <c r="B12" s="15" t="inlineStr">
        <is>
          <t xml:space="preserve">Bible_Journey_Canon_Map_v0_1_Genesis_to_2Samuel.xlsx</t>
        </is>
      </c>
      <c r="C12" s="15" t="inlineStr">
        <is>
          <t xml:space="preserve">BLK-GEN-008-01</t>
        </is>
      </c>
      <c r="D12" s="15" t="inlineStr">
        <is>
          <t xml:space="preserve">CRS-GEN-008</t>
        </is>
      </c>
      <c r="E12" s="15">
        <v>1</v>
      </c>
      <c r="F12" s="15" t="inlineStr">
        <is>
          <t xml:space="preserve">Genesis</t>
        </is>
      </c>
      <c r="G12" s="15" t="inlineStr">
        <is>
          <t xml:space="preserve">20-22</t>
        </is>
      </c>
      <c r="H12" s="15" t="inlineStr">
        <is>
          <t xml:space="preserve">Primary Account</t>
        </is>
      </c>
      <c r="I12" s="15" t="inlineStr">
        <is>
          <t xml:space="preserve">Yes</t>
        </is>
      </c>
      <c r="J12" s="15" t="inlineStr">
        <is>
          <t xml:space="preserve">Yes</t>
        </is>
      </c>
      <c r="K12" s="15" t="inlineStr">
        <is>
          <t xml:space="preserve">Yes</t>
        </is>
      </c>
      <c r="L12" s="15" t="inlineStr">
        <is>
          <t xml:space="preserve">High</t>
        </is>
      </c>
      <c r="M12" s="15" t="inlineStr">
        <is>
          <t xml:space="preserve">High</t>
        </is>
      </c>
      <c r="N12" s="15" t="inlineStr">
        <is>
          <t xml:space="preserve">Genesis</t>
        </is>
      </c>
      <c r="O12" s="15"/>
      <c r="P12" s="15" t="inlineStr">
        <is>
          <t xml:space="preserve">Primary account</t>
        </is>
      </c>
      <c r="Q12" s="15" t="inlineStr">
        <is>
          <t xml:space="preserve">SRC-TEXT-TORAH; SRC-TORAH-OVERVIEW</t>
        </is>
      </c>
      <c r="R12" s="11" t="inlineStr">
        <is>
          <t xml:space="preserve">Needs Review</t>
        </is>
      </c>
      <c r="S12" s="15" t="inlineStr">
        <is>
          <t xml:space="preserve">Canonical spine reading block for Abimelech, Isaac's birth, and Moriah.</t>
        </is>
      </c>
    </row>
    <row r="13" ht="34" customHeight="1">
      <c r="A13" s="15" t="inlineStr">
        <is>
          <t xml:space="preserve">v0.1</t>
        </is>
      </c>
      <c r="B13" s="15" t="inlineStr">
        <is>
          <t xml:space="preserve">Bible_Journey_Canon_Map_v0_1_Genesis_to_2Samuel.xlsx</t>
        </is>
      </c>
      <c r="C13" s="15" t="inlineStr">
        <is>
          <t xml:space="preserve">BLK-GEN-009-01</t>
        </is>
      </c>
      <c r="D13" s="15" t="inlineStr">
        <is>
          <t xml:space="preserve">CRS-GEN-009</t>
        </is>
      </c>
      <c r="E13" s="15">
        <v>1</v>
      </c>
      <c r="F13" s="15" t="inlineStr">
        <is>
          <t xml:space="preserve">Genesis</t>
        </is>
      </c>
      <c r="G13" s="15" t="inlineStr">
        <is>
          <t xml:space="preserve">23-25</t>
        </is>
      </c>
      <c r="H13" s="15" t="inlineStr">
        <is>
          <t xml:space="preserve">Primary Account</t>
        </is>
      </c>
      <c r="I13" s="15" t="inlineStr">
        <is>
          <t xml:space="preserve">Yes</t>
        </is>
      </c>
      <c r="J13" s="15" t="inlineStr">
        <is>
          <t xml:space="preserve">Yes</t>
        </is>
      </c>
      <c r="K13" s="15" t="inlineStr">
        <is>
          <t xml:space="preserve">Yes</t>
        </is>
      </c>
      <c r="L13" s="15" t="inlineStr">
        <is>
          <t xml:space="preserve">High</t>
        </is>
      </c>
      <c r="M13" s="15" t="inlineStr">
        <is>
          <t xml:space="preserve">High</t>
        </is>
      </c>
      <c r="N13" s="15" t="inlineStr">
        <is>
          <t xml:space="preserve">Genesis</t>
        </is>
      </c>
      <c r="O13" s="15"/>
      <c r="P13" s="15" t="inlineStr">
        <is>
          <t xml:space="preserve">Primary account</t>
        </is>
      </c>
      <c r="Q13" s="15" t="inlineStr">
        <is>
          <t xml:space="preserve">SRC-TEXT-TORAH; SRC-TORAH-OVERVIEW</t>
        </is>
      </c>
      <c r="R13" s="11" t="inlineStr">
        <is>
          <t xml:space="preserve">Needs Review</t>
        </is>
      </c>
      <c r="S13" s="15" t="inlineStr">
        <is>
          <t xml:space="preserve">Canonical spine reading block for Sarah's burial, Rebekah, and Abraham's final years.</t>
        </is>
      </c>
    </row>
    <row r="14" ht="34" customHeight="1">
      <c r="A14" s="15" t="inlineStr">
        <is>
          <t xml:space="preserve">v0.1</t>
        </is>
      </c>
      <c r="B14" s="15" t="inlineStr">
        <is>
          <t xml:space="preserve">Bible_Journey_Canon_Map_v0_1_Genesis_to_2Samuel.xlsx</t>
        </is>
      </c>
      <c r="C14" s="15" t="inlineStr">
        <is>
          <t xml:space="preserve">BLK-GEN-010-01</t>
        </is>
      </c>
      <c r="D14" s="15" t="inlineStr">
        <is>
          <t xml:space="preserve">CRS-GEN-010</t>
        </is>
      </c>
      <c r="E14" s="15">
        <v>1</v>
      </c>
      <c r="F14" s="15" t="inlineStr">
        <is>
          <t xml:space="preserve">Genesis</t>
        </is>
      </c>
      <c r="G14" s="15" t="inlineStr">
        <is>
          <t xml:space="preserve">26-28</t>
        </is>
      </c>
      <c r="H14" s="15" t="inlineStr">
        <is>
          <t xml:space="preserve">Primary Account</t>
        </is>
      </c>
      <c r="I14" s="15" t="inlineStr">
        <is>
          <t xml:space="preserve">Yes</t>
        </is>
      </c>
      <c r="J14" s="15" t="inlineStr">
        <is>
          <t xml:space="preserve">Yes</t>
        </is>
      </c>
      <c r="K14" s="15" t="inlineStr">
        <is>
          <t xml:space="preserve">Yes</t>
        </is>
      </c>
      <c r="L14" s="15" t="inlineStr">
        <is>
          <t xml:space="preserve">High</t>
        </is>
      </c>
      <c r="M14" s="15" t="inlineStr">
        <is>
          <t xml:space="preserve">High</t>
        </is>
      </c>
      <c r="N14" s="15" t="inlineStr">
        <is>
          <t xml:space="preserve">Genesis</t>
        </is>
      </c>
      <c r="O14" s="15"/>
      <c r="P14" s="15" t="inlineStr">
        <is>
          <t xml:space="preserve">Primary account</t>
        </is>
      </c>
      <c r="Q14" s="15" t="inlineStr">
        <is>
          <t xml:space="preserve">SRC-TEXT-TORAH; SRC-TORAH-OVERVIEW</t>
        </is>
      </c>
      <c r="R14" s="11" t="inlineStr">
        <is>
          <t xml:space="preserve">Needs Review</t>
        </is>
      </c>
      <c r="S14" s="15" t="inlineStr">
        <is>
          <t xml:space="preserve">Canonical spine reading block for Isaac's household and Jacob's departure.</t>
        </is>
      </c>
    </row>
    <row r="15" ht="34" customHeight="1">
      <c r="A15" s="15" t="inlineStr">
        <is>
          <t xml:space="preserve">v0.1</t>
        </is>
      </c>
      <c r="B15" s="15" t="inlineStr">
        <is>
          <t xml:space="preserve">Bible_Journey_Canon_Map_v0_1_Genesis_to_2Samuel.xlsx</t>
        </is>
      </c>
      <c r="C15" s="15" t="inlineStr">
        <is>
          <t xml:space="preserve">BLK-GEN-011-01</t>
        </is>
      </c>
      <c r="D15" s="15" t="inlineStr">
        <is>
          <t xml:space="preserve">CRS-GEN-011</t>
        </is>
      </c>
      <c r="E15" s="15">
        <v>1</v>
      </c>
      <c r="F15" s="15" t="inlineStr">
        <is>
          <t xml:space="preserve">Genesis</t>
        </is>
      </c>
      <c r="G15" s="15" t="inlineStr">
        <is>
          <t xml:space="preserve">29-31</t>
        </is>
      </c>
      <c r="H15" s="15" t="inlineStr">
        <is>
          <t xml:space="preserve">Primary Account</t>
        </is>
      </c>
      <c r="I15" s="15" t="inlineStr">
        <is>
          <t xml:space="preserve">Yes</t>
        </is>
      </c>
      <c r="J15" s="15" t="inlineStr">
        <is>
          <t xml:space="preserve">Yes</t>
        </is>
      </c>
      <c r="K15" s="15" t="inlineStr">
        <is>
          <t xml:space="preserve">Yes</t>
        </is>
      </c>
      <c r="L15" s="15" t="inlineStr">
        <is>
          <t xml:space="preserve">High</t>
        </is>
      </c>
      <c r="M15" s="15" t="inlineStr">
        <is>
          <t xml:space="preserve">High</t>
        </is>
      </c>
      <c r="N15" s="15" t="inlineStr">
        <is>
          <t xml:space="preserve">Genesis</t>
        </is>
      </c>
      <c r="O15" s="15"/>
      <c r="P15" s="15" t="inlineStr">
        <is>
          <t xml:space="preserve">Primary account</t>
        </is>
      </c>
      <c r="Q15" s="15" t="inlineStr">
        <is>
          <t xml:space="preserve">SRC-TEXT-TORAH; SRC-TORAH-OVERVIEW</t>
        </is>
      </c>
      <c r="R15" s="11" t="inlineStr">
        <is>
          <t xml:space="preserve">Needs Review</t>
        </is>
      </c>
      <c r="S15" s="15" t="inlineStr">
        <is>
          <t xml:space="preserve">Canonical spine reading block for Jacob in Haran.</t>
        </is>
      </c>
    </row>
    <row r="16" ht="34" customHeight="1">
      <c r="A16" s="15" t="inlineStr">
        <is>
          <t xml:space="preserve">v0.1</t>
        </is>
      </c>
      <c r="B16" s="15" t="inlineStr">
        <is>
          <t xml:space="preserve">Bible_Journey_Canon_Map_v0_1_Genesis_to_2Samuel.xlsx</t>
        </is>
      </c>
      <c r="C16" s="15" t="inlineStr">
        <is>
          <t xml:space="preserve">BLK-GEN-012-01</t>
        </is>
      </c>
      <c r="D16" s="15" t="inlineStr">
        <is>
          <t xml:space="preserve">CRS-GEN-012</t>
        </is>
      </c>
      <c r="E16" s="15">
        <v>1</v>
      </c>
      <c r="F16" s="15" t="inlineStr">
        <is>
          <t xml:space="preserve">Genesis</t>
        </is>
      </c>
      <c r="G16" s="15" t="inlineStr">
        <is>
          <t xml:space="preserve">32-33</t>
        </is>
      </c>
      <c r="H16" s="15" t="inlineStr">
        <is>
          <t xml:space="preserve">Primary Account</t>
        </is>
      </c>
      <c r="I16" s="15" t="inlineStr">
        <is>
          <t xml:space="preserve">Yes</t>
        </is>
      </c>
      <c r="J16" s="15" t="inlineStr">
        <is>
          <t xml:space="preserve">Yes</t>
        </is>
      </c>
      <c r="K16" s="15" t="inlineStr">
        <is>
          <t xml:space="preserve">Yes</t>
        </is>
      </c>
      <c r="L16" s="15" t="inlineStr">
        <is>
          <t xml:space="preserve">High</t>
        </is>
      </c>
      <c r="M16" s="15" t="inlineStr">
        <is>
          <t xml:space="preserve">High</t>
        </is>
      </c>
      <c r="N16" s="15" t="inlineStr">
        <is>
          <t xml:space="preserve">Genesis</t>
        </is>
      </c>
      <c r="O16" s="15"/>
      <c r="P16" s="15" t="inlineStr">
        <is>
          <t xml:space="preserve">Primary account</t>
        </is>
      </c>
      <c r="Q16" s="15" t="inlineStr">
        <is>
          <t xml:space="preserve">SRC-TEXT-TORAH; SRC-TORAH-OVERVIEW</t>
        </is>
      </c>
      <c r="R16" s="11" t="inlineStr">
        <is>
          <t xml:space="preserve">Needs Review</t>
        </is>
      </c>
      <c r="S16" s="15" t="inlineStr">
        <is>
          <t xml:space="preserve">Canonical spine reading block for Jacob returns and is reconciled with Esau.</t>
        </is>
      </c>
    </row>
    <row r="17" ht="34" customHeight="1">
      <c r="A17" s="15" t="inlineStr">
        <is>
          <t xml:space="preserve">v0.1</t>
        </is>
      </c>
      <c r="B17" s="15" t="inlineStr">
        <is>
          <t xml:space="preserve">Bible_Journey_Canon_Map_v0_1_Genesis_to_2Samuel.xlsx</t>
        </is>
      </c>
      <c r="C17" s="15" t="inlineStr">
        <is>
          <t xml:space="preserve">BLK-GEN-013-01</t>
        </is>
      </c>
      <c r="D17" s="15" t="inlineStr">
        <is>
          <t xml:space="preserve">CRS-GEN-013</t>
        </is>
      </c>
      <c r="E17" s="15">
        <v>1</v>
      </c>
      <c r="F17" s="15" t="inlineStr">
        <is>
          <t xml:space="preserve">Genesis</t>
        </is>
      </c>
      <c r="G17" s="15" t="inlineStr">
        <is>
          <t xml:space="preserve">34-36</t>
        </is>
      </c>
      <c r="H17" s="15" t="inlineStr">
        <is>
          <t xml:space="preserve">Primary Account</t>
        </is>
      </c>
      <c r="I17" s="15" t="inlineStr">
        <is>
          <t xml:space="preserve">Yes</t>
        </is>
      </c>
      <c r="J17" s="15" t="inlineStr">
        <is>
          <t xml:space="preserve">Yes</t>
        </is>
      </c>
      <c r="K17" s="15" t="inlineStr">
        <is>
          <t xml:space="preserve">Yes</t>
        </is>
      </c>
      <c r="L17" s="15" t="inlineStr">
        <is>
          <t xml:space="preserve">High</t>
        </is>
      </c>
      <c r="M17" s="15" t="inlineStr">
        <is>
          <t xml:space="preserve">High</t>
        </is>
      </c>
      <c r="N17" s="15" t="inlineStr">
        <is>
          <t xml:space="preserve">Genesis</t>
        </is>
      </c>
      <c r="O17" s="15"/>
      <c r="P17" s="15" t="inlineStr">
        <is>
          <t xml:space="preserve">Primary account</t>
        </is>
      </c>
      <c r="Q17" s="15" t="inlineStr">
        <is>
          <t xml:space="preserve">SRC-TEXT-TORAH; SRC-TORAH-OVERVIEW</t>
        </is>
      </c>
      <c r="R17" s="11" t="inlineStr">
        <is>
          <t xml:space="preserve">Needs Review</t>
        </is>
      </c>
      <c r="S17" s="15" t="inlineStr">
        <is>
          <t xml:space="preserve">Canonical spine reading block for Dinah, Bethel, and Esau's line.</t>
        </is>
      </c>
    </row>
    <row r="18" ht="34" customHeight="1">
      <c r="A18" s="15" t="inlineStr">
        <is>
          <t xml:space="preserve">v0.1</t>
        </is>
      </c>
      <c r="B18" s="15" t="inlineStr">
        <is>
          <t xml:space="preserve">Bible_Journey_Canon_Map_v0_1_Genesis_to_2Samuel.xlsx</t>
        </is>
      </c>
      <c r="C18" s="15" t="inlineStr">
        <is>
          <t xml:space="preserve">BLK-GEN-014-01</t>
        </is>
      </c>
      <c r="D18" s="15" t="inlineStr">
        <is>
          <t xml:space="preserve">CRS-GEN-014</t>
        </is>
      </c>
      <c r="E18" s="15">
        <v>1</v>
      </c>
      <c r="F18" s="15" t="inlineStr">
        <is>
          <t xml:space="preserve">Genesis</t>
        </is>
      </c>
      <c r="G18" s="15" t="inlineStr">
        <is>
          <t xml:space="preserve">37-38</t>
        </is>
      </c>
      <c r="H18" s="15" t="inlineStr">
        <is>
          <t xml:space="preserve">Primary Account</t>
        </is>
      </c>
      <c r="I18" s="15" t="inlineStr">
        <is>
          <t xml:space="preserve">Yes</t>
        </is>
      </c>
      <c r="J18" s="15" t="inlineStr">
        <is>
          <t xml:space="preserve">Yes</t>
        </is>
      </c>
      <c r="K18" s="15" t="inlineStr">
        <is>
          <t xml:space="preserve">Yes</t>
        </is>
      </c>
      <c r="L18" s="15" t="inlineStr">
        <is>
          <t xml:space="preserve">High</t>
        </is>
      </c>
      <c r="M18" s="15" t="inlineStr">
        <is>
          <t xml:space="preserve">High</t>
        </is>
      </c>
      <c r="N18" s="15" t="inlineStr">
        <is>
          <t xml:space="preserve">Genesis</t>
        </is>
      </c>
      <c r="O18" s="15"/>
      <c r="P18" s="15" t="inlineStr">
        <is>
          <t xml:space="preserve">Primary account</t>
        </is>
      </c>
      <c r="Q18" s="15" t="inlineStr">
        <is>
          <t xml:space="preserve">SRC-TEXT-TORAH; SRC-TORAH-OVERVIEW</t>
        </is>
      </c>
      <c r="R18" s="11" t="inlineStr">
        <is>
          <t xml:space="preserve">Needs Review</t>
        </is>
      </c>
      <c r="S18" s="15" t="inlineStr">
        <is>
          <t xml:space="preserve">Canonical spine reading block for Joseph sold and Judah's household.</t>
        </is>
      </c>
    </row>
    <row r="19" ht="34" customHeight="1">
      <c r="A19" s="15" t="inlineStr">
        <is>
          <t xml:space="preserve">v0.1</t>
        </is>
      </c>
      <c r="B19" s="15" t="inlineStr">
        <is>
          <t xml:space="preserve">Bible_Journey_Canon_Map_v0_1_Genesis_to_2Samuel.xlsx</t>
        </is>
      </c>
      <c r="C19" s="15" t="inlineStr">
        <is>
          <t xml:space="preserve">BLK-GEN-015-01</t>
        </is>
      </c>
      <c r="D19" s="15" t="inlineStr">
        <is>
          <t xml:space="preserve">CRS-GEN-015</t>
        </is>
      </c>
      <c r="E19" s="15">
        <v>1</v>
      </c>
      <c r="F19" s="15" t="inlineStr">
        <is>
          <t xml:space="preserve">Genesis</t>
        </is>
      </c>
      <c r="G19" s="15" t="inlineStr">
        <is>
          <t xml:space="preserve">39-41</t>
        </is>
      </c>
      <c r="H19" s="15" t="inlineStr">
        <is>
          <t xml:space="preserve">Primary Account</t>
        </is>
      </c>
      <c r="I19" s="15" t="inlineStr">
        <is>
          <t xml:space="preserve">Yes</t>
        </is>
      </c>
      <c r="J19" s="15" t="inlineStr">
        <is>
          <t xml:space="preserve">Yes</t>
        </is>
      </c>
      <c r="K19" s="15" t="inlineStr">
        <is>
          <t xml:space="preserve">Yes</t>
        </is>
      </c>
      <c r="L19" s="15" t="inlineStr">
        <is>
          <t xml:space="preserve">High</t>
        </is>
      </c>
      <c r="M19" s="15" t="inlineStr">
        <is>
          <t xml:space="preserve">High</t>
        </is>
      </c>
      <c r="N19" s="15" t="inlineStr">
        <is>
          <t xml:space="preserve">Genesis</t>
        </is>
      </c>
      <c r="O19" s="15"/>
      <c r="P19" s="15" t="inlineStr">
        <is>
          <t xml:space="preserve">Primary account</t>
        </is>
      </c>
      <c r="Q19" s="15" t="inlineStr">
        <is>
          <t xml:space="preserve">SRC-TEXT-TORAH; SRC-TORAH-OVERVIEW</t>
        </is>
      </c>
      <c r="R19" s="11" t="inlineStr">
        <is>
          <t xml:space="preserve">Needs Review</t>
        </is>
      </c>
      <c r="S19" s="15" t="inlineStr">
        <is>
          <t xml:space="preserve">Canonical spine reading block for Joseph in Egypt and raised to power.</t>
        </is>
      </c>
    </row>
    <row r="20" ht="34" customHeight="1">
      <c r="A20" s="15" t="inlineStr">
        <is>
          <t xml:space="preserve">v0.1</t>
        </is>
      </c>
      <c r="B20" s="15" t="inlineStr">
        <is>
          <t xml:space="preserve">Bible_Journey_Canon_Map_v0_1_Genesis_to_2Samuel.xlsx</t>
        </is>
      </c>
      <c r="C20" s="15" t="inlineStr">
        <is>
          <t xml:space="preserve">BLK-GEN-016-01</t>
        </is>
      </c>
      <c r="D20" s="15" t="inlineStr">
        <is>
          <t xml:space="preserve">CRS-GEN-016</t>
        </is>
      </c>
      <c r="E20" s="15">
        <v>1</v>
      </c>
      <c r="F20" s="15" t="inlineStr">
        <is>
          <t xml:space="preserve">Genesis</t>
        </is>
      </c>
      <c r="G20" s="15" t="inlineStr">
        <is>
          <t xml:space="preserve">42-45</t>
        </is>
      </c>
      <c r="H20" s="15" t="inlineStr">
        <is>
          <t xml:space="preserve">Primary Account</t>
        </is>
      </c>
      <c r="I20" s="15" t="inlineStr">
        <is>
          <t xml:space="preserve">Yes</t>
        </is>
      </c>
      <c r="J20" s="15" t="inlineStr">
        <is>
          <t xml:space="preserve">Yes</t>
        </is>
      </c>
      <c r="K20" s="15" t="inlineStr">
        <is>
          <t xml:space="preserve">Yes</t>
        </is>
      </c>
      <c r="L20" s="15" t="inlineStr">
        <is>
          <t xml:space="preserve">High</t>
        </is>
      </c>
      <c r="M20" s="15" t="inlineStr">
        <is>
          <t xml:space="preserve">High</t>
        </is>
      </c>
      <c r="N20" s="15" t="inlineStr">
        <is>
          <t xml:space="preserve">Genesis</t>
        </is>
      </c>
      <c r="O20" s="15"/>
      <c r="P20" s="15" t="inlineStr">
        <is>
          <t xml:space="preserve">Primary account</t>
        </is>
      </c>
      <c r="Q20" s="15" t="inlineStr">
        <is>
          <t xml:space="preserve">SRC-TEXT-TORAH; SRC-TORAH-OVERVIEW</t>
        </is>
      </c>
      <c r="R20" s="11" t="inlineStr">
        <is>
          <t xml:space="preserve">Needs Review</t>
        </is>
      </c>
      <c r="S20" s="15" t="inlineStr">
        <is>
          <t xml:space="preserve">Canonical spine reading block for Joseph tests and restores his brothers.</t>
        </is>
      </c>
    </row>
    <row r="21" ht="34" customHeight="1">
      <c r="A21" s="15" t="inlineStr">
        <is>
          <t xml:space="preserve">v0.1</t>
        </is>
      </c>
      <c r="B21" s="15" t="inlineStr">
        <is>
          <t xml:space="preserve">Bible_Journey_Canon_Map_v0_1_Genesis_to_2Samuel.xlsx</t>
        </is>
      </c>
      <c r="C21" s="15" t="inlineStr">
        <is>
          <t xml:space="preserve">BLK-GEN-017-01</t>
        </is>
      </c>
      <c r="D21" s="15" t="inlineStr">
        <is>
          <t xml:space="preserve">CRS-GEN-017</t>
        </is>
      </c>
      <c r="E21" s="15">
        <v>1</v>
      </c>
      <c r="F21" s="15" t="inlineStr">
        <is>
          <t xml:space="preserve">Genesis</t>
        </is>
      </c>
      <c r="G21" s="15" t="inlineStr">
        <is>
          <t xml:space="preserve">46-47</t>
        </is>
      </c>
      <c r="H21" s="15" t="inlineStr">
        <is>
          <t xml:space="preserve">Primary Account</t>
        </is>
      </c>
      <c r="I21" s="15" t="inlineStr">
        <is>
          <t xml:space="preserve">Yes</t>
        </is>
      </c>
      <c r="J21" s="15" t="inlineStr">
        <is>
          <t xml:space="preserve">Yes</t>
        </is>
      </c>
      <c r="K21" s="15" t="inlineStr">
        <is>
          <t xml:space="preserve">Yes</t>
        </is>
      </c>
      <c r="L21" s="15" t="inlineStr">
        <is>
          <t xml:space="preserve">High</t>
        </is>
      </c>
      <c r="M21" s="15" t="inlineStr">
        <is>
          <t xml:space="preserve">High</t>
        </is>
      </c>
      <c r="N21" s="15" t="inlineStr">
        <is>
          <t xml:space="preserve">Genesis</t>
        </is>
      </c>
      <c r="O21" s="15"/>
      <c r="P21" s="15" t="inlineStr">
        <is>
          <t xml:space="preserve">Primary account</t>
        </is>
      </c>
      <c r="Q21" s="15" t="inlineStr">
        <is>
          <t xml:space="preserve">SRC-TEXT-TORAH; SRC-TORAH-OVERVIEW</t>
        </is>
      </c>
      <c r="R21" s="11" t="inlineStr">
        <is>
          <t xml:space="preserve">Needs Review</t>
        </is>
      </c>
      <c r="S21" s="15" t="inlineStr">
        <is>
          <t xml:space="preserve">Canonical spine reading block for Israel descends to Egypt and settles in Goshen.</t>
        </is>
      </c>
    </row>
    <row r="22" ht="34" customHeight="1">
      <c r="A22" s="15" t="inlineStr">
        <is>
          <t xml:space="preserve">v0.1</t>
        </is>
      </c>
      <c r="B22" s="15" t="inlineStr">
        <is>
          <t xml:space="preserve">Bible_Journey_Canon_Map_v0_1_Genesis_to_2Samuel.xlsx</t>
        </is>
      </c>
      <c r="C22" s="15" t="inlineStr">
        <is>
          <t xml:space="preserve">BLK-GEN-018-01</t>
        </is>
      </c>
      <c r="D22" s="15" t="inlineStr">
        <is>
          <t xml:space="preserve">CRS-GEN-018</t>
        </is>
      </c>
      <c r="E22" s="15">
        <v>1</v>
      </c>
      <c r="F22" s="15" t="inlineStr">
        <is>
          <t xml:space="preserve">Genesis</t>
        </is>
      </c>
      <c r="G22" s="15" t="inlineStr">
        <is>
          <t xml:space="preserve">48-50</t>
        </is>
      </c>
      <c r="H22" s="15" t="inlineStr">
        <is>
          <t xml:space="preserve">Primary Account</t>
        </is>
      </c>
      <c r="I22" s="15" t="inlineStr">
        <is>
          <t xml:space="preserve">Yes</t>
        </is>
      </c>
      <c r="J22" s="15" t="inlineStr">
        <is>
          <t xml:space="preserve">Yes</t>
        </is>
      </c>
      <c r="K22" s="15" t="inlineStr">
        <is>
          <t xml:space="preserve">Yes</t>
        </is>
      </c>
      <c r="L22" s="15" t="inlineStr">
        <is>
          <t xml:space="preserve">High</t>
        </is>
      </c>
      <c r="M22" s="15" t="inlineStr">
        <is>
          <t xml:space="preserve">High</t>
        </is>
      </c>
      <c r="N22" s="15" t="inlineStr">
        <is>
          <t xml:space="preserve">Genesis</t>
        </is>
      </c>
      <c r="O22" s="15"/>
      <c r="P22" s="15" t="inlineStr">
        <is>
          <t xml:space="preserve">Primary account</t>
        </is>
      </c>
      <c r="Q22" s="15" t="inlineStr">
        <is>
          <t xml:space="preserve">SRC-TEXT-TORAH; SRC-TORAH-OVERVIEW</t>
        </is>
      </c>
      <c r="R22" s="11" t="inlineStr">
        <is>
          <t xml:space="preserve">Needs Review</t>
        </is>
      </c>
      <c r="S22" s="15" t="inlineStr">
        <is>
          <t xml:space="preserve">Canonical spine reading block for Jacob's blessings and the deaths of Jacob and Joseph.</t>
        </is>
      </c>
    </row>
    <row r="23" ht="34" customHeight="1">
      <c r="A23" s="15" t="inlineStr">
        <is>
          <t xml:space="preserve">v0.1</t>
        </is>
      </c>
      <c r="B23" s="15" t="inlineStr">
        <is>
          <t xml:space="preserve">Bible_Journey_Canon_Map_v0_1_Genesis_to_2Samuel.xlsx</t>
        </is>
      </c>
      <c r="C23" s="15" t="inlineStr">
        <is>
          <t xml:space="preserve">BLK-EXO-001-01</t>
        </is>
      </c>
      <c r="D23" s="15" t="inlineStr">
        <is>
          <t xml:space="preserve">CRS-EXO-001</t>
        </is>
      </c>
      <c r="E23" s="15">
        <v>1</v>
      </c>
      <c r="F23" s="15" t="inlineStr">
        <is>
          <t xml:space="preserve">Exodus</t>
        </is>
      </c>
      <c r="G23" s="15" t="inlineStr">
        <is>
          <t xml:space="preserve">1-2</t>
        </is>
      </c>
      <c r="H23" s="15" t="inlineStr">
        <is>
          <t xml:space="preserve">Primary Account</t>
        </is>
      </c>
      <c r="I23" s="15" t="inlineStr">
        <is>
          <t xml:space="preserve">Yes</t>
        </is>
      </c>
      <c r="J23" s="15" t="inlineStr">
        <is>
          <t xml:space="preserve">Yes</t>
        </is>
      </c>
      <c r="K23" s="15" t="inlineStr">
        <is>
          <t xml:space="preserve">Yes</t>
        </is>
      </c>
      <c r="L23" s="15" t="inlineStr">
        <is>
          <t xml:space="preserve">High</t>
        </is>
      </c>
      <c r="M23" s="15" t="inlineStr">
        <is>
          <t xml:space="preserve">High</t>
        </is>
      </c>
      <c r="N23" s="15" t="inlineStr">
        <is>
          <t xml:space="preserve">Exodus</t>
        </is>
      </c>
      <c r="O23" s="15"/>
      <c r="P23" s="15" t="inlineStr">
        <is>
          <t xml:space="preserve">Primary account</t>
        </is>
      </c>
      <c r="Q23" s="15" t="inlineStr">
        <is>
          <t xml:space="preserve">SRC-TEXT-TORAH; SRC-TORAH-OVERVIEW</t>
        </is>
      </c>
      <c r="R23" s="11" t="inlineStr">
        <is>
          <t xml:space="preserve">Needs Review</t>
        </is>
      </c>
      <c r="S23" s="15" t="inlineStr">
        <is>
          <t xml:space="preserve">Canonical spine reading block for Israel oppressed and Moses preserved.</t>
        </is>
      </c>
    </row>
    <row r="24" ht="34" customHeight="1">
      <c r="A24" s="15" t="inlineStr">
        <is>
          <t xml:space="preserve">v0.1</t>
        </is>
      </c>
      <c r="B24" s="15" t="inlineStr">
        <is>
          <t xml:space="preserve">Bible_Journey_Canon_Map_v0_1_Genesis_to_2Samuel.xlsx</t>
        </is>
      </c>
      <c r="C24" s="15" t="inlineStr">
        <is>
          <t xml:space="preserve">BLK-EXO-002-01</t>
        </is>
      </c>
      <c r="D24" s="15" t="inlineStr">
        <is>
          <t xml:space="preserve">CRS-EXO-002</t>
        </is>
      </c>
      <c r="E24" s="15">
        <v>1</v>
      </c>
      <c r="F24" s="15" t="inlineStr">
        <is>
          <t xml:space="preserve">Exodus</t>
        </is>
      </c>
      <c r="G24" s="15" t="inlineStr">
        <is>
          <t xml:space="preserve">3-4</t>
        </is>
      </c>
      <c r="H24" s="15" t="inlineStr">
        <is>
          <t xml:space="preserve">Primary Account</t>
        </is>
      </c>
      <c r="I24" s="15" t="inlineStr">
        <is>
          <t xml:space="preserve">Yes</t>
        </is>
      </c>
      <c r="J24" s="15" t="inlineStr">
        <is>
          <t xml:space="preserve">Yes</t>
        </is>
      </c>
      <c r="K24" s="15" t="inlineStr">
        <is>
          <t xml:space="preserve">Yes</t>
        </is>
      </c>
      <c r="L24" s="15" t="inlineStr">
        <is>
          <t xml:space="preserve">High</t>
        </is>
      </c>
      <c r="M24" s="15" t="inlineStr">
        <is>
          <t xml:space="preserve">High</t>
        </is>
      </c>
      <c r="N24" s="15" t="inlineStr">
        <is>
          <t xml:space="preserve">Exodus</t>
        </is>
      </c>
      <c r="O24" s="15"/>
      <c r="P24" s="15" t="inlineStr">
        <is>
          <t xml:space="preserve">Primary account</t>
        </is>
      </c>
      <c r="Q24" s="15" t="inlineStr">
        <is>
          <t xml:space="preserve">SRC-TEXT-TORAH; SRC-TORAH-OVERVIEW</t>
        </is>
      </c>
      <c r="R24" s="11" t="inlineStr">
        <is>
          <t xml:space="preserve">Needs Review</t>
        </is>
      </c>
      <c r="S24" s="15" t="inlineStr">
        <is>
          <t xml:space="preserve">Canonical spine reading block for Moses called at the burning bush.</t>
        </is>
      </c>
    </row>
    <row r="25" ht="34" customHeight="1">
      <c r="A25" s="15" t="inlineStr">
        <is>
          <t xml:space="preserve">v0.1</t>
        </is>
      </c>
      <c r="B25" s="15" t="inlineStr">
        <is>
          <t xml:space="preserve">Bible_Journey_Canon_Map_v0_1_Genesis_to_2Samuel.xlsx</t>
        </is>
      </c>
      <c r="C25" s="15" t="inlineStr">
        <is>
          <t xml:space="preserve">BLK-EXO-003-01</t>
        </is>
      </c>
      <c r="D25" s="15" t="inlineStr">
        <is>
          <t xml:space="preserve">CRS-EXO-003</t>
        </is>
      </c>
      <c r="E25" s="15">
        <v>1</v>
      </c>
      <c r="F25" s="15" t="inlineStr">
        <is>
          <t xml:space="preserve">Exodus</t>
        </is>
      </c>
      <c r="G25" s="15" t="inlineStr">
        <is>
          <t xml:space="preserve">5-6</t>
        </is>
      </c>
      <c r="H25" s="15" t="inlineStr">
        <is>
          <t xml:space="preserve">Primary Account</t>
        </is>
      </c>
      <c r="I25" s="15" t="inlineStr">
        <is>
          <t xml:space="preserve">Yes</t>
        </is>
      </c>
      <c r="J25" s="15" t="inlineStr">
        <is>
          <t xml:space="preserve">Yes</t>
        </is>
      </c>
      <c r="K25" s="15" t="inlineStr">
        <is>
          <t xml:space="preserve">Yes</t>
        </is>
      </c>
      <c r="L25" s="15" t="inlineStr">
        <is>
          <t xml:space="preserve">High</t>
        </is>
      </c>
      <c r="M25" s="15" t="inlineStr">
        <is>
          <t xml:space="preserve">High</t>
        </is>
      </c>
      <c r="N25" s="15" t="inlineStr">
        <is>
          <t xml:space="preserve">Exodus</t>
        </is>
      </c>
      <c r="O25" s="15"/>
      <c r="P25" s="15" t="inlineStr">
        <is>
          <t xml:space="preserve">Primary account</t>
        </is>
      </c>
      <c r="Q25" s="15" t="inlineStr">
        <is>
          <t xml:space="preserve">SRC-TEXT-TORAH; SRC-TORAH-OVERVIEW</t>
        </is>
      </c>
      <c r="R25" s="11" t="inlineStr">
        <is>
          <t xml:space="preserve">Needs Review</t>
        </is>
      </c>
      <c r="S25" s="15" t="inlineStr">
        <is>
          <t xml:space="preserve">Canonical spine reading block for Moses confronts Pharaoh.</t>
        </is>
      </c>
    </row>
    <row r="26" ht="34" customHeight="1">
      <c r="A26" s="15" t="inlineStr">
        <is>
          <t xml:space="preserve">v0.1</t>
        </is>
      </c>
      <c r="B26" s="15" t="inlineStr">
        <is>
          <t xml:space="preserve">Bible_Journey_Canon_Map_v0_1_Genesis_to_2Samuel.xlsx</t>
        </is>
      </c>
      <c r="C26" s="15" t="inlineStr">
        <is>
          <t xml:space="preserve">BLK-EXO-004-01</t>
        </is>
      </c>
      <c r="D26" s="15" t="inlineStr">
        <is>
          <t xml:space="preserve">CRS-EXO-004</t>
        </is>
      </c>
      <c r="E26" s="15">
        <v>1</v>
      </c>
      <c r="F26" s="15" t="inlineStr">
        <is>
          <t xml:space="preserve">Exodus</t>
        </is>
      </c>
      <c r="G26" s="15" t="inlineStr">
        <is>
          <t xml:space="preserve">7-11</t>
        </is>
      </c>
      <c r="H26" s="15" t="inlineStr">
        <is>
          <t xml:space="preserve">Primary Account</t>
        </is>
      </c>
      <c r="I26" s="15" t="inlineStr">
        <is>
          <t xml:space="preserve">Yes</t>
        </is>
      </c>
      <c r="J26" s="15" t="inlineStr">
        <is>
          <t xml:space="preserve">Yes</t>
        </is>
      </c>
      <c r="K26" s="15" t="inlineStr">
        <is>
          <t xml:space="preserve">Yes</t>
        </is>
      </c>
      <c r="L26" s="15" t="inlineStr">
        <is>
          <t xml:space="preserve">High</t>
        </is>
      </c>
      <c r="M26" s="15" t="inlineStr">
        <is>
          <t xml:space="preserve">High</t>
        </is>
      </c>
      <c r="N26" s="15" t="inlineStr">
        <is>
          <t xml:space="preserve">Exodus</t>
        </is>
      </c>
      <c r="O26" s="15"/>
      <c r="P26" s="15" t="inlineStr">
        <is>
          <t xml:space="preserve">Primary account</t>
        </is>
      </c>
      <c r="Q26" s="15" t="inlineStr">
        <is>
          <t xml:space="preserve">SRC-TEXT-TORAH; SRC-TORAH-OVERVIEW</t>
        </is>
      </c>
      <c r="R26" s="11" t="inlineStr">
        <is>
          <t xml:space="preserve">Needs Review</t>
        </is>
      </c>
      <c r="S26" s="15" t="inlineStr">
        <is>
          <t xml:space="preserve">Canonical spine reading block for The plagues in Egypt.</t>
        </is>
      </c>
    </row>
    <row r="27" ht="34" customHeight="1">
      <c r="A27" s="15" t="inlineStr">
        <is>
          <t xml:space="preserve">v0.1</t>
        </is>
      </c>
      <c r="B27" s="15" t="inlineStr">
        <is>
          <t xml:space="preserve">Bible_Journey_Canon_Map_v0_1_Genesis_to_2Samuel.xlsx</t>
        </is>
      </c>
      <c r="C27" s="15" t="inlineStr">
        <is>
          <t xml:space="preserve">BLK-EXO-005-01</t>
        </is>
      </c>
      <c r="D27" s="15" t="inlineStr">
        <is>
          <t xml:space="preserve">CRS-EXO-005</t>
        </is>
      </c>
      <c r="E27" s="15">
        <v>1</v>
      </c>
      <c r="F27" s="15" t="inlineStr">
        <is>
          <t xml:space="preserve">Exodus</t>
        </is>
      </c>
      <c r="G27" s="15" t="inlineStr">
        <is>
          <t xml:space="preserve">12-15</t>
        </is>
      </c>
      <c r="H27" s="15" t="inlineStr">
        <is>
          <t xml:space="preserve">Primary Account</t>
        </is>
      </c>
      <c r="I27" s="15" t="inlineStr">
        <is>
          <t xml:space="preserve">Yes</t>
        </is>
      </c>
      <c r="J27" s="15" t="inlineStr">
        <is>
          <t xml:space="preserve">Yes</t>
        </is>
      </c>
      <c r="K27" s="15" t="inlineStr">
        <is>
          <t xml:space="preserve">Yes</t>
        </is>
      </c>
      <c r="L27" s="15" t="inlineStr">
        <is>
          <t xml:space="preserve">High</t>
        </is>
      </c>
      <c r="M27" s="15" t="inlineStr">
        <is>
          <t xml:space="preserve">High</t>
        </is>
      </c>
      <c r="N27" s="15" t="inlineStr">
        <is>
          <t xml:space="preserve">Exodus</t>
        </is>
      </c>
      <c r="O27" s="15"/>
      <c r="P27" s="15" t="inlineStr">
        <is>
          <t xml:space="preserve">Primary account</t>
        </is>
      </c>
      <c r="Q27" s="15" t="inlineStr">
        <is>
          <t xml:space="preserve">SRC-TEXT-TORAH; SRC-TORAH-OVERVIEW</t>
        </is>
      </c>
      <c r="R27" s="11" t="inlineStr">
        <is>
          <t xml:space="preserve">Needs Review</t>
        </is>
      </c>
      <c r="S27" s="15" t="inlineStr">
        <is>
          <t xml:space="preserve">Canonical spine reading block for Passover, departure, sea crossing, and song.</t>
        </is>
      </c>
    </row>
    <row r="28" ht="34" customHeight="1">
      <c r="A28" s="15" t="inlineStr">
        <is>
          <t xml:space="preserve">v0.1</t>
        </is>
      </c>
      <c r="B28" s="15" t="inlineStr">
        <is>
          <t xml:space="preserve">Bible_Journey_Canon_Map_v0_1_Genesis_to_2Samuel.xlsx</t>
        </is>
      </c>
      <c r="C28" s="15" t="inlineStr">
        <is>
          <t xml:space="preserve">BLK-EXO-006-01</t>
        </is>
      </c>
      <c r="D28" s="15" t="inlineStr">
        <is>
          <t xml:space="preserve">CRS-EXO-006</t>
        </is>
      </c>
      <c r="E28" s="15">
        <v>1</v>
      </c>
      <c r="F28" s="15" t="inlineStr">
        <is>
          <t xml:space="preserve">Exodus</t>
        </is>
      </c>
      <c r="G28" s="15" t="inlineStr">
        <is>
          <t xml:space="preserve">16-18</t>
        </is>
      </c>
      <c r="H28" s="15" t="inlineStr">
        <is>
          <t xml:space="preserve">Primary Account</t>
        </is>
      </c>
      <c r="I28" s="15" t="inlineStr">
        <is>
          <t xml:space="preserve">Yes</t>
        </is>
      </c>
      <c r="J28" s="15" t="inlineStr">
        <is>
          <t xml:space="preserve">Yes</t>
        </is>
      </c>
      <c r="K28" s="15" t="inlineStr">
        <is>
          <t xml:space="preserve">Yes</t>
        </is>
      </c>
      <c r="L28" s="15" t="inlineStr">
        <is>
          <t xml:space="preserve">High</t>
        </is>
      </c>
      <c r="M28" s="15" t="inlineStr">
        <is>
          <t xml:space="preserve">High</t>
        </is>
      </c>
      <c r="N28" s="15" t="inlineStr">
        <is>
          <t xml:space="preserve">Exodus</t>
        </is>
      </c>
      <c r="O28" s="15"/>
      <c r="P28" s="15" t="inlineStr">
        <is>
          <t xml:space="preserve">Primary account</t>
        </is>
      </c>
      <c r="Q28" s="15" t="inlineStr">
        <is>
          <t xml:space="preserve">SRC-TEXT-TORAH; SRC-TORAH-OVERVIEW</t>
        </is>
      </c>
      <c r="R28" s="11" t="inlineStr">
        <is>
          <t xml:space="preserve">Needs Review</t>
        </is>
      </c>
      <c r="S28" s="15" t="inlineStr">
        <is>
          <t xml:space="preserve">Canonical spine reading block for Provision in the wilderness and Jethro's counsel.</t>
        </is>
      </c>
    </row>
    <row r="29" ht="34" customHeight="1">
      <c r="A29" s="15" t="inlineStr">
        <is>
          <t xml:space="preserve">v0.1</t>
        </is>
      </c>
      <c r="B29" s="15" t="inlineStr">
        <is>
          <t xml:space="preserve">Bible_Journey_Canon_Map_v0_1_Genesis_to_2Samuel.xlsx</t>
        </is>
      </c>
      <c r="C29" s="15" t="inlineStr">
        <is>
          <t xml:space="preserve">BLK-EXO-007-01</t>
        </is>
      </c>
      <c r="D29" s="15" t="inlineStr">
        <is>
          <t xml:space="preserve">CRS-EXO-007</t>
        </is>
      </c>
      <c r="E29" s="15">
        <v>1</v>
      </c>
      <c r="F29" s="15" t="inlineStr">
        <is>
          <t xml:space="preserve">Exodus</t>
        </is>
      </c>
      <c r="G29" s="15" t="inlineStr">
        <is>
          <t xml:space="preserve">19-20</t>
        </is>
      </c>
      <c r="H29" s="15" t="inlineStr">
        <is>
          <t xml:space="preserve">Primary Account</t>
        </is>
      </c>
      <c r="I29" s="15" t="inlineStr">
        <is>
          <t xml:space="preserve">Yes</t>
        </is>
      </c>
      <c r="J29" s="15" t="inlineStr">
        <is>
          <t xml:space="preserve">Yes</t>
        </is>
      </c>
      <c r="K29" s="15" t="inlineStr">
        <is>
          <t xml:space="preserve">Yes</t>
        </is>
      </c>
      <c r="L29" s="15" t="inlineStr">
        <is>
          <t xml:space="preserve">High</t>
        </is>
      </c>
      <c r="M29" s="15" t="inlineStr">
        <is>
          <t xml:space="preserve">High</t>
        </is>
      </c>
      <c r="N29" s="15" t="inlineStr">
        <is>
          <t xml:space="preserve">Exodus</t>
        </is>
      </c>
      <c r="O29" s="15"/>
      <c r="P29" s="15" t="inlineStr">
        <is>
          <t xml:space="preserve">Primary account</t>
        </is>
      </c>
      <c r="Q29" s="15" t="inlineStr">
        <is>
          <t xml:space="preserve">SRC-TEXT-TORAH; SRC-TORAH-OVERVIEW</t>
        </is>
      </c>
      <c r="R29" s="11" t="inlineStr">
        <is>
          <t xml:space="preserve">Needs Review</t>
        </is>
      </c>
      <c r="S29" s="15" t="inlineStr">
        <is>
          <t xml:space="preserve">Canonical spine reading block for Sinai covenant and the Ten Commandments.</t>
        </is>
      </c>
    </row>
    <row r="30" ht="34" customHeight="1">
      <c r="A30" s="15" t="inlineStr">
        <is>
          <t xml:space="preserve">v0.1</t>
        </is>
      </c>
      <c r="B30" s="15" t="inlineStr">
        <is>
          <t xml:space="preserve">Bible_Journey_Canon_Map_v0_1_Genesis_to_2Samuel.xlsx</t>
        </is>
      </c>
      <c r="C30" s="15" t="inlineStr">
        <is>
          <t xml:space="preserve">BLK-EXO-008-01</t>
        </is>
      </c>
      <c r="D30" s="15" t="inlineStr">
        <is>
          <t xml:space="preserve">CRS-EXO-008</t>
        </is>
      </c>
      <c r="E30" s="15">
        <v>1</v>
      </c>
      <c r="F30" s="15" t="inlineStr">
        <is>
          <t xml:space="preserve">Exodus</t>
        </is>
      </c>
      <c r="G30" s="15" t="inlineStr">
        <is>
          <t xml:space="preserve">21-24</t>
        </is>
      </c>
      <c r="H30" s="15" t="inlineStr">
        <is>
          <t xml:space="preserve">Primary Account</t>
        </is>
      </c>
      <c r="I30" s="15" t="inlineStr">
        <is>
          <t xml:space="preserve">Yes</t>
        </is>
      </c>
      <c r="J30" s="15" t="inlineStr">
        <is>
          <t xml:space="preserve">Yes</t>
        </is>
      </c>
      <c r="K30" s="15" t="inlineStr">
        <is>
          <t xml:space="preserve">Yes</t>
        </is>
      </c>
      <c r="L30" s="15" t="inlineStr">
        <is>
          <t xml:space="preserve">High</t>
        </is>
      </c>
      <c r="M30" s="15" t="inlineStr">
        <is>
          <t xml:space="preserve">High</t>
        </is>
      </c>
      <c r="N30" s="15" t="inlineStr">
        <is>
          <t xml:space="preserve">Exodus</t>
        </is>
      </c>
      <c r="O30" s="15"/>
      <c r="P30" s="15" t="inlineStr">
        <is>
          <t xml:space="preserve">Primary account</t>
        </is>
      </c>
      <c r="Q30" s="15" t="inlineStr">
        <is>
          <t xml:space="preserve">SRC-TEXT-TORAH; SRC-TORAH-OVERVIEW</t>
        </is>
      </c>
      <c r="R30" s="11" t="inlineStr">
        <is>
          <t xml:space="preserve">Needs Review</t>
        </is>
      </c>
      <c r="S30" s="15" t="inlineStr">
        <is>
          <t xml:space="preserve">Canonical spine reading block for Covenant law and ratification.</t>
        </is>
      </c>
    </row>
    <row r="31" ht="34" customHeight="1">
      <c r="A31" s="15" t="inlineStr">
        <is>
          <t xml:space="preserve">v0.1</t>
        </is>
      </c>
      <c r="B31" s="15" t="inlineStr">
        <is>
          <t xml:space="preserve">Bible_Journey_Canon_Map_v0_1_Genesis_to_2Samuel.xlsx</t>
        </is>
      </c>
      <c r="C31" s="15" t="inlineStr">
        <is>
          <t xml:space="preserve">BLK-EXO-009-01</t>
        </is>
      </c>
      <c r="D31" s="15" t="inlineStr">
        <is>
          <t xml:space="preserve">CRS-EXO-009</t>
        </is>
      </c>
      <c r="E31" s="15">
        <v>1</v>
      </c>
      <c r="F31" s="15" t="inlineStr">
        <is>
          <t xml:space="preserve">Exodus</t>
        </is>
      </c>
      <c r="G31" s="15" t="inlineStr">
        <is>
          <t xml:space="preserve">25-31</t>
        </is>
      </c>
      <c r="H31" s="15" t="inlineStr">
        <is>
          <t xml:space="preserve">Primary Account</t>
        </is>
      </c>
      <c r="I31" s="15" t="inlineStr">
        <is>
          <t xml:space="preserve">Yes</t>
        </is>
      </c>
      <c r="J31" s="15" t="inlineStr">
        <is>
          <t xml:space="preserve">Yes</t>
        </is>
      </c>
      <c r="K31" s="15" t="inlineStr">
        <is>
          <t xml:space="preserve">Yes</t>
        </is>
      </c>
      <c r="L31" s="15" t="inlineStr">
        <is>
          <t xml:space="preserve">High</t>
        </is>
      </c>
      <c r="M31" s="15" t="inlineStr">
        <is>
          <t xml:space="preserve">High</t>
        </is>
      </c>
      <c r="N31" s="15" t="inlineStr">
        <is>
          <t xml:space="preserve">Exodus</t>
        </is>
      </c>
      <c r="O31" s="15"/>
      <c r="P31" s="15" t="inlineStr">
        <is>
          <t xml:space="preserve">Primary account</t>
        </is>
      </c>
      <c r="Q31" s="15" t="inlineStr">
        <is>
          <t xml:space="preserve">SRC-TEXT-TORAH; SRC-TORAH-OVERVIEW</t>
        </is>
      </c>
      <c r="R31" s="11" t="inlineStr">
        <is>
          <t xml:space="preserve">Needs Review</t>
        </is>
      </c>
      <c r="S31" s="15" t="inlineStr">
        <is>
          <t xml:space="preserve">Canonical spine reading block for Tabernacle instructions.</t>
        </is>
      </c>
    </row>
    <row r="32" ht="34" customHeight="1">
      <c r="A32" s="15" t="inlineStr">
        <is>
          <t xml:space="preserve">v0.1</t>
        </is>
      </c>
      <c r="B32" s="15" t="inlineStr">
        <is>
          <t xml:space="preserve">Bible_Journey_Canon_Map_v0_1_Genesis_to_2Samuel.xlsx</t>
        </is>
      </c>
      <c r="C32" s="15" t="inlineStr">
        <is>
          <t xml:space="preserve">BLK-EXO-010-01</t>
        </is>
      </c>
      <c r="D32" s="15" t="inlineStr">
        <is>
          <t xml:space="preserve">CRS-EXO-010</t>
        </is>
      </c>
      <c r="E32" s="15">
        <v>1</v>
      </c>
      <c r="F32" s="15" t="inlineStr">
        <is>
          <t xml:space="preserve">Exodus</t>
        </is>
      </c>
      <c r="G32" s="15" t="inlineStr">
        <is>
          <t xml:space="preserve">32-34</t>
        </is>
      </c>
      <c r="H32" s="15" t="inlineStr">
        <is>
          <t xml:space="preserve">Primary Account</t>
        </is>
      </c>
      <c r="I32" s="15" t="inlineStr">
        <is>
          <t xml:space="preserve">Yes</t>
        </is>
      </c>
      <c r="J32" s="15" t="inlineStr">
        <is>
          <t xml:space="preserve">Yes</t>
        </is>
      </c>
      <c r="K32" s="15" t="inlineStr">
        <is>
          <t xml:space="preserve">Yes</t>
        </is>
      </c>
      <c r="L32" s="15" t="inlineStr">
        <is>
          <t xml:space="preserve">High</t>
        </is>
      </c>
      <c r="M32" s="15" t="inlineStr">
        <is>
          <t xml:space="preserve">High</t>
        </is>
      </c>
      <c r="N32" s="15" t="inlineStr">
        <is>
          <t xml:space="preserve">Exodus</t>
        </is>
      </c>
      <c r="O32" s="15"/>
      <c r="P32" s="15" t="inlineStr">
        <is>
          <t xml:space="preserve">Primary account</t>
        </is>
      </c>
      <c r="Q32" s="15" t="inlineStr">
        <is>
          <t xml:space="preserve">SRC-TEXT-TORAH; SRC-TORAH-OVERVIEW</t>
        </is>
      </c>
      <c r="R32" s="11" t="inlineStr">
        <is>
          <t xml:space="preserve">Needs Review</t>
        </is>
      </c>
      <c r="S32" s="15" t="inlineStr">
        <is>
          <t xml:space="preserve">Canonical spine reading block for Golden calf and covenant renewal.</t>
        </is>
      </c>
    </row>
    <row r="33" ht="34" customHeight="1">
      <c r="A33" s="15" t="inlineStr">
        <is>
          <t xml:space="preserve">v0.1</t>
        </is>
      </c>
      <c r="B33" s="15" t="inlineStr">
        <is>
          <t xml:space="preserve">Bible_Journey_Canon_Map_v0_1_Genesis_to_2Samuel.xlsx</t>
        </is>
      </c>
      <c r="C33" s="15" t="inlineStr">
        <is>
          <t xml:space="preserve">BLK-EXO-011-01</t>
        </is>
      </c>
      <c r="D33" s="15" t="inlineStr">
        <is>
          <t xml:space="preserve">CRS-EXO-011</t>
        </is>
      </c>
      <c r="E33" s="15">
        <v>1</v>
      </c>
      <c r="F33" s="15" t="inlineStr">
        <is>
          <t xml:space="preserve">Exodus</t>
        </is>
      </c>
      <c r="G33" s="15" t="inlineStr">
        <is>
          <t xml:space="preserve">35-40</t>
        </is>
      </c>
      <c r="H33" s="15" t="inlineStr">
        <is>
          <t xml:space="preserve">Primary Account</t>
        </is>
      </c>
      <c r="I33" s="15" t="inlineStr">
        <is>
          <t xml:space="preserve">Yes</t>
        </is>
      </c>
      <c r="J33" s="15" t="inlineStr">
        <is>
          <t xml:space="preserve">Yes</t>
        </is>
      </c>
      <c r="K33" s="15" t="inlineStr">
        <is>
          <t xml:space="preserve">Yes</t>
        </is>
      </c>
      <c r="L33" s="15" t="inlineStr">
        <is>
          <t xml:space="preserve">High</t>
        </is>
      </c>
      <c r="M33" s="15" t="inlineStr">
        <is>
          <t xml:space="preserve">High</t>
        </is>
      </c>
      <c r="N33" s="15" t="inlineStr">
        <is>
          <t xml:space="preserve">Exodus</t>
        </is>
      </c>
      <c r="O33" s="15"/>
      <c r="P33" s="15" t="inlineStr">
        <is>
          <t xml:space="preserve">Primary account</t>
        </is>
      </c>
      <c r="Q33" s="15" t="inlineStr">
        <is>
          <t xml:space="preserve">SRC-TEXT-TORAH; SRC-TORAH-OVERVIEW</t>
        </is>
      </c>
      <c r="R33" s="11" t="inlineStr">
        <is>
          <t xml:space="preserve">Needs Review</t>
        </is>
      </c>
      <c r="S33" s="15" t="inlineStr">
        <is>
          <t xml:space="preserve">Canonical spine reading block for Tabernacle construction and dedication.</t>
        </is>
      </c>
    </row>
    <row r="34" ht="34" customHeight="1">
      <c r="A34" s="15" t="inlineStr">
        <is>
          <t xml:space="preserve">v0.1</t>
        </is>
      </c>
      <c r="B34" s="15" t="inlineStr">
        <is>
          <t xml:space="preserve">Bible_Journey_Canon_Map_v0_1_Genesis_to_2Samuel.xlsx</t>
        </is>
      </c>
      <c r="C34" s="15" t="inlineStr">
        <is>
          <t xml:space="preserve">BLK-LEV-001-01</t>
        </is>
      </c>
      <c r="D34" s="15" t="inlineStr">
        <is>
          <t xml:space="preserve">CRS-LEV-001</t>
        </is>
      </c>
      <c r="E34" s="15">
        <v>1</v>
      </c>
      <c r="F34" s="15" t="inlineStr">
        <is>
          <t xml:space="preserve">Leviticus</t>
        </is>
      </c>
      <c r="G34" s="15" t="inlineStr">
        <is>
          <t xml:space="preserve">1-7</t>
        </is>
      </c>
      <c r="H34" s="15" t="inlineStr">
        <is>
          <t xml:space="preserve">Primary Account</t>
        </is>
      </c>
      <c r="I34" s="15" t="inlineStr">
        <is>
          <t xml:space="preserve">Yes</t>
        </is>
      </c>
      <c r="J34" s="15" t="inlineStr">
        <is>
          <t xml:space="preserve">Yes</t>
        </is>
      </c>
      <c r="K34" s="15" t="inlineStr">
        <is>
          <t xml:space="preserve">Yes</t>
        </is>
      </c>
      <c r="L34" s="15" t="inlineStr">
        <is>
          <t xml:space="preserve">High</t>
        </is>
      </c>
      <c r="M34" s="15" t="inlineStr">
        <is>
          <t xml:space="preserve">High</t>
        </is>
      </c>
      <c r="N34" s="15" t="inlineStr">
        <is>
          <t xml:space="preserve">Leviticus</t>
        </is>
      </c>
      <c r="O34" s="15"/>
      <c r="P34" s="15" t="inlineStr">
        <is>
          <t xml:space="preserve">Primary account</t>
        </is>
      </c>
      <c r="Q34" s="15" t="inlineStr">
        <is>
          <t xml:space="preserve">SRC-TEXT-TORAH; SRC-TORAH-OVERVIEW</t>
        </is>
      </c>
      <c r="R34" s="11" t="inlineStr">
        <is>
          <t xml:space="preserve">Needs Review</t>
        </is>
      </c>
      <c r="S34" s="15" t="inlineStr">
        <is>
          <t xml:space="preserve">Canonical spine reading block for Offerings and sacrificial worship.</t>
        </is>
      </c>
    </row>
    <row r="35" ht="34" customHeight="1">
      <c r="A35" s="15" t="inlineStr">
        <is>
          <t xml:space="preserve">v0.1</t>
        </is>
      </c>
      <c r="B35" s="15" t="inlineStr">
        <is>
          <t xml:space="preserve">Bible_Journey_Canon_Map_v0_1_Genesis_to_2Samuel.xlsx</t>
        </is>
      </c>
      <c r="C35" s="15" t="inlineStr">
        <is>
          <t xml:space="preserve">BLK-LEV-002-01</t>
        </is>
      </c>
      <c r="D35" s="15" t="inlineStr">
        <is>
          <t xml:space="preserve">CRS-LEV-002</t>
        </is>
      </c>
      <c r="E35" s="15">
        <v>1</v>
      </c>
      <c r="F35" s="15" t="inlineStr">
        <is>
          <t xml:space="preserve">Leviticus</t>
        </is>
      </c>
      <c r="G35" s="15" t="inlineStr">
        <is>
          <t xml:space="preserve">8-10</t>
        </is>
      </c>
      <c r="H35" s="15" t="inlineStr">
        <is>
          <t xml:space="preserve">Primary Account</t>
        </is>
      </c>
      <c r="I35" s="15" t="inlineStr">
        <is>
          <t xml:space="preserve">Yes</t>
        </is>
      </c>
      <c r="J35" s="15" t="inlineStr">
        <is>
          <t xml:space="preserve">Yes</t>
        </is>
      </c>
      <c r="K35" s="15" t="inlineStr">
        <is>
          <t xml:space="preserve">Yes</t>
        </is>
      </c>
      <c r="L35" s="15" t="inlineStr">
        <is>
          <t xml:space="preserve">High</t>
        </is>
      </c>
      <c r="M35" s="15" t="inlineStr">
        <is>
          <t xml:space="preserve">High</t>
        </is>
      </c>
      <c r="N35" s="15" t="inlineStr">
        <is>
          <t xml:space="preserve">Leviticus</t>
        </is>
      </c>
      <c r="O35" s="15"/>
      <c r="P35" s="15" t="inlineStr">
        <is>
          <t xml:space="preserve">Primary account</t>
        </is>
      </c>
      <c r="Q35" s="15" t="inlineStr">
        <is>
          <t xml:space="preserve">SRC-TEXT-TORAH; SRC-TORAH-OVERVIEW</t>
        </is>
      </c>
      <c r="R35" s="11" t="inlineStr">
        <is>
          <t xml:space="preserve">Needs Review</t>
        </is>
      </c>
      <c r="S35" s="15" t="inlineStr">
        <is>
          <t xml:space="preserve">Canonical spine reading block for Priests consecrated and Nadab and Abihu.</t>
        </is>
      </c>
    </row>
    <row r="36" ht="34" customHeight="1">
      <c r="A36" s="15" t="inlineStr">
        <is>
          <t xml:space="preserve">v0.1</t>
        </is>
      </c>
      <c r="B36" s="15" t="inlineStr">
        <is>
          <t xml:space="preserve">Bible_Journey_Canon_Map_v0_1_Genesis_to_2Samuel.xlsx</t>
        </is>
      </c>
      <c r="C36" s="15" t="inlineStr">
        <is>
          <t xml:space="preserve">BLK-LEV-003-01</t>
        </is>
      </c>
      <c r="D36" s="15" t="inlineStr">
        <is>
          <t xml:space="preserve">CRS-LEV-003</t>
        </is>
      </c>
      <c r="E36" s="15">
        <v>1</v>
      </c>
      <c r="F36" s="15" t="inlineStr">
        <is>
          <t xml:space="preserve">Leviticus</t>
        </is>
      </c>
      <c r="G36" s="15" t="inlineStr">
        <is>
          <t xml:space="preserve">11-15</t>
        </is>
      </c>
      <c r="H36" s="15" t="inlineStr">
        <is>
          <t xml:space="preserve">Primary Account</t>
        </is>
      </c>
      <c r="I36" s="15" t="inlineStr">
        <is>
          <t xml:space="preserve">Yes</t>
        </is>
      </c>
      <c r="J36" s="15" t="inlineStr">
        <is>
          <t xml:space="preserve">Yes</t>
        </is>
      </c>
      <c r="K36" s="15" t="inlineStr">
        <is>
          <t xml:space="preserve">Yes</t>
        </is>
      </c>
      <c r="L36" s="15" t="inlineStr">
        <is>
          <t xml:space="preserve">High</t>
        </is>
      </c>
      <c r="M36" s="15" t="inlineStr">
        <is>
          <t xml:space="preserve">High</t>
        </is>
      </c>
      <c r="N36" s="15" t="inlineStr">
        <is>
          <t xml:space="preserve">Leviticus</t>
        </is>
      </c>
      <c r="O36" s="15"/>
      <c r="P36" s="15" t="inlineStr">
        <is>
          <t xml:space="preserve">Primary account</t>
        </is>
      </c>
      <c r="Q36" s="15" t="inlineStr">
        <is>
          <t xml:space="preserve">SRC-TEXT-TORAH; SRC-TORAH-OVERVIEW</t>
        </is>
      </c>
      <c r="R36" s="11" t="inlineStr">
        <is>
          <t xml:space="preserve">Needs Review</t>
        </is>
      </c>
      <c r="S36" s="15" t="inlineStr">
        <is>
          <t xml:space="preserve">Canonical spine reading block for Food, purity, and cleansing.</t>
        </is>
      </c>
    </row>
    <row r="37" ht="34" customHeight="1">
      <c r="A37" s="15" t="inlineStr">
        <is>
          <t xml:space="preserve">v0.1</t>
        </is>
      </c>
      <c r="B37" s="15" t="inlineStr">
        <is>
          <t xml:space="preserve">Bible_Journey_Canon_Map_v0_1_Genesis_to_2Samuel.xlsx</t>
        </is>
      </c>
      <c r="C37" s="15" t="inlineStr">
        <is>
          <t xml:space="preserve">BLK-LEV-004-01</t>
        </is>
      </c>
      <c r="D37" s="15" t="inlineStr">
        <is>
          <t xml:space="preserve">CRS-LEV-004</t>
        </is>
      </c>
      <c r="E37" s="15">
        <v>1</v>
      </c>
      <c r="F37" s="15" t="inlineStr">
        <is>
          <t xml:space="preserve">Leviticus</t>
        </is>
      </c>
      <c r="G37" s="15" t="inlineStr">
        <is>
          <t xml:space="preserve">16</t>
        </is>
      </c>
      <c r="H37" s="15" t="inlineStr">
        <is>
          <t xml:space="preserve">Primary Account</t>
        </is>
      </c>
      <c r="I37" s="15" t="inlineStr">
        <is>
          <t xml:space="preserve">Yes</t>
        </is>
      </c>
      <c r="J37" s="15" t="inlineStr">
        <is>
          <t xml:space="preserve">Yes</t>
        </is>
      </c>
      <c r="K37" s="15" t="inlineStr">
        <is>
          <t xml:space="preserve">Yes</t>
        </is>
      </c>
      <c r="L37" s="15" t="inlineStr">
        <is>
          <t xml:space="preserve">High</t>
        </is>
      </c>
      <c r="M37" s="15" t="inlineStr">
        <is>
          <t xml:space="preserve">High</t>
        </is>
      </c>
      <c r="N37" s="15" t="inlineStr">
        <is>
          <t xml:space="preserve">Leviticus</t>
        </is>
      </c>
      <c r="O37" s="15"/>
      <c r="P37" s="15" t="inlineStr">
        <is>
          <t xml:space="preserve">Primary account</t>
        </is>
      </c>
      <c r="Q37" s="15" t="inlineStr">
        <is>
          <t xml:space="preserve">SRC-TEXT-TORAH; SRC-TORAH-OVERVIEW</t>
        </is>
      </c>
      <c r="R37" s="11" t="inlineStr">
        <is>
          <t xml:space="preserve">Needs Review</t>
        </is>
      </c>
      <c r="S37" s="15" t="inlineStr">
        <is>
          <t xml:space="preserve">Canonical spine reading block for The Day of Atonement.</t>
        </is>
      </c>
    </row>
    <row r="38" ht="34" customHeight="1">
      <c r="A38" s="15" t="inlineStr">
        <is>
          <t xml:space="preserve">v0.1</t>
        </is>
      </c>
      <c r="B38" s="15" t="inlineStr">
        <is>
          <t xml:space="preserve">Bible_Journey_Canon_Map_v0_1_Genesis_to_2Samuel.xlsx</t>
        </is>
      </c>
      <c r="C38" s="15" t="inlineStr">
        <is>
          <t xml:space="preserve">BLK-LEV-005-01</t>
        </is>
      </c>
      <c r="D38" s="15" t="inlineStr">
        <is>
          <t xml:space="preserve">CRS-LEV-005</t>
        </is>
      </c>
      <c r="E38" s="15">
        <v>1</v>
      </c>
      <c r="F38" s="15" t="inlineStr">
        <is>
          <t xml:space="preserve">Leviticus</t>
        </is>
      </c>
      <c r="G38" s="15" t="inlineStr">
        <is>
          <t xml:space="preserve">17-20</t>
        </is>
      </c>
      <c r="H38" s="15" t="inlineStr">
        <is>
          <t xml:space="preserve">Primary Account</t>
        </is>
      </c>
      <c r="I38" s="15" t="inlineStr">
        <is>
          <t xml:space="preserve">Yes</t>
        </is>
      </c>
      <c r="J38" s="15" t="inlineStr">
        <is>
          <t xml:space="preserve">Yes</t>
        </is>
      </c>
      <c r="K38" s="15" t="inlineStr">
        <is>
          <t xml:space="preserve">Yes</t>
        </is>
      </c>
      <c r="L38" s="15" t="inlineStr">
        <is>
          <t xml:space="preserve">High</t>
        </is>
      </c>
      <c r="M38" s="15" t="inlineStr">
        <is>
          <t xml:space="preserve">High</t>
        </is>
      </c>
      <c r="N38" s="15" t="inlineStr">
        <is>
          <t xml:space="preserve">Leviticus</t>
        </is>
      </c>
      <c r="O38" s="15"/>
      <c r="P38" s="15" t="inlineStr">
        <is>
          <t xml:space="preserve">Primary account</t>
        </is>
      </c>
      <c r="Q38" s="15" t="inlineStr">
        <is>
          <t xml:space="preserve">SRC-TEXT-TORAH; SRC-TORAH-OVERVIEW</t>
        </is>
      </c>
      <c r="R38" s="11" t="inlineStr">
        <is>
          <t xml:space="preserve">Needs Review</t>
        </is>
      </c>
      <c r="S38" s="15" t="inlineStr">
        <is>
          <t xml:space="preserve">Canonical spine reading block for Holiness, ethics, and covenant life.</t>
        </is>
      </c>
    </row>
    <row r="39" ht="34" customHeight="1">
      <c r="A39" s="15" t="inlineStr">
        <is>
          <t xml:space="preserve">v0.1</t>
        </is>
      </c>
      <c r="B39" s="15" t="inlineStr">
        <is>
          <t xml:space="preserve">Bible_Journey_Canon_Map_v0_1_Genesis_to_2Samuel.xlsx</t>
        </is>
      </c>
      <c r="C39" s="15" t="inlineStr">
        <is>
          <t xml:space="preserve">BLK-LEV-006-01</t>
        </is>
      </c>
      <c r="D39" s="15" t="inlineStr">
        <is>
          <t xml:space="preserve">CRS-LEV-006</t>
        </is>
      </c>
      <c r="E39" s="15">
        <v>1</v>
      </c>
      <c r="F39" s="15" t="inlineStr">
        <is>
          <t xml:space="preserve">Leviticus</t>
        </is>
      </c>
      <c r="G39" s="15" t="inlineStr">
        <is>
          <t xml:space="preserve">21-24</t>
        </is>
      </c>
      <c r="H39" s="15" t="inlineStr">
        <is>
          <t xml:space="preserve">Primary Account</t>
        </is>
      </c>
      <c r="I39" s="15" t="inlineStr">
        <is>
          <t xml:space="preserve">Yes</t>
        </is>
      </c>
      <c r="J39" s="15" t="inlineStr">
        <is>
          <t xml:space="preserve">Yes</t>
        </is>
      </c>
      <c r="K39" s="15" t="inlineStr">
        <is>
          <t xml:space="preserve">Yes</t>
        </is>
      </c>
      <c r="L39" s="15" t="inlineStr">
        <is>
          <t xml:space="preserve">High</t>
        </is>
      </c>
      <c r="M39" s="15" t="inlineStr">
        <is>
          <t xml:space="preserve">High</t>
        </is>
      </c>
      <c r="N39" s="15" t="inlineStr">
        <is>
          <t xml:space="preserve">Leviticus</t>
        </is>
      </c>
      <c r="O39" s="15"/>
      <c r="P39" s="15" t="inlineStr">
        <is>
          <t xml:space="preserve">Primary account</t>
        </is>
      </c>
      <c r="Q39" s="15" t="inlineStr">
        <is>
          <t xml:space="preserve">SRC-TEXT-TORAH; SRC-TORAH-OVERVIEW</t>
        </is>
      </c>
      <c r="R39" s="11" t="inlineStr">
        <is>
          <t xml:space="preserve">Needs Review</t>
        </is>
      </c>
      <c r="S39" s="15" t="inlineStr">
        <is>
          <t xml:space="preserve">Canonical spine reading block for Priests, feasts, and sacred rhythms.</t>
        </is>
      </c>
    </row>
    <row r="40" ht="34" customHeight="1">
      <c r="A40" s="15" t="inlineStr">
        <is>
          <t xml:space="preserve">v0.1</t>
        </is>
      </c>
      <c r="B40" s="15" t="inlineStr">
        <is>
          <t xml:space="preserve">Bible_Journey_Canon_Map_v0_1_Genesis_to_2Samuel.xlsx</t>
        </is>
      </c>
      <c r="C40" s="15" t="inlineStr">
        <is>
          <t xml:space="preserve">BLK-LEV-007-01</t>
        </is>
      </c>
      <c r="D40" s="15" t="inlineStr">
        <is>
          <t xml:space="preserve">CRS-LEV-007</t>
        </is>
      </c>
      <c r="E40" s="15">
        <v>1</v>
      </c>
      <c r="F40" s="15" t="inlineStr">
        <is>
          <t xml:space="preserve">Leviticus</t>
        </is>
      </c>
      <c r="G40" s="15" t="inlineStr">
        <is>
          <t xml:space="preserve">25-27</t>
        </is>
      </c>
      <c r="H40" s="15" t="inlineStr">
        <is>
          <t xml:space="preserve">Primary Account</t>
        </is>
      </c>
      <c r="I40" s="15" t="inlineStr">
        <is>
          <t xml:space="preserve">Yes</t>
        </is>
      </c>
      <c r="J40" s="15" t="inlineStr">
        <is>
          <t xml:space="preserve">Yes</t>
        </is>
      </c>
      <c r="K40" s="15" t="inlineStr">
        <is>
          <t xml:space="preserve">Yes</t>
        </is>
      </c>
      <c r="L40" s="15" t="inlineStr">
        <is>
          <t xml:space="preserve">High</t>
        </is>
      </c>
      <c r="M40" s="15" t="inlineStr">
        <is>
          <t xml:space="preserve">High</t>
        </is>
      </c>
      <c r="N40" s="15" t="inlineStr">
        <is>
          <t xml:space="preserve">Leviticus</t>
        </is>
      </c>
      <c r="O40" s="15"/>
      <c r="P40" s="15" t="inlineStr">
        <is>
          <t xml:space="preserve">Primary account</t>
        </is>
      </c>
      <c r="Q40" s="15" t="inlineStr">
        <is>
          <t xml:space="preserve">SRC-TEXT-TORAH; SRC-TORAH-OVERVIEW</t>
        </is>
      </c>
      <c r="R40" s="11" t="inlineStr">
        <is>
          <t xml:space="preserve">Needs Review</t>
        </is>
      </c>
      <c r="S40" s="15" t="inlineStr">
        <is>
          <t xml:space="preserve">Canonical spine reading block for Sabbath, Jubilee, and covenant commitments.</t>
        </is>
      </c>
    </row>
    <row r="41" ht="34" customHeight="1">
      <c r="A41" s="15" t="inlineStr">
        <is>
          <t xml:space="preserve">v0.1</t>
        </is>
      </c>
      <c r="B41" s="15" t="inlineStr">
        <is>
          <t xml:space="preserve">Bible_Journey_Canon_Map_v0_1_Genesis_to_2Samuel.xlsx</t>
        </is>
      </c>
      <c r="C41" s="15" t="inlineStr">
        <is>
          <t xml:space="preserve">BLK-NUM-001-01</t>
        </is>
      </c>
      <c r="D41" s="15" t="inlineStr">
        <is>
          <t xml:space="preserve">CRS-NUM-001</t>
        </is>
      </c>
      <c r="E41" s="15">
        <v>1</v>
      </c>
      <c r="F41" s="15" t="inlineStr">
        <is>
          <t xml:space="preserve">Numbers</t>
        </is>
      </c>
      <c r="G41" s="15" t="inlineStr">
        <is>
          <t xml:space="preserve">1-4</t>
        </is>
      </c>
      <c r="H41" s="15" t="inlineStr">
        <is>
          <t xml:space="preserve">Primary Account</t>
        </is>
      </c>
      <c r="I41" s="15" t="inlineStr">
        <is>
          <t xml:space="preserve">Yes</t>
        </is>
      </c>
      <c r="J41" s="15" t="inlineStr">
        <is>
          <t xml:space="preserve">Yes</t>
        </is>
      </c>
      <c r="K41" s="15" t="inlineStr">
        <is>
          <t xml:space="preserve">Yes</t>
        </is>
      </c>
      <c r="L41" s="15" t="inlineStr">
        <is>
          <t xml:space="preserve">High</t>
        </is>
      </c>
      <c r="M41" s="15" t="inlineStr">
        <is>
          <t xml:space="preserve">High</t>
        </is>
      </c>
      <c r="N41" s="15" t="inlineStr">
        <is>
          <t xml:space="preserve">Numbers</t>
        </is>
      </c>
      <c r="O41" s="15"/>
      <c r="P41" s="15" t="inlineStr">
        <is>
          <t xml:space="preserve">Primary account</t>
        </is>
      </c>
      <c r="Q41" s="15" t="inlineStr">
        <is>
          <t xml:space="preserve">SRC-TEXT-TORAH; SRC-TORAH-OVERVIEW</t>
        </is>
      </c>
      <c r="R41" s="11" t="inlineStr">
        <is>
          <t xml:space="preserve">Needs Review</t>
        </is>
      </c>
      <c r="S41" s="15" t="inlineStr">
        <is>
          <t xml:space="preserve">Canonical spine reading block for Census, camp order, and Levites.</t>
        </is>
      </c>
    </row>
    <row r="42" ht="34" customHeight="1">
      <c r="A42" s="15" t="inlineStr">
        <is>
          <t xml:space="preserve">v0.1</t>
        </is>
      </c>
      <c r="B42" s="15" t="inlineStr">
        <is>
          <t xml:space="preserve">Bible_Journey_Canon_Map_v0_1_Genesis_to_2Samuel.xlsx</t>
        </is>
      </c>
      <c r="C42" s="15" t="inlineStr">
        <is>
          <t xml:space="preserve">BLK-NUM-002-01</t>
        </is>
      </c>
      <c r="D42" s="15" t="inlineStr">
        <is>
          <t xml:space="preserve">CRS-NUM-002</t>
        </is>
      </c>
      <c r="E42" s="15">
        <v>1</v>
      </c>
      <c r="F42" s="15" t="inlineStr">
        <is>
          <t xml:space="preserve">Numbers</t>
        </is>
      </c>
      <c r="G42" s="15" t="inlineStr">
        <is>
          <t xml:space="preserve">5-7</t>
        </is>
      </c>
      <c r="H42" s="15" t="inlineStr">
        <is>
          <t xml:space="preserve">Primary Account</t>
        </is>
      </c>
      <c r="I42" s="15" t="inlineStr">
        <is>
          <t xml:space="preserve">Yes</t>
        </is>
      </c>
      <c r="J42" s="15" t="inlineStr">
        <is>
          <t xml:space="preserve">Yes</t>
        </is>
      </c>
      <c r="K42" s="15" t="inlineStr">
        <is>
          <t xml:space="preserve">Yes</t>
        </is>
      </c>
      <c r="L42" s="15" t="inlineStr">
        <is>
          <t xml:space="preserve">High</t>
        </is>
      </c>
      <c r="M42" s="15" t="inlineStr">
        <is>
          <t xml:space="preserve">High</t>
        </is>
      </c>
      <c r="N42" s="15" t="inlineStr">
        <is>
          <t xml:space="preserve">Numbers</t>
        </is>
      </c>
      <c r="O42" s="15"/>
      <c r="P42" s="15" t="inlineStr">
        <is>
          <t xml:space="preserve">Primary account</t>
        </is>
      </c>
      <c r="Q42" s="15" t="inlineStr">
        <is>
          <t xml:space="preserve">SRC-TEXT-TORAH; SRC-TORAH-OVERVIEW</t>
        </is>
      </c>
      <c r="R42" s="11" t="inlineStr">
        <is>
          <t xml:space="preserve">Needs Review</t>
        </is>
      </c>
      <c r="S42" s="15" t="inlineStr">
        <is>
          <t xml:space="preserve">Canonical spine reading block for Purity, Nazirite vow, and tribal offerings.</t>
        </is>
      </c>
    </row>
    <row r="43" ht="34" customHeight="1">
      <c r="A43" s="15" t="inlineStr">
        <is>
          <t xml:space="preserve">v0.1</t>
        </is>
      </c>
      <c r="B43" s="15" t="inlineStr">
        <is>
          <t xml:space="preserve">Bible_Journey_Canon_Map_v0_1_Genesis_to_2Samuel.xlsx</t>
        </is>
      </c>
      <c r="C43" s="15" t="inlineStr">
        <is>
          <t xml:space="preserve">BLK-NUM-003-01</t>
        </is>
      </c>
      <c r="D43" s="15" t="inlineStr">
        <is>
          <t xml:space="preserve">CRS-NUM-003</t>
        </is>
      </c>
      <c r="E43" s="15">
        <v>1</v>
      </c>
      <c r="F43" s="15" t="inlineStr">
        <is>
          <t xml:space="preserve">Numbers</t>
        </is>
      </c>
      <c r="G43" s="15" t="inlineStr">
        <is>
          <t xml:space="preserve">8-10</t>
        </is>
      </c>
      <c r="H43" s="15" t="inlineStr">
        <is>
          <t xml:space="preserve">Primary Account</t>
        </is>
      </c>
      <c r="I43" s="15" t="inlineStr">
        <is>
          <t xml:space="preserve">Yes</t>
        </is>
      </c>
      <c r="J43" s="15" t="inlineStr">
        <is>
          <t xml:space="preserve">Yes</t>
        </is>
      </c>
      <c r="K43" s="15" t="inlineStr">
        <is>
          <t xml:space="preserve">Yes</t>
        </is>
      </c>
      <c r="L43" s="15" t="inlineStr">
        <is>
          <t xml:space="preserve">High</t>
        </is>
      </c>
      <c r="M43" s="15" t="inlineStr">
        <is>
          <t xml:space="preserve">High</t>
        </is>
      </c>
      <c r="N43" s="15" t="inlineStr">
        <is>
          <t xml:space="preserve">Numbers</t>
        </is>
      </c>
      <c r="O43" s="15"/>
      <c r="P43" s="15" t="inlineStr">
        <is>
          <t xml:space="preserve">Primary account</t>
        </is>
      </c>
      <c r="Q43" s="15" t="inlineStr">
        <is>
          <t xml:space="preserve">SRC-TEXT-TORAH; SRC-TORAH-OVERVIEW</t>
        </is>
      </c>
      <c r="R43" s="11" t="inlineStr">
        <is>
          <t xml:space="preserve">Needs Review</t>
        </is>
      </c>
      <c r="S43" s="15" t="inlineStr">
        <is>
          <t xml:space="preserve">Canonical spine reading block for Passover, departure, and guidance.</t>
        </is>
      </c>
    </row>
    <row r="44" ht="34" customHeight="1">
      <c r="A44" s="15" t="inlineStr">
        <is>
          <t xml:space="preserve">v0.1</t>
        </is>
      </c>
      <c r="B44" s="15" t="inlineStr">
        <is>
          <t xml:space="preserve">Bible_Journey_Canon_Map_v0_1_Genesis_to_2Samuel.xlsx</t>
        </is>
      </c>
      <c r="C44" s="15" t="inlineStr">
        <is>
          <t xml:space="preserve">BLK-NUM-004-01</t>
        </is>
      </c>
      <c r="D44" s="15" t="inlineStr">
        <is>
          <t xml:space="preserve">CRS-NUM-004</t>
        </is>
      </c>
      <c r="E44" s="15">
        <v>1</v>
      </c>
      <c r="F44" s="15" t="inlineStr">
        <is>
          <t xml:space="preserve">Numbers</t>
        </is>
      </c>
      <c r="G44" s="15" t="inlineStr">
        <is>
          <t xml:space="preserve">11-12</t>
        </is>
      </c>
      <c r="H44" s="15" t="inlineStr">
        <is>
          <t xml:space="preserve">Primary Account</t>
        </is>
      </c>
      <c r="I44" s="15" t="inlineStr">
        <is>
          <t xml:space="preserve">Yes</t>
        </is>
      </c>
      <c r="J44" s="15" t="inlineStr">
        <is>
          <t xml:space="preserve">Yes</t>
        </is>
      </c>
      <c r="K44" s="15" t="inlineStr">
        <is>
          <t xml:space="preserve">Yes</t>
        </is>
      </c>
      <c r="L44" s="15" t="inlineStr">
        <is>
          <t xml:space="preserve">High</t>
        </is>
      </c>
      <c r="M44" s="15" t="inlineStr">
        <is>
          <t xml:space="preserve">High</t>
        </is>
      </c>
      <c r="N44" s="15" t="inlineStr">
        <is>
          <t xml:space="preserve">Numbers</t>
        </is>
      </c>
      <c r="O44" s="15"/>
      <c r="P44" s="15" t="inlineStr">
        <is>
          <t xml:space="preserve">Primary account</t>
        </is>
      </c>
      <c r="Q44" s="15" t="inlineStr">
        <is>
          <t xml:space="preserve">SRC-TEXT-TORAH; SRC-TORAH-OVERVIEW</t>
        </is>
      </c>
      <c r="R44" s="11" t="inlineStr">
        <is>
          <t xml:space="preserve">Needs Review</t>
        </is>
      </c>
      <c r="S44" s="15" t="inlineStr">
        <is>
          <t xml:space="preserve">Canonical spine reading block for Complaints and leadership tensions.</t>
        </is>
      </c>
    </row>
    <row r="45" ht="34" customHeight="1">
      <c r="A45" s="15" t="inlineStr">
        <is>
          <t xml:space="preserve">v0.1</t>
        </is>
      </c>
      <c r="B45" s="15" t="inlineStr">
        <is>
          <t xml:space="preserve">Bible_Journey_Canon_Map_v0_1_Genesis_to_2Samuel.xlsx</t>
        </is>
      </c>
      <c r="C45" s="15" t="inlineStr">
        <is>
          <t xml:space="preserve">BLK-NUM-005-01</t>
        </is>
      </c>
      <c r="D45" s="15" t="inlineStr">
        <is>
          <t xml:space="preserve">CRS-NUM-005</t>
        </is>
      </c>
      <c r="E45" s="15">
        <v>1</v>
      </c>
      <c r="F45" s="15" t="inlineStr">
        <is>
          <t xml:space="preserve">Numbers</t>
        </is>
      </c>
      <c r="G45" s="15" t="inlineStr">
        <is>
          <t xml:space="preserve">13-14</t>
        </is>
      </c>
      <c r="H45" s="15" t="inlineStr">
        <is>
          <t xml:space="preserve">Primary Account</t>
        </is>
      </c>
      <c r="I45" s="15" t="inlineStr">
        <is>
          <t xml:space="preserve">Yes</t>
        </is>
      </c>
      <c r="J45" s="15" t="inlineStr">
        <is>
          <t xml:space="preserve">Yes</t>
        </is>
      </c>
      <c r="K45" s="15" t="inlineStr">
        <is>
          <t xml:space="preserve">Yes</t>
        </is>
      </c>
      <c r="L45" s="15" t="inlineStr">
        <is>
          <t xml:space="preserve">High</t>
        </is>
      </c>
      <c r="M45" s="15" t="inlineStr">
        <is>
          <t xml:space="preserve">High</t>
        </is>
      </c>
      <c r="N45" s="15" t="inlineStr">
        <is>
          <t xml:space="preserve">Numbers</t>
        </is>
      </c>
      <c r="O45" s="15"/>
      <c r="P45" s="15" t="inlineStr">
        <is>
          <t xml:space="preserve">Primary account</t>
        </is>
      </c>
      <c r="Q45" s="15" t="inlineStr">
        <is>
          <t xml:space="preserve">SRC-TEXT-TORAH; SRC-TORAH-OVERVIEW</t>
        </is>
      </c>
      <c r="R45" s="11" t="inlineStr">
        <is>
          <t xml:space="preserve">Needs Review</t>
        </is>
      </c>
      <c r="S45" s="15" t="inlineStr">
        <is>
          <t xml:space="preserve">Canonical spine reading block for The spies and the rebellion at Kadesh.</t>
        </is>
      </c>
    </row>
    <row r="46" ht="34" customHeight="1">
      <c r="A46" s="15" t="inlineStr">
        <is>
          <t xml:space="preserve">v0.1</t>
        </is>
      </c>
      <c r="B46" s="15" t="inlineStr">
        <is>
          <t xml:space="preserve">Bible_Journey_Canon_Map_v0_1_Genesis_to_2Samuel.xlsx</t>
        </is>
      </c>
      <c r="C46" s="15" t="inlineStr">
        <is>
          <t xml:space="preserve">BLK-NUM-006-01</t>
        </is>
      </c>
      <c r="D46" s="15" t="inlineStr">
        <is>
          <t xml:space="preserve">CRS-NUM-006</t>
        </is>
      </c>
      <c r="E46" s="15">
        <v>1</v>
      </c>
      <c r="F46" s="15" t="inlineStr">
        <is>
          <t xml:space="preserve">Numbers</t>
        </is>
      </c>
      <c r="G46" s="15" t="inlineStr">
        <is>
          <t xml:space="preserve">15-19</t>
        </is>
      </c>
      <c r="H46" s="15" t="inlineStr">
        <is>
          <t xml:space="preserve">Primary Account</t>
        </is>
      </c>
      <c r="I46" s="15" t="inlineStr">
        <is>
          <t xml:space="preserve">Yes</t>
        </is>
      </c>
      <c r="J46" s="15" t="inlineStr">
        <is>
          <t xml:space="preserve">Yes</t>
        </is>
      </c>
      <c r="K46" s="15" t="inlineStr">
        <is>
          <t xml:space="preserve">Yes</t>
        </is>
      </c>
      <c r="L46" s="15" t="inlineStr">
        <is>
          <t xml:space="preserve">High</t>
        </is>
      </c>
      <c r="M46" s="15" t="inlineStr">
        <is>
          <t xml:space="preserve">High</t>
        </is>
      </c>
      <c r="N46" s="15" t="inlineStr">
        <is>
          <t xml:space="preserve">Numbers</t>
        </is>
      </c>
      <c r="O46" s="15"/>
      <c r="P46" s="15" t="inlineStr">
        <is>
          <t xml:space="preserve">Primary account</t>
        </is>
      </c>
      <c r="Q46" s="15" t="inlineStr">
        <is>
          <t xml:space="preserve">SRC-TEXT-TORAH; SRC-TORAH-OVERVIEW</t>
        </is>
      </c>
      <c r="R46" s="11" t="inlineStr">
        <is>
          <t xml:space="preserve">Needs Review</t>
        </is>
      </c>
      <c r="S46" s="15" t="inlineStr">
        <is>
          <t xml:space="preserve">Canonical spine reading block for Laws, rebellion, and priestly confirmation.</t>
        </is>
      </c>
    </row>
    <row r="47" ht="34" customHeight="1">
      <c r="A47" s="15" t="inlineStr">
        <is>
          <t xml:space="preserve">v0.1</t>
        </is>
      </c>
      <c r="B47" s="15" t="inlineStr">
        <is>
          <t xml:space="preserve">Bible_Journey_Canon_Map_v0_1_Genesis_to_2Samuel.xlsx</t>
        </is>
      </c>
      <c r="C47" s="15" t="inlineStr">
        <is>
          <t xml:space="preserve">BLK-NUM-007-01</t>
        </is>
      </c>
      <c r="D47" s="15" t="inlineStr">
        <is>
          <t xml:space="preserve">CRS-NUM-007</t>
        </is>
      </c>
      <c r="E47" s="15">
        <v>1</v>
      </c>
      <c r="F47" s="15" t="inlineStr">
        <is>
          <t xml:space="preserve">Numbers</t>
        </is>
      </c>
      <c r="G47" s="15" t="inlineStr">
        <is>
          <t xml:space="preserve">20-21</t>
        </is>
      </c>
      <c r="H47" s="15" t="inlineStr">
        <is>
          <t xml:space="preserve">Primary Account</t>
        </is>
      </c>
      <c r="I47" s="15" t="inlineStr">
        <is>
          <t xml:space="preserve">Yes</t>
        </is>
      </c>
      <c r="J47" s="15" t="inlineStr">
        <is>
          <t xml:space="preserve">Yes</t>
        </is>
      </c>
      <c r="K47" s="15" t="inlineStr">
        <is>
          <t xml:space="preserve">Yes</t>
        </is>
      </c>
      <c r="L47" s="15" t="inlineStr">
        <is>
          <t xml:space="preserve">High</t>
        </is>
      </c>
      <c r="M47" s="15" t="inlineStr">
        <is>
          <t xml:space="preserve">High</t>
        </is>
      </c>
      <c r="N47" s="15" t="inlineStr">
        <is>
          <t xml:space="preserve">Numbers</t>
        </is>
      </c>
      <c r="O47" s="15"/>
      <c r="P47" s="15" t="inlineStr">
        <is>
          <t xml:space="preserve">Primary account</t>
        </is>
      </c>
      <c r="Q47" s="15" t="inlineStr">
        <is>
          <t xml:space="preserve">SRC-TEXT-TORAH; SRC-TORAH-OVERVIEW</t>
        </is>
      </c>
      <c r="R47" s="11" t="inlineStr">
        <is>
          <t xml:space="preserve">Needs Review</t>
        </is>
      </c>
      <c r="S47" s="15" t="inlineStr">
        <is>
          <t xml:space="preserve">Canonical spine reading block for Miriam and Aaron, Edom, and the bronze serpent.</t>
        </is>
      </c>
    </row>
    <row r="48" ht="34" customHeight="1">
      <c r="A48" s="15" t="inlineStr">
        <is>
          <t xml:space="preserve">v0.1</t>
        </is>
      </c>
      <c r="B48" s="15" t="inlineStr">
        <is>
          <t xml:space="preserve">Bible_Journey_Canon_Map_v0_1_Genesis_to_2Samuel.xlsx</t>
        </is>
      </c>
      <c r="C48" s="15" t="inlineStr">
        <is>
          <t xml:space="preserve">BLK-NUM-008-01</t>
        </is>
      </c>
      <c r="D48" s="15" t="inlineStr">
        <is>
          <t xml:space="preserve">CRS-NUM-008</t>
        </is>
      </c>
      <c r="E48" s="15">
        <v>1</v>
      </c>
      <c r="F48" s="15" t="inlineStr">
        <is>
          <t xml:space="preserve">Numbers</t>
        </is>
      </c>
      <c r="G48" s="15" t="inlineStr">
        <is>
          <t xml:space="preserve">22-24</t>
        </is>
      </c>
      <c r="H48" s="15" t="inlineStr">
        <is>
          <t xml:space="preserve">Primary Account</t>
        </is>
      </c>
      <c r="I48" s="15" t="inlineStr">
        <is>
          <t xml:space="preserve">Yes</t>
        </is>
      </c>
      <c r="J48" s="15" t="inlineStr">
        <is>
          <t xml:space="preserve">Yes</t>
        </is>
      </c>
      <c r="K48" s="15" t="inlineStr">
        <is>
          <t xml:space="preserve">Yes</t>
        </is>
      </c>
      <c r="L48" s="15" t="inlineStr">
        <is>
          <t xml:space="preserve">High</t>
        </is>
      </c>
      <c r="M48" s="15" t="inlineStr">
        <is>
          <t xml:space="preserve">High</t>
        </is>
      </c>
      <c r="N48" s="15" t="inlineStr">
        <is>
          <t xml:space="preserve">Numbers</t>
        </is>
      </c>
      <c r="O48" s="15"/>
      <c r="P48" s="15" t="inlineStr">
        <is>
          <t xml:space="preserve">Primary account</t>
        </is>
      </c>
      <c r="Q48" s="15" t="inlineStr">
        <is>
          <t xml:space="preserve">SRC-TEXT-TORAH; SRC-TORAH-OVERVIEW</t>
        </is>
      </c>
      <c r="R48" s="11" t="inlineStr">
        <is>
          <t xml:space="preserve">Needs Review</t>
        </is>
      </c>
      <c r="S48" s="15" t="inlineStr">
        <is>
          <t xml:space="preserve">Canonical spine reading block for Balaam and the Moabite king.</t>
        </is>
      </c>
    </row>
    <row r="49" ht="34" customHeight="1">
      <c r="A49" s="15" t="inlineStr">
        <is>
          <t xml:space="preserve">v0.1</t>
        </is>
      </c>
      <c r="B49" s="15" t="inlineStr">
        <is>
          <t xml:space="preserve">Bible_Journey_Canon_Map_v0_1_Genesis_to_2Samuel.xlsx</t>
        </is>
      </c>
      <c r="C49" s="15" t="inlineStr">
        <is>
          <t xml:space="preserve">BLK-NUM-009-01</t>
        </is>
      </c>
      <c r="D49" s="15" t="inlineStr">
        <is>
          <t xml:space="preserve">CRS-NUM-009</t>
        </is>
      </c>
      <c r="E49" s="15">
        <v>1</v>
      </c>
      <c r="F49" s="15" t="inlineStr">
        <is>
          <t xml:space="preserve">Numbers</t>
        </is>
      </c>
      <c r="G49" s="15" t="inlineStr">
        <is>
          <t xml:space="preserve">25-26</t>
        </is>
      </c>
      <c r="H49" s="15" t="inlineStr">
        <is>
          <t xml:space="preserve">Primary Account</t>
        </is>
      </c>
      <c r="I49" s="15" t="inlineStr">
        <is>
          <t xml:space="preserve">Yes</t>
        </is>
      </c>
      <c r="J49" s="15" t="inlineStr">
        <is>
          <t xml:space="preserve">Yes</t>
        </is>
      </c>
      <c r="K49" s="15" t="inlineStr">
        <is>
          <t xml:space="preserve">Yes</t>
        </is>
      </c>
      <c r="L49" s="15" t="inlineStr">
        <is>
          <t xml:space="preserve">High</t>
        </is>
      </c>
      <c r="M49" s="15" t="inlineStr">
        <is>
          <t xml:space="preserve">High</t>
        </is>
      </c>
      <c r="N49" s="15" t="inlineStr">
        <is>
          <t xml:space="preserve">Numbers</t>
        </is>
      </c>
      <c r="O49" s="15"/>
      <c r="P49" s="15" t="inlineStr">
        <is>
          <t xml:space="preserve">Primary account</t>
        </is>
      </c>
      <c r="Q49" s="15" t="inlineStr">
        <is>
          <t xml:space="preserve">SRC-TEXT-TORAH; SRC-TORAH-OVERVIEW</t>
        </is>
      </c>
      <c r="R49" s="11" t="inlineStr">
        <is>
          <t xml:space="preserve">Needs Review</t>
        </is>
      </c>
      <c r="S49" s="15" t="inlineStr">
        <is>
          <t xml:space="preserve">Canonical spine reading block for Baal Peor and the new census.</t>
        </is>
      </c>
    </row>
    <row r="50" ht="34" customHeight="1">
      <c r="A50" s="15" t="inlineStr">
        <is>
          <t xml:space="preserve">v0.1</t>
        </is>
      </c>
      <c r="B50" s="15" t="inlineStr">
        <is>
          <t xml:space="preserve">Bible_Journey_Canon_Map_v0_1_Genesis_to_2Samuel.xlsx</t>
        </is>
      </c>
      <c r="C50" s="15" t="inlineStr">
        <is>
          <t xml:space="preserve">BLK-NUM-010-01</t>
        </is>
      </c>
      <c r="D50" s="15" t="inlineStr">
        <is>
          <t xml:space="preserve">CRS-NUM-010</t>
        </is>
      </c>
      <c r="E50" s="15">
        <v>1</v>
      </c>
      <c r="F50" s="15" t="inlineStr">
        <is>
          <t xml:space="preserve">Numbers</t>
        </is>
      </c>
      <c r="G50" s="15" t="inlineStr">
        <is>
          <t xml:space="preserve">27-30</t>
        </is>
      </c>
      <c r="H50" s="15" t="inlineStr">
        <is>
          <t xml:space="preserve">Primary Account</t>
        </is>
      </c>
      <c r="I50" s="15" t="inlineStr">
        <is>
          <t xml:space="preserve">Yes</t>
        </is>
      </c>
      <c r="J50" s="15" t="inlineStr">
        <is>
          <t xml:space="preserve">Yes</t>
        </is>
      </c>
      <c r="K50" s="15" t="inlineStr">
        <is>
          <t xml:space="preserve">Yes</t>
        </is>
      </c>
      <c r="L50" s="15" t="inlineStr">
        <is>
          <t xml:space="preserve">High</t>
        </is>
      </c>
      <c r="M50" s="15" t="inlineStr">
        <is>
          <t xml:space="preserve">High</t>
        </is>
      </c>
      <c r="N50" s="15" t="inlineStr">
        <is>
          <t xml:space="preserve">Numbers</t>
        </is>
      </c>
      <c r="O50" s="15"/>
      <c r="P50" s="15" t="inlineStr">
        <is>
          <t xml:space="preserve">Primary account</t>
        </is>
      </c>
      <c r="Q50" s="15" t="inlineStr">
        <is>
          <t xml:space="preserve">SRC-TEXT-TORAH; SRC-TORAH-OVERVIEW</t>
        </is>
      </c>
      <c r="R50" s="11" t="inlineStr">
        <is>
          <t xml:space="preserve">Needs Review</t>
        </is>
      </c>
      <c r="S50" s="15" t="inlineStr">
        <is>
          <t xml:space="preserve">Canonical spine reading block for Inheritance, Joshua's commissioning, offerings, and vows.</t>
        </is>
      </c>
    </row>
    <row r="51" ht="34" customHeight="1">
      <c r="A51" s="15" t="inlineStr">
        <is>
          <t xml:space="preserve">v0.1</t>
        </is>
      </c>
      <c r="B51" s="15" t="inlineStr">
        <is>
          <t xml:space="preserve">Bible_Journey_Canon_Map_v0_1_Genesis_to_2Samuel.xlsx</t>
        </is>
      </c>
      <c r="C51" s="15" t="inlineStr">
        <is>
          <t xml:space="preserve">BLK-NUM-011-01</t>
        </is>
      </c>
      <c r="D51" s="15" t="inlineStr">
        <is>
          <t xml:space="preserve">CRS-NUM-011</t>
        </is>
      </c>
      <c r="E51" s="15">
        <v>1</v>
      </c>
      <c r="F51" s="15" t="inlineStr">
        <is>
          <t xml:space="preserve">Numbers</t>
        </is>
      </c>
      <c r="G51" s="15" t="inlineStr">
        <is>
          <t xml:space="preserve">31-32</t>
        </is>
      </c>
      <c r="H51" s="15" t="inlineStr">
        <is>
          <t xml:space="preserve">Primary Account</t>
        </is>
      </c>
      <c r="I51" s="15" t="inlineStr">
        <is>
          <t xml:space="preserve">Yes</t>
        </is>
      </c>
      <c r="J51" s="15" t="inlineStr">
        <is>
          <t xml:space="preserve">Yes</t>
        </is>
      </c>
      <c r="K51" s="15" t="inlineStr">
        <is>
          <t xml:space="preserve">Yes</t>
        </is>
      </c>
      <c r="L51" s="15" t="inlineStr">
        <is>
          <t xml:space="preserve">High</t>
        </is>
      </c>
      <c r="M51" s="15" t="inlineStr">
        <is>
          <t xml:space="preserve">High</t>
        </is>
      </c>
      <c r="N51" s="15" t="inlineStr">
        <is>
          <t xml:space="preserve">Numbers</t>
        </is>
      </c>
      <c r="O51" s="15"/>
      <c r="P51" s="15" t="inlineStr">
        <is>
          <t xml:space="preserve">Primary account</t>
        </is>
      </c>
      <c r="Q51" s="15" t="inlineStr">
        <is>
          <t xml:space="preserve">SRC-TEXT-TORAH; SRC-TORAH-OVERVIEW</t>
        </is>
      </c>
      <c r="R51" s="11" t="inlineStr">
        <is>
          <t xml:space="preserve">Needs Review</t>
        </is>
      </c>
      <c r="S51" s="15" t="inlineStr">
        <is>
          <t xml:space="preserve">Canonical spine reading block for War with Midian and Transjordan settlement.</t>
        </is>
      </c>
    </row>
    <row r="52" ht="34" customHeight="1">
      <c r="A52" s="15" t="inlineStr">
        <is>
          <t xml:space="preserve">v0.1</t>
        </is>
      </c>
      <c r="B52" s="15" t="inlineStr">
        <is>
          <t xml:space="preserve">Bible_Journey_Canon_Map_v0_1_Genesis_to_2Samuel.xlsx</t>
        </is>
      </c>
      <c r="C52" s="15" t="inlineStr">
        <is>
          <t xml:space="preserve">BLK-NUM-012-01</t>
        </is>
      </c>
      <c r="D52" s="15" t="inlineStr">
        <is>
          <t xml:space="preserve">CRS-NUM-012</t>
        </is>
      </c>
      <c r="E52" s="15">
        <v>1</v>
      </c>
      <c r="F52" s="15" t="inlineStr">
        <is>
          <t xml:space="preserve">Numbers</t>
        </is>
      </c>
      <c r="G52" s="15" t="inlineStr">
        <is>
          <t xml:space="preserve">33-36</t>
        </is>
      </c>
      <c r="H52" s="15" t="inlineStr">
        <is>
          <t xml:space="preserve">Primary Account</t>
        </is>
      </c>
      <c r="I52" s="15" t="inlineStr">
        <is>
          <t xml:space="preserve">Yes</t>
        </is>
      </c>
      <c r="J52" s="15" t="inlineStr">
        <is>
          <t xml:space="preserve">Yes</t>
        </is>
      </c>
      <c r="K52" s="15" t="inlineStr">
        <is>
          <t xml:space="preserve">Yes</t>
        </is>
      </c>
      <c r="L52" s="15" t="inlineStr">
        <is>
          <t xml:space="preserve">High</t>
        </is>
      </c>
      <c r="M52" s="15" t="inlineStr">
        <is>
          <t xml:space="preserve">High</t>
        </is>
      </c>
      <c r="N52" s="15" t="inlineStr">
        <is>
          <t xml:space="preserve">Numbers</t>
        </is>
      </c>
      <c r="O52" s="15"/>
      <c r="P52" s="15" t="inlineStr">
        <is>
          <t xml:space="preserve">Primary account</t>
        </is>
      </c>
      <c r="Q52" s="15" t="inlineStr">
        <is>
          <t xml:space="preserve">SRC-TEXT-TORAH; SRC-TORAH-OVERVIEW</t>
        </is>
      </c>
      <c r="R52" s="11" t="inlineStr">
        <is>
          <t xml:space="preserve">Needs Review</t>
        </is>
      </c>
      <c r="S52" s="15" t="inlineStr">
        <is>
          <t xml:space="preserve">Canonical spine reading block for Stages, boundaries, cities, and inheritance.</t>
        </is>
      </c>
    </row>
    <row r="53" ht="34" customHeight="1">
      <c r="A53" s="15" t="inlineStr">
        <is>
          <t xml:space="preserve">v0.1</t>
        </is>
      </c>
      <c r="B53" s="15" t="inlineStr">
        <is>
          <t xml:space="preserve">Bible_Journey_Canon_Map_v0_1_Genesis_to_2Samuel.xlsx</t>
        </is>
      </c>
      <c r="C53" s="15" t="inlineStr">
        <is>
          <t xml:space="preserve">BLK-DEU-001-01</t>
        </is>
      </c>
      <c r="D53" s="15" t="inlineStr">
        <is>
          <t xml:space="preserve">CRS-DEU-001</t>
        </is>
      </c>
      <c r="E53" s="15">
        <v>1</v>
      </c>
      <c r="F53" s="15" t="inlineStr">
        <is>
          <t xml:space="preserve">Deuteronomy</t>
        </is>
      </c>
      <c r="G53" s="15" t="inlineStr">
        <is>
          <t xml:space="preserve">1-4</t>
        </is>
      </c>
      <c r="H53" s="15" t="inlineStr">
        <is>
          <t xml:space="preserve">Primary Account</t>
        </is>
      </c>
      <c r="I53" s="15" t="inlineStr">
        <is>
          <t xml:space="preserve">Yes</t>
        </is>
      </c>
      <c r="J53" s="15" t="inlineStr">
        <is>
          <t xml:space="preserve">Yes</t>
        </is>
      </c>
      <c r="K53" s="15" t="inlineStr">
        <is>
          <t xml:space="preserve">Yes</t>
        </is>
      </c>
      <c r="L53" s="15" t="inlineStr">
        <is>
          <t xml:space="preserve">High</t>
        </is>
      </c>
      <c r="M53" s="15" t="inlineStr">
        <is>
          <t xml:space="preserve">High</t>
        </is>
      </c>
      <c r="N53" s="15" t="inlineStr">
        <is>
          <t xml:space="preserve">Deuteronomy</t>
        </is>
      </c>
      <c r="O53" s="15"/>
      <c r="P53" s="15" t="inlineStr">
        <is>
          <t xml:space="preserve">Primary account</t>
        </is>
      </c>
      <c r="Q53" s="15" t="inlineStr">
        <is>
          <t xml:space="preserve">SRC-TEXT-DEUT; SRC-DEUT-OVERVIEW; SRC-DET-HISTORY</t>
        </is>
      </c>
      <c r="R53" s="11" t="inlineStr">
        <is>
          <t xml:space="preserve">Needs Review</t>
        </is>
      </c>
      <c r="S53" s="15" t="inlineStr">
        <is>
          <t xml:space="preserve">Canonical spine reading block for Historical review and call to obedience.</t>
        </is>
      </c>
    </row>
    <row r="54" ht="34" customHeight="1">
      <c r="A54" s="15" t="inlineStr">
        <is>
          <t xml:space="preserve">v0.1</t>
        </is>
      </c>
      <c r="B54" s="15" t="inlineStr">
        <is>
          <t xml:space="preserve">Bible_Journey_Canon_Map_v0_1_Genesis_to_2Samuel.xlsx</t>
        </is>
      </c>
      <c r="C54" s="15" t="inlineStr">
        <is>
          <t xml:space="preserve">BLK-DEU-002-01</t>
        </is>
      </c>
      <c r="D54" s="15" t="inlineStr">
        <is>
          <t xml:space="preserve">CRS-DEU-002</t>
        </is>
      </c>
      <c r="E54" s="15">
        <v>1</v>
      </c>
      <c r="F54" s="15" t="inlineStr">
        <is>
          <t xml:space="preserve">Deuteronomy</t>
        </is>
      </c>
      <c r="G54" s="15" t="inlineStr">
        <is>
          <t xml:space="preserve">5-11</t>
        </is>
      </c>
      <c r="H54" s="15" t="inlineStr">
        <is>
          <t xml:space="preserve">Primary Account</t>
        </is>
      </c>
      <c r="I54" s="15" t="inlineStr">
        <is>
          <t xml:space="preserve">Yes</t>
        </is>
      </c>
      <c r="J54" s="15" t="inlineStr">
        <is>
          <t xml:space="preserve">Yes</t>
        </is>
      </c>
      <c r="K54" s="15" t="inlineStr">
        <is>
          <t xml:space="preserve">Yes</t>
        </is>
      </c>
      <c r="L54" s="15" t="inlineStr">
        <is>
          <t xml:space="preserve">High</t>
        </is>
      </c>
      <c r="M54" s="15" t="inlineStr">
        <is>
          <t xml:space="preserve">High</t>
        </is>
      </c>
      <c r="N54" s="15" t="inlineStr">
        <is>
          <t xml:space="preserve">Deuteronomy</t>
        </is>
      </c>
      <c r="O54" s="15"/>
      <c r="P54" s="15" t="inlineStr">
        <is>
          <t xml:space="preserve">Primary account</t>
        </is>
      </c>
      <c r="Q54" s="15" t="inlineStr">
        <is>
          <t xml:space="preserve">SRC-TEXT-DEUT; SRC-DEUT-OVERVIEW; SRC-DET-HISTORY</t>
        </is>
      </c>
      <c r="R54" s="11" t="inlineStr">
        <is>
          <t xml:space="preserve">Needs Review</t>
        </is>
      </c>
      <c r="S54" s="15" t="inlineStr">
        <is>
          <t xml:space="preserve">Canonical spine reading block for Covenant, allegiance, and the Shema.</t>
        </is>
      </c>
    </row>
    <row r="55" ht="34" customHeight="1">
      <c r="A55" s="15" t="inlineStr">
        <is>
          <t xml:space="preserve">v0.1</t>
        </is>
      </c>
      <c r="B55" s="15" t="inlineStr">
        <is>
          <t xml:space="preserve">Bible_Journey_Canon_Map_v0_1_Genesis_to_2Samuel.xlsx</t>
        </is>
      </c>
      <c r="C55" s="15" t="inlineStr">
        <is>
          <t xml:space="preserve">BLK-DEU-003-01</t>
        </is>
      </c>
      <c r="D55" s="15" t="inlineStr">
        <is>
          <t xml:space="preserve">CRS-DEU-003</t>
        </is>
      </c>
      <c r="E55" s="15">
        <v>1</v>
      </c>
      <c r="F55" s="15" t="inlineStr">
        <is>
          <t xml:space="preserve">Deuteronomy</t>
        </is>
      </c>
      <c r="G55" s="15" t="inlineStr">
        <is>
          <t xml:space="preserve">12-18</t>
        </is>
      </c>
      <c r="H55" s="15" t="inlineStr">
        <is>
          <t xml:space="preserve">Primary Account</t>
        </is>
      </c>
      <c r="I55" s="15" t="inlineStr">
        <is>
          <t xml:space="preserve">Yes</t>
        </is>
      </c>
      <c r="J55" s="15" t="inlineStr">
        <is>
          <t xml:space="preserve">Yes</t>
        </is>
      </c>
      <c r="K55" s="15" t="inlineStr">
        <is>
          <t xml:space="preserve">Yes</t>
        </is>
      </c>
      <c r="L55" s="15" t="inlineStr">
        <is>
          <t xml:space="preserve">High</t>
        </is>
      </c>
      <c r="M55" s="15" t="inlineStr">
        <is>
          <t xml:space="preserve">High</t>
        </is>
      </c>
      <c r="N55" s="15" t="inlineStr">
        <is>
          <t xml:space="preserve">Deuteronomy</t>
        </is>
      </c>
      <c r="O55" s="15"/>
      <c r="P55" s="15" t="inlineStr">
        <is>
          <t xml:space="preserve">Primary account</t>
        </is>
      </c>
      <c r="Q55" s="15" t="inlineStr">
        <is>
          <t xml:space="preserve">SRC-TEXT-DEUT; SRC-DEUT-OVERVIEW; SRC-DET-HISTORY</t>
        </is>
      </c>
      <c r="R55" s="11" t="inlineStr">
        <is>
          <t xml:space="preserve">Needs Review</t>
        </is>
      </c>
      <c r="S55" s="15" t="inlineStr">
        <is>
          <t xml:space="preserve">Canonical spine reading block for Worship, justice, and communal life.</t>
        </is>
      </c>
    </row>
    <row r="56" ht="34" customHeight="1">
      <c r="A56" s="15" t="inlineStr">
        <is>
          <t xml:space="preserve">v0.1</t>
        </is>
      </c>
      <c r="B56" s="15" t="inlineStr">
        <is>
          <t xml:space="preserve">Bible_Journey_Canon_Map_v0_1_Genesis_to_2Samuel.xlsx</t>
        </is>
      </c>
      <c r="C56" s="15" t="inlineStr">
        <is>
          <t xml:space="preserve">BLK-DEU-004-01</t>
        </is>
      </c>
      <c r="D56" s="15" t="inlineStr">
        <is>
          <t xml:space="preserve">CRS-DEU-004</t>
        </is>
      </c>
      <c r="E56" s="15">
        <v>1</v>
      </c>
      <c r="F56" s="15" t="inlineStr">
        <is>
          <t xml:space="preserve">Deuteronomy</t>
        </is>
      </c>
      <c r="G56" s="15" t="inlineStr">
        <is>
          <t xml:space="preserve">19-26</t>
        </is>
      </c>
      <c r="H56" s="15" t="inlineStr">
        <is>
          <t xml:space="preserve">Primary Account</t>
        </is>
      </c>
      <c r="I56" s="15" t="inlineStr">
        <is>
          <t xml:space="preserve">Yes</t>
        </is>
      </c>
      <c r="J56" s="15" t="inlineStr">
        <is>
          <t xml:space="preserve">Yes</t>
        </is>
      </c>
      <c r="K56" s="15" t="inlineStr">
        <is>
          <t xml:space="preserve">Yes</t>
        </is>
      </c>
      <c r="L56" s="15" t="inlineStr">
        <is>
          <t xml:space="preserve">High</t>
        </is>
      </c>
      <c r="M56" s="15" t="inlineStr">
        <is>
          <t xml:space="preserve">High</t>
        </is>
      </c>
      <c r="N56" s="15" t="inlineStr">
        <is>
          <t xml:space="preserve">Deuteronomy</t>
        </is>
      </c>
      <c r="O56" s="15"/>
      <c r="P56" s="15" t="inlineStr">
        <is>
          <t xml:space="preserve">Primary account</t>
        </is>
      </c>
      <c r="Q56" s="15" t="inlineStr">
        <is>
          <t xml:space="preserve">SRC-TEXT-DEUT; SRC-DEUT-OVERVIEW; SRC-DET-HISTORY</t>
        </is>
      </c>
      <c r="R56" s="11" t="inlineStr">
        <is>
          <t xml:space="preserve">Needs Review</t>
        </is>
      </c>
      <c r="S56" s="15" t="inlineStr">
        <is>
          <t xml:space="preserve">Canonical spine reading block for Justice, leadership, war, and covenant practice.</t>
        </is>
      </c>
    </row>
    <row r="57" ht="34" customHeight="1">
      <c r="A57" s="15" t="inlineStr">
        <is>
          <t xml:space="preserve">v0.1</t>
        </is>
      </c>
      <c r="B57" s="15" t="inlineStr">
        <is>
          <t xml:space="preserve">Bible_Journey_Canon_Map_v0_1_Genesis_to_2Samuel.xlsx</t>
        </is>
      </c>
      <c r="C57" s="15" t="inlineStr">
        <is>
          <t xml:space="preserve">BLK-DEU-005-01</t>
        </is>
      </c>
      <c r="D57" s="15" t="inlineStr">
        <is>
          <t xml:space="preserve">CRS-DEU-005</t>
        </is>
      </c>
      <c r="E57" s="15">
        <v>1</v>
      </c>
      <c r="F57" s="15" t="inlineStr">
        <is>
          <t xml:space="preserve">Deuteronomy</t>
        </is>
      </c>
      <c r="G57" s="15" t="inlineStr">
        <is>
          <t xml:space="preserve">27-28</t>
        </is>
      </c>
      <c r="H57" s="15" t="inlineStr">
        <is>
          <t xml:space="preserve">Primary Account</t>
        </is>
      </c>
      <c r="I57" s="15" t="inlineStr">
        <is>
          <t xml:space="preserve">Yes</t>
        </is>
      </c>
      <c r="J57" s="15" t="inlineStr">
        <is>
          <t xml:space="preserve">Yes</t>
        </is>
      </c>
      <c r="K57" s="15" t="inlineStr">
        <is>
          <t xml:space="preserve">Yes</t>
        </is>
      </c>
      <c r="L57" s="15" t="inlineStr">
        <is>
          <t xml:space="preserve">High</t>
        </is>
      </c>
      <c r="M57" s="15" t="inlineStr">
        <is>
          <t xml:space="preserve">High</t>
        </is>
      </c>
      <c r="N57" s="15" t="inlineStr">
        <is>
          <t xml:space="preserve">Deuteronomy</t>
        </is>
      </c>
      <c r="O57" s="15"/>
      <c r="P57" s="15" t="inlineStr">
        <is>
          <t xml:space="preserve">Primary account</t>
        </is>
      </c>
      <c r="Q57" s="15" t="inlineStr">
        <is>
          <t xml:space="preserve">SRC-TEXT-DEUT; SRC-DEUT-OVERVIEW; SRC-DET-HISTORY</t>
        </is>
      </c>
      <c r="R57" s="11" t="inlineStr">
        <is>
          <t xml:space="preserve">Needs Review</t>
        </is>
      </c>
      <c r="S57" s="15" t="inlineStr">
        <is>
          <t xml:space="preserve">Canonical spine reading block for Blessings, curses, and covenant consequences.</t>
        </is>
      </c>
    </row>
    <row r="58" ht="34" customHeight="1">
      <c r="A58" s="15" t="inlineStr">
        <is>
          <t xml:space="preserve">v0.1</t>
        </is>
      </c>
      <c r="B58" s="15" t="inlineStr">
        <is>
          <t xml:space="preserve">Bible_Journey_Canon_Map_v0_1_Genesis_to_2Samuel.xlsx</t>
        </is>
      </c>
      <c r="C58" s="15" t="inlineStr">
        <is>
          <t xml:space="preserve">BLK-DEU-006-01</t>
        </is>
      </c>
      <c r="D58" s="15" t="inlineStr">
        <is>
          <t xml:space="preserve">CRS-DEU-006</t>
        </is>
      </c>
      <c r="E58" s="15">
        <v>1</v>
      </c>
      <c r="F58" s="15" t="inlineStr">
        <is>
          <t xml:space="preserve">Deuteronomy</t>
        </is>
      </c>
      <c r="G58" s="15" t="inlineStr">
        <is>
          <t xml:space="preserve">29-30</t>
        </is>
      </c>
      <c r="H58" s="15" t="inlineStr">
        <is>
          <t xml:space="preserve">Primary Account</t>
        </is>
      </c>
      <c r="I58" s="15" t="inlineStr">
        <is>
          <t xml:space="preserve">Yes</t>
        </is>
      </c>
      <c r="J58" s="15" t="inlineStr">
        <is>
          <t xml:space="preserve">Yes</t>
        </is>
      </c>
      <c r="K58" s="15" t="inlineStr">
        <is>
          <t xml:space="preserve">Yes</t>
        </is>
      </c>
      <c r="L58" s="15" t="inlineStr">
        <is>
          <t xml:space="preserve">High</t>
        </is>
      </c>
      <c r="M58" s="15" t="inlineStr">
        <is>
          <t xml:space="preserve">High</t>
        </is>
      </c>
      <c r="N58" s="15" t="inlineStr">
        <is>
          <t xml:space="preserve">Deuteronomy</t>
        </is>
      </c>
      <c r="O58" s="15"/>
      <c r="P58" s="15" t="inlineStr">
        <is>
          <t xml:space="preserve">Primary account</t>
        </is>
      </c>
      <c r="Q58" s="15" t="inlineStr">
        <is>
          <t xml:space="preserve">SRC-TEXT-DEUT; SRC-DEUT-OVERVIEW; SRC-DET-HISTORY</t>
        </is>
      </c>
      <c r="R58" s="11" t="inlineStr">
        <is>
          <t xml:space="preserve">Needs Review</t>
        </is>
      </c>
      <c r="S58" s="15" t="inlineStr">
        <is>
          <t xml:space="preserve">Canonical spine reading block for Renewal, return, and choice.</t>
        </is>
      </c>
    </row>
    <row r="59" ht="34" customHeight="1">
      <c r="A59" s="15" t="inlineStr">
        <is>
          <t xml:space="preserve">v0.1</t>
        </is>
      </c>
      <c r="B59" s="15" t="inlineStr">
        <is>
          <t xml:space="preserve">Bible_Journey_Canon_Map_v0_1_Genesis_to_2Samuel.xlsx</t>
        </is>
      </c>
      <c r="C59" s="15" t="inlineStr">
        <is>
          <t xml:space="preserve">BLK-DEU-007-01</t>
        </is>
      </c>
      <c r="D59" s="15" t="inlineStr">
        <is>
          <t xml:space="preserve">CRS-DEU-007</t>
        </is>
      </c>
      <c r="E59" s="15">
        <v>1</v>
      </c>
      <c r="F59" s="15" t="inlineStr">
        <is>
          <t xml:space="preserve">Deuteronomy</t>
        </is>
      </c>
      <c r="G59" s="15" t="inlineStr">
        <is>
          <t xml:space="preserve">31-32</t>
        </is>
      </c>
      <c r="H59" s="15" t="inlineStr">
        <is>
          <t xml:space="preserve">Primary Account</t>
        </is>
      </c>
      <c r="I59" s="15" t="inlineStr">
        <is>
          <t xml:space="preserve">Yes</t>
        </is>
      </c>
      <c r="J59" s="15" t="inlineStr">
        <is>
          <t xml:space="preserve">Yes</t>
        </is>
      </c>
      <c r="K59" s="15" t="inlineStr">
        <is>
          <t xml:space="preserve">Yes</t>
        </is>
      </c>
      <c r="L59" s="15" t="inlineStr">
        <is>
          <t xml:space="preserve">High</t>
        </is>
      </c>
      <c r="M59" s="15" t="inlineStr">
        <is>
          <t xml:space="preserve">High</t>
        </is>
      </c>
      <c r="N59" s="15" t="inlineStr">
        <is>
          <t xml:space="preserve">Deuteronomy</t>
        </is>
      </c>
      <c r="O59" s="15"/>
      <c r="P59" s="15" t="inlineStr">
        <is>
          <t xml:space="preserve">Primary account</t>
        </is>
      </c>
      <c r="Q59" s="15" t="inlineStr">
        <is>
          <t xml:space="preserve">SRC-TEXT-DEUT; SRC-DEUT-OVERVIEW; SRC-DET-HISTORY</t>
        </is>
      </c>
      <c r="R59" s="11" t="inlineStr">
        <is>
          <t xml:space="preserve">Needs Review</t>
        </is>
      </c>
      <c r="S59" s="15" t="inlineStr">
        <is>
          <t xml:space="preserve">Canonical spine reading block for Joshua's succession and the song of Moses.</t>
        </is>
      </c>
    </row>
    <row r="60" ht="34" customHeight="1">
      <c r="A60" s="15" t="inlineStr">
        <is>
          <t xml:space="preserve">v0.1</t>
        </is>
      </c>
      <c r="B60" s="15" t="inlineStr">
        <is>
          <t xml:space="preserve">Bible_Journey_Canon_Map_v0_1_Genesis_to_2Samuel.xlsx</t>
        </is>
      </c>
      <c r="C60" s="15" t="inlineStr">
        <is>
          <t xml:space="preserve">BLK-DEU-008-01</t>
        </is>
      </c>
      <c r="D60" s="15" t="inlineStr">
        <is>
          <t xml:space="preserve">CRS-DEU-008</t>
        </is>
      </c>
      <c r="E60" s="15">
        <v>1</v>
      </c>
      <c r="F60" s="15" t="inlineStr">
        <is>
          <t xml:space="preserve">Deuteronomy</t>
        </is>
      </c>
      <c r="G60" s="15" t="inlineStr">
        <is>
          <t xml:space="preserve">33-34</t>
        </is>
      </c>
      <c r="H60" s="15" t="inlineStr">
        <is>
          <t xml:space="preserve">Primary Account</t>
        </is>
      </c>
      <c r="I60" s="15" t="inlineStr">
        <is>
          <t xml:space="preserve">Yes</t>
        </is>
      </c>
      <c r="J60" s="15" t="inlineStr">
        <is>
          <t xml:space="preserve">Yes</t>
        </is>
      </c>
      <c r="K60" s="15" t="inlineStr">
        <is>
          <t xml:space="preserve">Yes</t>
        </is>
      </c>
      <c r="L60" s="15" t="inlineStr">
        <is>
          <t xml:space="preserve">High</t>
        </is>
      </c>
      <c r="M60" s="15" t="inlineStr">
        <is>
          <t xml:space="preserve">High</t>
        </is>
      </c>
      <c r="N60" s="15" t="inlineStr">
        <is>
          <t xml:space="preserve">Deuteronomy</t>
        </is>
      </c>
      <c r="O60" s="15"/>
      <c r="P60" s="15" t="inlineStr">
        <is>
          <t xml:space="preserve">Primary account</t>
        </is>
      </c>
      <c r="Q60" s="15" t="inlineStr">
        <is>
          <t xml:space="preserve">SRC-TEXT-DEUT; SRC-DEUT-OVERVIEW; SRC-DET-HISTORY</t>
        </is>
      </c>
      <c r="R60" s="11" t="inlineStr">
        <is>
          <t xml:space="preserve">Needs Review</t>
        </is>
      </c>
      <c r="S60" s="15" t="inlineStr">
        <is>
          <t xml:space="preserve">Canonical spine reading block for Moses blesses Israel and dies.</t>
        </is>
      </c>
    </row>
    <row r="61" ht="34" customHeight="1">
      <c r="A61" s="15" t="inlineStr">
        <is>
          <t xml:space="preserve">v0.1</t>
        </is>
      </c>
      <c r="B61" s="15" t="inlineStr">
        <is>
          <t xml:space="preserve">Bible_Journey_Canon_Map_v0_1_Genesis_to_2Samuel.xlsx</t>
        </is>
      </c>
      <c r="C61" s="15" t="inlineStr">
        <is>
          <t xml:space="preserve">BLK-JOS-001-01</t>
        </is>
      </c>
      <c r="D61" s="15" t="inlineStr">
        <is>
          <t xml:space="preserve">CRS-JOS-001</t>
        </is>
      </c>
      <c r="E61" s="15">
        <v>1</v>
      </c>
      <c r="F61" s="15" t="inlineStr">
        <is>
          <t xml:space="preserve">Joshua</t>
        </is>
      </c>
      <c r="G61" s="15" t="inlineStr">
        <is>
          <t xml:space="preserve">1-2</t>
        </is>
      </c>
      <c r="H61" s="15" t="inlineStr">
        <is>
          <t xml:space="preserve">Primary Account</t>
        </is>
      </c>
      <c r="I61" s="15" t="inlineStr">
        <is>
          <t xml:space="preserve">Yes</t>
        </is>
      </c>
      <c r="J61" s="15" t="inlineStr">
        <is>
          <t xml:space="preserve">Yes</t>
        </is>
      </c>
      <c r="K61" s="15" t="inlineStr">
        <is>
          <t xml:space="preserve">Yes</t>
        </is>
      </c>
      <c r="L61" s="15" t="inlineStr">
        <is>
          <t xml:space="preserve">High</t>
        </is>
      </c>
      <c r="M61" s="15" t="inlineStr">
        <is>
          <t xml:space="preserve">High</t>
        </is>
      </c>
      <c r="N61" s="15" t="inlineStr">
        <is>
          <t xml:space="preserve">Joshua</t>
        </is>
      </c>
      <c r="O61" s="15"/>
      <c r="P61" s="15" t="inlineStr">
        <is>
          <t xml:space="preserve">Primary account</t>
        </is>
      </c>
      <c r="Q61" s="15" t="inlineStr">
        <is>
          <t xml:space="preserve">SRC-TEXT-JOSHUA; SRC-DET-HISTORY</t>
        </is>
      </c>
      <c r="R61" s="11" t="inlineStr">
        <is>
          <t xml:space="preserve">Needs Review</t>
        </is>
      </c>
      <c r="S61" s="15" t="inlineStr">
        <is>
          <t xml:space="preserve">Canonical spine reading block for Joshua commissioned and Rahab protects the spies.</t>
        </is>
      </c>
    </row>
    <row r="62" ht="34" customHeight="1">
      <c r="A62" s="15" t="inlineStr">
        <is>
          <t xml:space="preserve">v0.1</t>
        </is>
      </c>
      <c r="B62" s="15" t="inlineStr">
        <is>
          <t xml:space="preserve">Bible_Journey_Canon_Map_v0_1_Genesis_to_2Samuel.xlsx</t>
        </is>
      </c>
      <c r="C62" s="15" t="inlineStr">
        <is>
          <t xml:space="preserve">BLK-JOS-002-01</t>
        </is>
      </c>
      <c r="D62" s="15" t="inlineStr">
        <is>
          <t xml:space="preserve">CRS-JOS-002</t>
        </is>
      </c>
      <c r="E62" s="15">
        <v>1</v>
      </c>
      <c r="F62" s="15" t="inlineStr">
        <is>
          <t xml:space="preserve">Joshua</t>
        </is>
      </c>
      <c r="G62" s="15" t="inlineStr">
        <is>
          <t xml:space="preserve">3-4</t>
        </is>
      </c>
      <c r="H62" s="15" t="inlineStr">
        <is>
          <t xml:space="preserve">Primary Account</t>
        </is>
      </c>
      <c r="I62" s="15" t="inlineStr">
        <is>
          <t xml:space="preserve">Yes</t>
        </is>
      </c>
      <c r="J62" s="15" t="inlineStr">
        <is>
          <t xml:space="preserve">Yes</t>
        </is>
      </c>
      <c r="K62" s="15" t="inlineStr">
        <is>
          <t xml:space="preserve">Yes</t>
        </is>
      </c>
      <c r="L62" s="15" t="inlineStr">
        <is>
          <t xml:space="preserve">High</t>
        </is>
      </c>
      <c r="M62" s="15" t="inlineStr">
        <is>
          <t xml:space="preserve">High</t>
        </is>
      </c>
      <c r="N62" s="15" t="inlineStr">
        <is>
          <t xml:space="preserve">Joshua</t>
        </is>
      </c>
      <c r="O62" s="15"/>
      <c r="P62" s="15" t="inlineStr">
        <is>
          <t xml:space="preserve">Primary account</t>
        </is>
      </c>
      <c r="Q62" s="15" t="inlineStr">
        <is>
          <t xml:space="preserve">SRC-TEXT-JOSHUA; SRC-DET-HISTORY</t>
        </is>
      </c>
      <c r="R62" s="11" t="inlineStr">
        <is>
          <t xml:space="preserve">Needs Review</t>
        </is>
      </c>
      <c r="S62" s="15" t="inlineStr">
        <is>
          <t xml:space="preserve">Canonical spine reading block for Crossing the Jordan and memorial stones.</t>
        </is>
      </c>
    </row>
    <row r="63" ht="34" customHeight="1">
      <c r="A63" s="15" t="inlineStr">
        <is>
          <t xml:space="preserve">v0.1</t>
        </is>
      </c>
      <c r="B63" s="15" t="inlineStr">
        <is>
          <t xml:space="preserve">Bible_Journey_Canon_Map_v0_1_Genesis_to_2Samuel.xlsx</t>
        </is>
      </c>
      <c r="C63" s="15" t="inlineStr">
        <is>
          <t xml:space="preserve">BLK-JOS-003-01</t>
        </is>
      </c>
      <c r="D63" s="15" t="inlineStr">
        <is>
          <t xml:space="preserve">CRS-JOS-003</t>
        </is>
      </c>
      <c r="E63" s="15">
        <v>1</v>
      </c>
      <c r="F63" s="15" t="inlineStr">
        <is>
          <t xml:space="preserve">Joshua</t>
        </is>
      </c>
      <c r="G63" s="15" t="inlineStr">
        <is>
          <t xml:space="preserve">5-6</t>
        </is>
      </c>
      <c r="H63" s="15" t="inlineStr">
        <is>
          <t xml:space="preserve">Primary Account</t>
        </is>
      </c>
      <c r="I63" s="15" t="inlineStr">
        <is>
          <t xml:space="preserve">Yes</t>
        </is>
      </c>
      <c r="J63" s="15" t="inlineStr">
        <is>
          <t xml:space="preserve">Yes</t>
        </is>
      </c>
      <c r="K63" s="15" t="inlineStr">
        <is>
          <t xml:space="preserve">Yes</t>
        </is>
      </c>
      <c r="L63" s="15" t="inlineStr">
        <is>
          <t xml:space="preserve">High</t>
        </is>
      </c>
      <c r="M63" s="15" t="inlineStr">
        <is>
          <t xml:space="preserve">High</t>
        </is>
      </c>
      <c r="N63" s="15" t="inlineStr">
        <is>
          <t xml:space="preserve">Joshua</t>
        </is>
      </c>
      <c r="O63" s="15"/>
      <c r="P63" s="15" t="inlineStr">
        <is>
          <t xml:space="preserve">Primary account</t>
        </is>
      </c>
      <c r="Q63" s="15" t="inlineStr">
        <is>
          <t xml:space="preserve">SRC-TEXT-JOSHUA; SRC-DET-HISTORY</t>
        </is>
      </c>
      <c r="R63" s="11" t="inlineStr">
        <is>
          <t xml:space="preserve">Needs Review</t>
        </is>
      </c>
      <c r="S63" s="15" t="inlineStr">
        <is>
          <t xml:space="preserve">Canonical spine reading block for Consecration and Jericho.</t>
        </is>
      </c>
    </row>
    <row r="64" ht="34" customHeight="1">
      <c r="A64" s="15" t="inlineStr">
        <is>
          <t xml:space="preserve">v0.1</t>
        </is>
      </c>
      <c r="B64" s="15" t="inlineStr">
        <is>
          <t xml:space="preserve">Bible_Journey_Canon_Map_v0_1_Genesis_to_2Samuel.xlsx</t>
        </is>
      </c>
      <c r="C64" s="15" t="inlineStr">
        <is>
          <t xml:space="preserve">BLK-JOS-004-01</t>
        </is>
      </c>
      <c r="D64" s="15" t="inlineStr">
        <is>
          <t xml:space="preserve">CRS-JOS-004</t>
        </is>
      </c>
      <c r="E64" s="15">
        <v>1</v>
      </c>
      <c r="F64" s="15" t="inlineStr">
        <is>
          <t xml:space="preserve">Joshua</t>
        </is>
      </c>
      <c r="G64" s="15" t="inlineStr">
        <is>
          <t xml:space="preserve">7-8</t>
        </is>
      </c>
      <c r="H64" s="15" t="inlineStr">
        <is>
          <t xml:space="preserve">Primary Account</t>
        </is>
      </c>
      <c r="I64" s="15" t="inlineStr">
        <is>
          <t xml:space="preserve">Yes</t>
        </is>
      </c>
      <c r="J64" s="15" t="inlineStr">
        <is>
          <t xml:space="preserve">Yes</t>
        </is>
      </c>
      <c r="K64" s="15" t="inlineStr">
        <is>
          <t xml:space="preserve">Yes</t>
        </is>
      </c>
      <c r="L64" s="15" t="inlineStr">
        <is>
          <t xml:space="preserve">High</t>
        </is>
      </c>
      <c r="M64" s="15" t="inlineStr">
        <is>
          <t xml:space="preserve">High</t>
        </is>
      </c>
      <c r="N64" s="15" t="inlineStr">
        <is>
          <t xml:space="preserve">Joshua</t>
        </is>
      </c>
      <c r="O64" s="15"/>
      <c r="P64" s="15" t="inlineStr">
        <is>
          <t xml:space="preserve">Primary account</t>
        </is>
      </c>
      <c r="Q64" s="15" t="inlineStr">
        <is>
          <t xml:space="preserve">SRC-TEXT-JOSHUA; SRC-DET-HISTORY</t>
        </is>
      </c>
      <c r="R64" s="11" t="inlineStr">
        <is>
          <t xml:space="preserve">Needs Review</t>
        </is>
      </c>
      <c r="S64" s="15" t="inlineStr">
        <is>
          <t xml:space="preserve">Canonical spine reading block for Achan, Ai, and covenant renewal.</t>
        </is>
      </c>
    </row>
    <row r="65" ht="34" customHeight="1">
      <c r="A65" s="15" t="inlineStr">
        <is>
          <t xml:space="preserve">v0.1</t>
        </is>
      </c>
      <c r="B65" s="15" t="inlineStr">
        <is>
          <t xml:space="preserve">Bible_Journey_Canon_Map_v0_1_Genesis_to_2Samuel.xlsx</t>
        </is>
      </c>
      <c r="C65" s="15" t="inlineStr">
        <is>
          <t xml:space="preserve">BLK-JOS-005-01</t>
        </is>
      </c>
      <c r="D65" s="15" t="inlineStr">
        <is>
          <t xml:space="preserve">CRS-JOS-005</t>
        </is>
      </c>
      <c r="E65" s="15">
        <v>1</v>
      </c>
      <c r="F65" s="15" t="inlineStr">
        <is>
          <t xml:space="preserve">Joshua</t>
        </is>
      </c>
      <c r="G65" s="15" t="inlineStr">
        <is>
          <t xml:space="preserve">9-10</t>
        </is>
      </c>
      <c r="H65" s="15" t="inlineStr">
        <is>
          <t xml:space="preserve">Primary Account</t>
        </is>
      </c>
      <c r="I65" s="15" t="inlineStr">
        <is>
          <t xml:space="preserve">Yes</t>
        </is>
      </c>
      <c r="J65" s="15" t="inlineStr">
        <is>
          <t xml:space="preserve">Yes</t>
        </is>
      </c>
      <c r="K65" s="15" t="inlineStr">
        <is>
          <t xml:space="preserve">Yes</t>
        </is>
      </c>
      <c r="L65" s="15" t="inlineStr">
        <is>
          <t xml:space="preserve">High</t>
        </is>
      </c>
      <c r="M65" s="15" t="inlineStr">
        <is>
          <t xml:space="preserve">High</t>
        </is>
      </c>
      <c r="N65" s="15" t="inlineStr">
        <is>
          <t xml:space="preserve">Joshua</t>
        </is>
      </c>
      <c r="O65" s="15"/>
      <c r="P65" s="15" t="inlineStr">
        <is>
          <t xml:space="preserve">Primary account</t>
        </is>
      </c>
      <c r="Q65" s="15" t="inlineStr">
        <is>
          <t xml:space="preserve">SRC-TEXT-JOSHUA; SRC-DET-HISTORY</t>
        </is>
      </c>
      <c r="R65" s="11" t="inlineStr">
        <is>
          <t xml:space="preserve">Needs Review</t>
        </is>
      </c>
      <c r="S65" s="15" t="inlineStr">
        <is>
          <t xml:space="preserve">Canonical spine reading block for Gibeon and the southern campaign.</t>
        </is>
      </c>
    </row>
    <row r="66" ht="34" customHeight="1">
      <c r="A66" s="15" t="inlineStr">
        <is>
          <t xml:space="preserve">v0.1</t>
        </is>
      </c>
      <c r="B66" s="15" t="inlineStr">
        <is>
          <t xml:space="preserve">Bible_Journey_Canon_Map_v0_1_Genesis_to_2Samuel.xlsx</t>
        </is>
      </c>
      <c r="C66" s="15" t="inlineStr">
        <is>
          <t xml:space="preserve">BLK-JOS-006-01</t>
        </is>
      </c>
      <c r="D66" s="15" t="inlineStr">
        <is>
          <t xml:space="preserve">CRS-JOS-006</t>
        </is>
      </c>
      <c r="E66" s="15">
        <v>1</v>
      </c>
      <c r="F66" s="15" t="inlineStr">
        <is>
          <t xml:space="preserve">Joshua</t>
        </is>
      </c>
      <c r="G66" s="15" t="inlineStr">
        <is>
          <t xml:space="preserve">11-12</t>
        </is>
      </c>
      <c r="H66" s="15" t="inlineStr">
        <is>
          <t xml:space="preserve">Primary Account</t>
        </is>
      </c>
      <c r="I66" s="15" t="inlineStr">
        <is>
          <t xml:space="preserve">Yes</t>
        </is>
      </c>
      <c r="J66" s="15" t="inlineStr">
        <is>
          <t xml:space="preserve">Yes</t>
        </is>
      </c>
      <c r="K66" s="15" t="inlineStr">
        <is>
          <t xml:space="preserve">Yes</t>
        </is>
      </c>
      <c r="L66" s="15" t="inlineStr">
        <is>
          <t xml:space="preserve">High</t>
        </is>
      </c>
      <c r="M66" s="15" t="inlineStr">
        <is>
          <t xml:space="preserve">High</t>
        </is>
      </c>
      <c r="N66" s="15" t="inlineStr">
        <is>
          <t xml:space="preserve">Joshua</t>
        </is>
      </c>
      <c r="O66" s="15"/>
      <c r="P66" s="15" t="inlineStr">
        <is>
          <t xml:space="preserve">Primary account</t>
        </is>
      </c>
      <c r="Q66" s="15" t="inlineStr">
        <is>
          <t xml:space="preserve">SRC-TEXT-JOSHUA; SRC-DET-HISTORY</t>
        </is>
      </c>
      <c r="R66" s="11" t="inlineStr">
        <is>
          <t xml:space="preserve">Needs Review</t>
        </is>
      </c>
      <c r="S66" s="15" t="inlineStr">
        <is>
          <t xml:space="preserve">Canonical spine reading block for Northern campaign and conquest summary.</t>
        </is>
      </c>
    </row>
    <row r="67" ht="34" customHeight="1">
      <c r="A67" s="15" t="inlineStr">
        <is>
          <t xml:space="preserve">v0.1</t>
        </is>
      </c>
      <c r="B67" s="15" t="inlineStr">
        <is>
          <t xml:space="preserve">Bible_Journey_Canon_Map_v0_1_Genesis_to_2Samuel.xlsx</t>
        </is>
      </c>
      <c r="C67" s="15" t="inlineStr">
        <is>
          <t xml:space="preserve">BLK-JOS-007-01</t>
        </is>
      </c>
      <c r="D67" s="15" t="inlineStr">
        <is>
          <t xml:space="preserve">CRS-JOS-007</t>
        </is>
      </c>
      <c r="E67" s="15">
        <v>1</v>
      </c>
      <c r="F67" s="15" t="inlineStr">
        <is>
          <t xml:space="preserve">Joshua</t>
        </is>
      </c>
      <c r="G67" s="15" t="inlineStr">
        <is>
          <t xml:space="preserve">13-19</t>
        </is>
      </c>
      <c r="H67" s="15" t="inlineStr">
        <is>
          <t xml:space="preserve">Primary Account</t>
        </is>
      </c>
      <c r="I67" s="15" t="inlineStr">
        <is>
          <t xml:space="preserve">Yes</t>
        </is>
      </c>
      <c r="J67" s="15" t="inlineStr">
        <is>
          <t xml:space="preserve">Yes</t>
        </is>
      </c>
      <c r="K67" s="15" t="inlineStr">
        <is>
          <t xml:space="preserve">Yes</t>
        </is>
      </c>
      <c r="L67" s="15" t="inlineStr">
        <is>
          <t xml:space="preserve">High</t>
        </is>
      </c>
      <c r="M67" s="15" t="inlineStr">
        <is>
          <t xml:space="preserve">High</t>
        </is>
      </c>
      <c r="N67" s="15" t="inlineStr">
        <is>
          <t xml:space="preserve">Joshua</t>
        </is>
      </c>
      <c r="O67" s="15"/>
      <c r="P67" s="15" t="inlineStr">
        <is>
          <t xml:space="preserve">Primary account</t>
        </is>
      </c>
      <c r="Q67" s="15" t="inlineStr">
        <is>
          <t xml:space="preserve">SRC-TEXT-JOSHUA; SRC-DET-HISTORY</t>
        </is>
      </c>
      <c r="R67" s="11" t="inlineStr">
        <is>
          <t xml:space="preserve">Needs Review</t>
        </is>
      </c>
      <c r="S67" s="15" t="inlineStr">
        <is>
          <t xml:space="preserve">Canonical spine reading block for Tribal allotments.</t>
        </is>
      </c>
    </row>
    <row r="68" ht="34" customHeight="1">
      <c r="A68" s="15" t="inlineStr">
        <is>
          <t xml:space="preserve">v0.1</t>
        </is>
      </c>
      <c r="B68" s="15" t="inlineStr">
        <is>
          <t xml:space="preserve">Bible_Journey_Canon_Map_v0_1_Genesis_to_2Samuel.xlsx</t>
        </is>
      </c>
      <c r="C68" s="15" t="inlineStr">
        <is>
          <t xml:space="preserve">BLK-JOS-008-01</t>
        </is>
      </c>
      <c r="D68" s="15" t="inlineStr">
        <is>
          <t xml:space="preserve">CRS-JOS-008</t>
        </is>
      </c>
      <c r="E68" s="15">
        <v>1</v>
      </c>
      <c r="F68" s="15" t="inlineStr">
        <is>
          <t xml:space="preserve">Joshua</t>
        </is>
      </c>
      <c r="G68" s="15" t="inlineStr">
        <is>
          <t xml:space="preserve">20-22</t>
        </is>
      </c>
      <c r="H68" s="15" t="inlineStr">
        <is>
          <t xml:space="preserve">Primary Account</t>
        </is>
      </c>
      <c r="I68" s="15" t="inlineStr">
        <is>
          <t xml:space="preserve">Yes</t>
        </is>
      </c>
      <c r="J68" s="15" t="inlineStr">
        <is>
          <t xml:space="preserve">Yes</t>
        </is>
      </c>
      <c r="K68" s="15" t="inlineStr">
        <is>
          <t xml:space="preserve">Yes</t>
        </is>
      </c>
      <c r="L68" s="15" t="inlineStr">
        <is>
          <t xml:space="preserve">High</t>
        </is>
      </c>
      <c r="M68" s="15" t="inlineStr">
        <is>
          <t xml:space="preserve">High</t>
        </is>
      </c>
      <c r="N68" s="15" t="inlineStr">
        <is>
          <t xml:space="preserve">Joshua</t>
        </is>
      </c>
      <c r="O68" s="15"/>
      <c r="P68" s="15" t="inlineStr">
        <is>
          <t xml:space="preserve">Primary account</t>
        </is>
      </c>
      <c r="Q68" s="15" t="inlineStr">
        <is>
          <t xml:space="preserve">SRC-TEXT-JOSHUA; SRC-DET-HISTORY</t>
        </is>
      </c>
      <c r="R68" s="11" t="inlineStr">
        <is>
          <t xml:space="preserve">Needs Review</t>
        </is>
      </c>
      <c r="S68" s="15" t="inlineStr">
        <is>
          <t xml:space="preserve">Canonical spine reading block for Cities of refuge, Levites, and the eastern altar.</t>
        </is>
      </c>
    </row>
    <row r="69" ht="34" customHeight="1">
      <c r="A69" s="15" t="inlineStr">
        <is>
          <t xml:space="preserve">v0.1</t>
        </is>
      </c>
      <c r="B69" s="15" t="inlineStr">
        <is>
          <t xml:space="preserve">Bible_Journey_Canon_Map_v0_1_Genesis_to_2Samuel.xlsx</t>
        </is>
      </c>
      <c r="C69" s="15" t="inlineStr">
        <is>
          <t xml:space="preserve">BLK-JOS-009-01</t>
        </is>
      </c>
      <c r="D69" s="15" t="inlineStr">
        <is>
          <t xml:space="preserve">CRS-JOS-009</t>
        </is>
      </c>
      <c r="E69" s="15">
        <v>1</v>
      </c>
      <c r="F69" s="15" t="inlineStr">
        <is>
          <t xml:space="preserve">Joshua</t>
        </is>
      </c>
      <c r="G69" s="15" t="inlineStr">
        <is>
          <t xml:space="preserve">23-24</t>
        </is>
      </c>
      <c r="H69" s="15" t="inlineStr">
        <is>
          <t xml:space="preserve">Primary Account</t>
        </is>
      </c>
      <c r="I69" s="15" t="inlineStr">
        <is>
          <t xml:space="preserve">Yes</t>
        </is>
      </c>
      <c r="J69" s="15" t="inlineStr">
        <is>
          <t xml:space="preserve">Yes</t>
        </is>
      </c>
      <c r="K69" s="15" t="inlineStr">
        <is>
          <t xml:space="preserve">Yes</t>
        </is>
      </c>
      <c r="L69" s="15" t="inlineStr">
        <is>
          <t xml:space="preserve">High</t>
        </is>
      </c>
      <c r="M69" s="15" t="inlineStr">
        <is>
          <t xml:space="preserve">High</t>
        </is>
      </c>
      <c r="N69" s="15" t="inlineStr">
        <is>
          <t xml:space="preserve">Joshua</t>
        </is>
      </c>
      <c r="O69" s="15"/>
      <c r="P69" s="15" t="inlineStr">
        <is>
          <t xml:space="preserve">Primary account</t>
        </is>
      </c>
      <c r="Q69" s="15" t="inlineStr">
        <is>
          <t xml:space="preserve">SRC-TEXT-JOSHUA; SRC-DET-HISTORY</t>
        </is>
      </c>
      <c r="R69" s="11" t="inlineStr">
        <is>
          <t xml:space="preserve">Needs Review</t>
        </is>
      </c>
      <c r="S69" s="15" t="inlineStr">
        <is>
          <t xml:space="preserve">Canonical spine reading block for Joshua's farewell and covenant renewal.</t>
        </is>
      </c>
    </row>
    <row r="70" ht="34" customHeight="1">
      <c r="A70" s="15" t="inlineStr">
        <is>
          <t xml:space="preserve">v0.1</t>
        </is>
      </c>
      <c r="B70" s="15" t="inlineStr">
        <is>
          <t xml:space="preserve">Bible_Journey_Canon_Map_v0_1_Genesis_to_2Samuel.xlsx</t>
        </is>
      </c>
      <c r="C70" s="15" t="inlineStr">
        <is>
          <t xml:space="preserve">BLK-JDG-001-01</t>
        </is>
      </c>
      <c r="D70" s="15" t="inlineStr">
        <is>
          <t xml:space="preserve">CRS-JDG-001</t>
        </is>
      </c>
      <c r="E70" s="15">
        <v>1</v>
      </c>
      <c r="F70" s="15" t="inlineStr">
        <is>
          <t xml:space="preserve">Judges</t>
        </is>
      </c>
      <c r="G70" s="15" t="inlineStr">
        <is>
          <t xml:space="preserve">1-3</t>
        </is>
      </c>
      <c r="H70" s="15" t="inlineStr">
        <is>
          <t xml:space="preserve">Primary Account</t>
        </is>
      </c>
      <c r="I70" s="15" t="inlineStr">
        <is>
          <t xml:space="preserve">Yes</t>
        </is>
      </c>
      <c r="J70" s="15" t="inlineStr">
        <is>
          <t xml:space="preserve">Yes</t>
        </is>
      </c>
      <c r="K70" s="15" t="inlineStr">
        <is>
          <t xml:space="preserve">Yes</t>
        </is>
      </c>
      <c r="L70" s="15" t="inlineStr">
        <is>
          <t xml:space="preserve">High</t>
        </is>
      </c>
      <c r="M70" s="15" t="inlineStr">
        <is>
          <t xml:space="preserve">High</t>
        </is>
      </c>
      <c r="N70" s="15" t="inlineStr">
        <is>
          <t xml:space="preserve">Judges</t>
        </is>
      </c>
      <c r="O70" s="15"/>
      <c r="P70" s="15" t="inlineStr">
        <is>
          <t xml:space="preserve">Primary account</t>
        </is>
      </c>
      <c r="Q70" s="15" t="inlineStr">
        <is>
          <t xml:space="preserve">SRC-TEXT-JUDGES; SRC-DET-HISTORY</t>
        </is>
      </c>
      <c r="R70" s="11" t="inlineStr">
        <is>
          <t xml:space="preserve">Needs Review</t>
        </is>
      </c>
      <c r="S70" s="15" t="inlineStr">
        <is>
          <t xml:space="preserve">Canonical spine reading block for Incomplete conquest and the pattern of the judges.</t>
        </is>
      </c>
    </row>
    <row r="71" ht="34" customHeight="1">
      <c r="A71" s="15" t="inlineStr">
        <is>
          <t xml:space="preserve">v0.1</t>
        </is>
      </c>
      <c r="B71" s="15" t="inlineStr">
        <is>
          <t xml:space="preserve">Bible_Journey_Canon_Map_v0_1_Genesis_to_2Samuel.xlsx</t>
        </is>
      </c>
      <c r="C71" s="15" t="inlineStr">
        <is>
          <t xml:space="preserve">BLK-JDG-002-01</t>
        </is>
      </c>
      <c r="D71" s="15" t="inlineStr">
        <is>
          <t xml:space="preserve">CRS-JDG-002</t>
        </is>
      </c>
      <c r="E71" s="15">
        <v>1</v>
      </c>
      <c r="F71" s="15" t="inlineStr">
        <is>
          <t xml:space="preserve">Judges</t>
        </is>
      </c>
      <c r="G71" s="15" t="inlineStr">
        <is>
          <t xml:space="preserve">4-5</t>
        </is>
      </c>
      <c r="H71" s="15" t="inlineStr">
        <is>
          <t xml:space="preserve">Primary Account</t>
        </is>
      </c>
      <c r="I71" s="15" t="inlineStr">
        <is>
          <t xml:space="preserve">Yes</t>
        </is>
      </c>
      <c r="J71" s="15" t="inlineStr">
        <is>
          <t xml:space="preserve">Yes</t>
        </is>
      </c>
      <c r="K71" s="15" t="inlineStr">
        <is>
          <t xml:space="preserve">Yes</t>
        </is>
      </c>
      <c r="L71" s="15" t="inlineStr">
        <is>
          <t xml:space="preserve">High</t>
        </is>
      </c>
      <c r="M71" s="15" t="inlineStr">
        <is>
          <t xml:space="preserve">High</t>
        </is>
      </c>
      <c r="N71" s="15" t="inlineStr">
        <is>
          <t xml:space="preserve">Judges</t>
        </is>
      </c>
      <c r="O71" s="15"/>
      <c r="P71" s="15" t="inlineStr">
        <is>
          <t xml:space="preserve">Primary account</t>
        </is>
      </c>
      <c r="Q71" s="15" t="inlineStr">
        <is>
          <t xml:space="preserve">SRC-TEXT-JUDGES; SRC-DET-HISTORY</t>
        </is>
      </c>
      <c r="R71" s="11" t="inlineStr">
        <is>
          <t xml:space="preserve">Needs Review</t>
        </is>
      </c>
      <c r="S71" s="15" t="inlineStr">
        <is>
          <t xml:space="preserve">Canonical spine reading block for Deborah, Barak, and the song of deliverance.</t>
        </is>
      </c>
    </row>
    <row r="72" ht="34" customHeight="1">
      <c r="A72" s="15" t="inlineStr">
        <is>
          <t xml:space="preserve">v0.1</t>
        </is>
      </c>
      <c r="B72" s="15" t="inlineStr">
        <is>
          <t xml:space="preserve">Bible_Journey_Canon_Map_v0_1_Genesis_to_2Samuel.xlsx</t>
        </is>
      </c>
      <c r="C72" s="15" t="inlineStr">
        <is>
          <t xml:space="preserve">BLK-JDG-003-01</t>
        </is>
      </c>
      <c r="D72" s="15" t="inlineStr">
        <is>
          <t xml:space="preserve">CRS-JDG-003</t>
        </is>
      </c>
      <c r="E72" s="15">
        <v>1</v>
      </c>
      <c r="F72" s="15" t="inlineStr">
        <is>
          <t xml:space="preserve">Judges</t>
        </is>
      </c>
      <c r="G72" s="15" t="inlineStr">
        <is>
          <t xml:space="preserve">6-8</t>
        </is>
      </c>
      <c r="H72" s="15" t="inlineStr">
        <is>
          <t xml:space="preserve">Primary Account</t>
        </is>
      </c>
      <c r="I72" s="15" t="inlineStr">
        <is>
          <t xml:space="preserve">Yes</t>
        </is>
      </c>
      <c r="J72" s="15" t="inlineStr">
        <is>
          <t xml:space="preserve">Yes</t>
        </is>
      </c>
      <c r="K72" s="15" t="inlineStr">
        <is>
          <t xml:space="preserve">Yes</t>
        </is>
      </c>
      <c r="L72" s="15" t="inlineStr">
        <is>
          <t xml:space="preserve">High</t>
        </is>
      </c>
      <c r="M72" s="15" t="inlineStr">
        <is>
          <t xml:space="preserve">High</t>
        </is>
      </c>
      <c r="N72" s="15" t="inlineStr">
        <is>
          <t xml:space="preserve">Judges</t>
        </is>
      </c>
      <c r="O72" s="15"/>
      <c r="P72" s="15" t="inlineStr">
        <is>
          <t xml:space="preserve">Primary account</t>
        </is>
      </c>
      <c r="Q72" s="15" t="inlineStr">
        <is>
          <t xml:space="preserve">SRC-TEXT-JUDGES; SRC-DET-HISTORY</t>
        </is>
      </c>
      <c r="R72" s="11" t="inlineStr">
        <is>
          <t xml:space="preserve">Needs Review</t>
        </is>
      </c>
      <c r="S72" s="15" t="inlineStr">
        <is>
          <t xml:space="preserve">Canonical spine reading block for Gideon's calling, victory, and legacy.</t>
        </is>
      </c>
    </row>
    <row r="73" ht="34" customHeight="1">
      <c r="A73" s="15" t="inlineStr">
        <is>
          <t xml:space="preserve">v0.1</t>
        </is>
      </c>
      <c r="B73" s="15" t="inlineStr">
        <is>
          <t xml:space="preserve">Bible_Journey_Canon_Map_v0_1_Genesis_to_2Samuel.xlsx</t>
        </is>
      </c>
      <c r="C73" s="15" t="inlineStr">
        <is>
          <t xml:space="preserve">BLK-JDG-004-01</t>
        </is>
      </c>
      <c r="D73" s="15" t="inlineStr">
        <is>
          <t xml:space="preserve">CRS-JDG-004</t>
        </is>
      </c>
      <c r="E73" s="15">
        <v>1</v>
      </c>
      <c r="F73" s="15" t="inlineStr">
        <is>
          <t xml:space="preserve">Judges</t>
        </is>
      </c>
      <c r="G73" s="15" t="inlineStr">
        <is>
          <t xml:space="preserve">9</t>
        </is>
      </c>
      <c r="H73" s="15" t="inlineStr">
        <is>
          <t xml:space="preserve">Primary Account</t>
        </is>
      </c>
      <c r="I73" s="15" t="inlineStr">
        <is>
          <t xml:space="preserve">Yes</t>
        </is>
      </c>
      <c r="J73" s="15" t="inlineStr">
        <is>
          <t xml:space="preserve">Yes</t>
        </is>
      </c>
      <c r="K73" s="15" t="inlineStr">
        <is>
          <t xml:space="preserve">Yes</t>
        </is>
      </c>
      <c r="L73" s="15" t="inlineStr">
        <is>
          <t xml:space="preserve">High</t>
        </is>
      </c>
      <c r="M73" s="15" t="inlineStr">
        <is>
          <t xml:space="preserve">High</t>
        </is>
      </c>
      <c r="N73" s="15" t="inlineStr">
        <is>
          <t xml:space="preserve">Judges</t>
        </is>
      </c>
      <c r="O73" s="15"/>
      <c r="P73" s="15" t="inlineStr">
        <is>
          <t xml:space="preserve">Primary account</t>
        </is>
      </c>
      <c r="Q73" s="15" t="inlineStr">
        <is>
          <t xml:space="preserve">SRC-TEXT-JUDGES; SRC-DET-HISTORY</t>
        </is>
      </c>
      <c r="R73" s="11" t="inlineStr">
        <is>
          <t xml:space="preserve">Needs Review</t>
        </is>
      </c>
      <c r="S73" s="15" t="inlineStr">
        <is>
          <t xml:space="preserve">Canonical spine reading block for Abimelech's rise and fall.</t>
        </is>
      </c>
    </row>
    <row r="74" ht="34" customHeight="1">
      <c r="A74" s="15" t="inlineStr">
        <is>
          <t xml:space="preserve">v0.1</t>
        </is>
      </c>
      <c r="B74" s="15" t="inlineStr">
        <is>
          <t xml:space="preserve">Bible_Journey_Canon_Map_v0_1_Genesis_to_2Samuel.xlsx</t>
        </is>
      </c>
      <c r="C74" s="15" t="inlineStr">
        <is>
          <t xml:space="preserve">BLK-JDG-005-01</t>
        </is>
      </c>
      <c r="D74" s="15" t="inlineStr">
        <is>
          <t xml:space="preserve">CRS-JDG-005</t>
        </is>
      </c>
      <c r="E74" s="15">
        <v>1</v>
      </c>
      <c r="F74" s="15" t="inlineStr">
        <is>
          <t xml:space="preserve">Judges</t>
        </is>
      </c>
      <c r="G74" s="15" t="inlineStr">
        <is>
          <t xml:space="preserve">10-12</t>
        </is>
      </c>
      <c r="H74" s="15" t="inlineStr">
        <is>
          <t xml:space="preserve">Primary Account</t>
        </is>
      </c>
      <c r="I74" s="15" t="inlineStr">
        <is>
          <t xml:space="preserve">Yes</t>
        </is>
      </c>
      <c r="J74" s="15" t="inlineStr">
        <is>
          <t xml:space="preserve">Yes</t>
        </is>
      </c>
      <c r="K74" s="15" t="inlineStr">
        <is>
          <t xml:space="preserve">Yes</t>
        </is>
      </c>
      <c r="L74" s="15" t="inlineStr">
        <is>
          <t xml:space="preserve">High</t>
        </is>
      </c>
      <c r="M74" s="15" t="inlineStr">
        <is>
          <t xml:space="preserve">High</t>
        </is>
      </c>
      <c r="N74" s="15" t="inlineStr">
        <is>
          <t xml:space="preserve">Judges</t>
        </is>
      </c>
      <c r="O74" s="15"/>
      <c r="P74" s="15" t="inlineStr">
        <is>
          <t xml:space="preserve">Primary account</t>
        </is>
      </c>
      <c r="Q74" s="15" t="inlineStr">
        <is>
          <t xml:space="preserve">SRC-TEXT-JUDGES; SRC-DET-HISTORY</t>
        </is>
      </c>
      <c r="R74" s="11" t="inlineStr">
        <is>
          <t xml:space="preserve">Needs Review</t>
        </is>
      </c>
      <c r="S74" s="15" t="inlineStr">
        <is>
          <t xml:space="preserve">Canonical spine reading block for Jephthah and the eastern judges.</t>
        </is>
      </c>
    </row>
    <row r="75" ht="34" customHeight="1">
      <c r="A75" s="15" t="inlineStr">
        <is>
          <t xml:space="preserve">v0.1</t>
        </is>
      </c>
      <c r="B75" s="15" t="inlineStr">
        <is>
          <t xml:space="preserve">Bible_Journey_Canon_Map_v0_1_Genesis_to_2Samuel.xlsx</t>
        </is>
      </c>
      <c r="C75" s="15" t="inlineStr">
        <is>
          <t xml:space="preserve">BLK-JDG-006-01</t>
        </is>
      </c>
      <c r="D75" s="15" t="inlineStr">
        <is>
          <t xml:space="preserve">CRS-JDG-006</t>
        </is>
      </c>
      <c r="E75" s="15">
        <v>1</v>
      </c>
      <c r="F75" s="15" t="inlineStr">
        <is>
          <t xml:space="preserve">Judges</t>
        </is>
      </c>
      <c r="G75" s="15" t="inlineStr">
        <is>
          <t xml:space="preserve">13-16</t>
        </is>
      </c>
      <c r="H75" s="15" t="inlineStr">
        <is>
          <t xml:space="preserve">Primary Account</t>
        </is>
      </c>
      <c r="I75" s="15" t="inlineStr">
        <is>
          <t xml:space="preserve">Yes</t>
        </is>
      </c>
      <c r="J75" s="15" t="inlineStr">
        <is>
          <t xml:space="preserve">Yes</t>
        </is>
      </c>
      <c r="K75" s="15" t="inlineStr">
        <is>
          <t xml:space="preserve">Yes</t>
        </is>
      </c>
      <c r="L75" s="15" t="inlineStr">
        <is>
          <t xml:space="preserve">High</t>
        </is>
      </c>
      <c r="M75" s="15" t="inlineStr">
        <is>
          <t xml:space="preserve">High</t>
        </is>
      </c>
      <c r="N75" s="15" t="inlineStr">
        <is>
          <t xml:space="preserve">Judges</t>
        </is>
      </c>
      <c r="O75" s="15"/>
      <c r="P75" s="15" t="inlineStr">
        <is>
          <t xml:space="preserve">Primary account</t>
        </is>
      </c>
      <c r="Q75" s="15" t="inlineStr">
        <is>
          <t xml:space="preserve">SRC-TEXT-JUDGES; SRC-DET-HISTORY</t>
        </is>
      </c>
      <c r="R75" s="11" t="inlineStr">
        <is>
          <t xml:space="preserve">Needs Review</t>
        </is>
      </c>
      <c r="S75" s="15" t="inlineStr">
        <is>
          <t xml:space="preserve">Canonical spine reading block for Samson's birth, conflicts, and death.</t>
        </is>
      </c>
    </row>
    <row r="76" ht="34" customHeight="1">
      <c r="A76" s="15" t="inlineStr">
        <is>
          <t xml:space="preserve">v0.1</t>
        </is>
      </c>
      <c r="B76" s="15" t="inlineStr">
        <is>
          <t xml:space="preserve">Bible_Journey_Canon_Map_v0_1_Genesis_to_2Samuel.xlsx</t>
        </is>
      </c>
      <c r="C76" s="15" t="inlineStr">
        <is>
          <t xml:space="preserve">BLK-JDG-007-01</t>
        </is>
      </c>
      <c r="D76" s="15" t="inlineStr">
        <is>
          <t xml:space="preserve">CRS-JDG-007</t>
        </is>
      </c>
      <c r="E76" s="15">
        <v>1</v>
      </c>
      <c r="F76" s="15" t="inlineStr">
        <is>
          <t xml:space="preserve">Judges</t>
        </is>
      </c>
      <c r="G76" s="15" t="inlineStr">
        <is>
          <t xml:space="preserve">17-18</t>
        </is>
      </c>
      <c r="H76" s="15" t="inlineStr">
        <is>
          <t xml:space="preserve">Primary Account</t>
        </is>
      </c>
      <c r="I76" s="15" t="inlineStr">
        <is>
          <t xml:space="preserve">Yes</t>
        </is>
      </c>
      <c r="J76" s="15" t="inlineStr">
        <is>
          <t xml:space="preserve">Yes</t>
        </is>
      </c>
      <c r="K76" s="15" t="inlineStr">
        <is>
          <t xml:space="preserve">Yes</t>
        </is>
      </c>
      <c r="L76" s="15" t="inlineStr">
        <is>
          <t xml:space="preserve">High</t>
        </is>
      </c>
      <c r="M76" s="15" t="inlineStr">
        <is>
          <t xml:space="preserve">Probable</t>
        </is>
      </c>
      <c r="N76" s="15" t="inlineStr">
        <is>
          <t xml:space="preserve">Judges</t>
        </is>
      </c>
      <c r="O76" s="15"/>
      <c r="P76" s="15" t="inlineStr">
        <is>
          <t xml:space="preserve">Primary account</t>
        </is>
      </c>
      <c r="Q76" s="15" t="inlineStr">
        <is>
          <t xml:space="preserve">SRC-TEXT-JUDGES; SRC-DET-HISTORY</t>
        </is>
      </c>
      <c r="R76" s="11" t="inlineStr">
        <is>
          <t xml:space="preserve">Needs Review</t>
        </is>
      </c>
      <c r="S76" s="15" t="inlineStr">
        <is>
          <t xml:space="preserve">Canonical spine reading block for Micah, the Levite, and the tribe of Dan.</t>
        </is>
      </c>
    </row>
    <row r="77" ht="34" customHeight="1">
      <c r="A77" s="15" t="inlineStr">
        <is>
          <t xml:space="preserve">v0.1</t>
        </is>
      </c>
      <c r="B77" s="15" t="inlineStr">
        <is>
          <t xml:space="preserve">Bible_Journey_Canon_Map_v0_1_Genesis_to_2Samuel.xlsx</t>
        </is>
      </c>
      <c r="C77" s="15" t="inlineStr">
        <is>
          <t xml:space="preserve">BLK-JDG-008-01</t>
        </is>
      </c>
      <c r="D77" s="15" t="inlineStr">
        <is>
          <t xml:space="preserve">CRS-JDG-008</t>
        </is>
      </c>
      <c r="E77" s="15">
        <v>1</v>
      </c>
      <c r="F77" s="15" t="inlineStr">
        <is>
          <t xml:space="preserve">Judges</t>
        </is>
      </c>
      <c r="G77" s="15" t="inlineStr">
        <is>
          <t xml:space="preserve">19-21</t>
        </is>
      </c>
      <c r="H77" s="15" t="inlineStr">
        <is>
          <t xml:space="preserve">Primary Account</t>
        </is>
      </c>
      <c r="I77" s="15" t="inlineStr">
        <is>
          <t xml:space="preserve">Yes</t>
        </is>
      </c>
      <c r="J77" s="15" t="inlineStr">
        <is>
          <t xml:space="preserve">Yes</t>
        </is>
      </c>
      <c r="K77" s="15" t="inlineStr">
        <is>
          <t xml:space="preserve">Yes</t>
        </is>
      </c>
      <c r="L77" s="15" t="inlineStr">
        <is>
          <t xml:space="preserve">High</t>
        </is>
      </c>
      <c r="M77" s="15" t="inlineStr">
        <is>
          <t xml:space="preserve">Probable</t>
        </is>
      </c>
      <c r="N77" s="15" t="inlineStr">
        <is>
          <t xml:space="preserve">Judges</t>
        </is>
      </c>
      <c r="O77" s="15"/>
      <c r="P77" s="15" t="inlineStr">
        <is>
          <t xml:space="preserve">Primary account</t>
        </is>
      </c>
      <c r="Q77" s="15" t="inlineStr">
        <is>
          <t xml:space="preserve">SRC-TEXT-JUDGES; SRC-DET-HISTORY</t>
        </is>
      </c>
      <c r="R77" s="11" t="inlineStr">
        <is>
          <t xml:space="preserve">Needs Review</t>
        </is>
      </c>
      <c r="S77" s="15" t="inlineStr">
        <is>
          <t xml:space="preserve">Canonical spine reading block for Gibeah and the civil war.</t>
        </is>
      </c>
    </row>
    <row r="78" ht="34" customHeight="1">
      <c r="A78" s="15" t="inlineStr">
        <is>
          <t xml:space="preserve">v0.1</t>
        </is>
      </c>
      <c r="B78" s="15" t="inlineStr">
        <is>
          <t xml:space="preserve">Bible_Journey_Canon_Map_v0_1_Genesis_to_2Samuel.xlsx</t>
        </is>
      </c>
      <c r="C78" s="15" t="inlineStr">
        <is>
          <t xml:space="preserve">BLK-RUT-001-01</t>
        </is>
      </c>
      <c r="D78" s="15" t="inlineStr">
        <is>
          <t xml:space="preserve">CRS-RUT-001</t>
        </is>
      </c>
      <c r="E78" s="15">
        <v>1</v>
      </c>
      <c r="F78" s="15" t="inlineStr">
        <is>
          <t xml:space="preserve">Ruth</t>
        </is>
      </c>
      <c r="G78" s="15" t="inlineStr">
        <is>
          <t xml:space="preserve">1-4</t>
        </is>
      </c>
      <c r="H78" s="15" t="inlineStr">
        <is>
          <t xml:space="preserve">Primary Account</t>
        </is>
      </c>
      <c r="I78" s="15" t="inlineStr">
        <is>
          <t xml:space="preserve">Yes</t>
        </is>
      </c>
      <c r="J78" s="15" t="inlineStr">
        <is>
          <t xml:space="preserve">Yes</t>
        </is>
      </c>
      <c r="K78" s="15" t="inlineStr">
        <is>
          <t xml:space="preserve">Yes</t>
        </is>
      </c>
      <c r="L78" s="15" t="inlineStr">
        <is>
          <t xml:space="preserve">High</t>
        </is>
      </c>
      <c r="M78" s="15" t="inlineStr">
        <is>
          <t xml:space="preserve">Probable</t>
        </is>
      </c>
      <c r="N78" s="15" t="inlineStr">
        <is>
          <t xml:space="preserve">Ruth</t>
        </is>
      </c>
      <c r="O78" s="15"/>
      <c r="P78" s="15" t="inlineStr">
        <is>
          <t xml:space="preserve">Primary account</t>
        </is>
      </c>
      <c r="Q78" s="15" t="inlineStr">
        <is>
          <t xml:space="preserve">SRC-TEXT-RUTH</t>
        </is>
      </c>
      <c r="R78" s="11" t="inlineStr">
        <is>
          <t xml:space="preserve">Needs Review</t>
        </is>
      </c>
      <c r="S78" s="15" t="inlineStr">
        <is>
          <t xml:space="preserve">Canonical spine reading block for Ruth, Naomi, Boaz, and the Davidic line.</t>
        </is>
      </c>
    </row>
    <row r="79" ht="34" customHeight="1">
      <c r="A79" s="15" t="inlineStr">
        <is>
          <t xml:space="preserve">v0.1</t>
        </is>
      </c>
      <c r="B79" s="15" t="inlineStr">
        <is>
          <t xml:space="preserve">Bible_Journey_Canon_Map_v0_1_Genesis_to_2Samuel.xlsx</t>
        </is>
      </c>
      <c r="C79" s="15" t="inlineStr">
        <is>
          <t xml:space="preserve">BLK-1SA-001-01</t>
        </is>
      </c>
      <c r="D79" s="15" t="inlineStr">
        <is>
          <t xml:space="preserve">CRS-1SA-001</t>
        </is>
      </c>
      <c r="E79" s="15">
        <v>1</v>
      </c>
      <c r="F79" s="15" t="inlineStr">
        <is>
          <t xml:space="preserve">1 Samuel</t>
        </is>
      </c>
      <c r="G79" s="15" t="inlineStr">
        <is>
          <t xml:space="preserve">1-3</t>
        </is>
      </c>
      <c r="H79" s="15" t="inlineStr">
        <is>
          <t xml:space="preserve">Primary Account</t>
        </is>
      </c>
      <c r="I79" s="15" t="inlineStr">
        <is>
          <t xml:space="preserve">Yes</t>
        </is>
      </c>
      <c r="J79" s="15" t="inlineStr">
        <is>
          <t xml:space="preserve">Yes</t>
        </is>
      </c>
      <c r="K79" s="15" t="inlineStr">
        <is>
          <t xml:space="preserve">Yes</t>
        </is>
      </c>
      <c r="L79" s="15" t="inlineStr">
        <is>
          <t xml:space="preserve">High</t>
        </is>
      </c>
      <c r="M79" s="15" t="inlineStr">
        <is>
          <t xml:space="preserve">High</t>
        </is>
      </c>
      <c r="N79" s="15" t="inlineStr">
        <is>
          <t xml:space="preserve">1 Samuel</t>
        </is>
      </c>
      <c r="O79" s="15"/>
      <c r="P79" s="15" t="inlineStr">
        <is>
          <t xml:space="preserve">Primary account</t>
        </is>
      </c>
      <c r="Q79" s="15" t="inlineStr">
        <is>
          <t xml:space="preserve">SRC-TEXT-1SAM; SRC-SAMUEL-OVERVIEW; SRC-DAVID-OVERVIEW</t>
        </is>
      </c>
      <c r="R79" s="11" t="inlineStr">
        <is>
          <t xml:space="preserve">Needs Review</t>
        </is>
      </c>
      <c r="S79" s="15" t="inlineStr">
        <is>
          <t xml:space="preserve">Canonical spine reading block for Samuel's birth, dedication, and call.</t>
        </is>
      </c>
    </row>
    <row r="80" ht="34" customHeight="1">
      <c r="A80" s="15" t="inlineStr">
        <is>
          <t xml:space="preserve">v0.1</t>
        </is>
      </c>
      <c r="B80" s="15" t="inlineStr">
        <is>
          <t xml:space="preserve">Bible_Journey_Canon_Map_v0_1_Genesis_to_2Samuel.xlsx</t>
        </is>
      </c>
      <c r="C80" s="15" t="inlineStr">
        <is>
          <t xml:space="preserve">BLK-1SA-002-01</t>
        </is>
      </c>
      <c r="D80" s="15" t="inlineStr">
        <is>
          <t xml:space="preserve">CRS-1SA-002</t>
        </is>
      </c>
      <c r="E80" s="15">
        <v>1</v>
      </c>
      <c r="F80" s="15" t="inlineStr">
        <is>
          <t xml:space="preserve">1 Samuel</t>
        </is>
      </c>
      <c r="G80" s="15" t="inlineStr">
        <is>
          <t xml:space="preserve">4-7</t>
        </is>
      </c>
      <c r="H80" s="15" t="inlineStr">
        <is>
          <t xml:space="preserve">Primary Account</t>
        </is>
      </c>
      <c r="I80" s="15" t="inlineStr">
        <is>
          <t xml:space="preserve">Yes</t>
        </is>
      </c>
      <c r="J80" s="15" t="inlineStr">
        <is>
          <t xml:space="preserve">Yes</t>
        </is>
      </c>
      <c r="K80" s="15" t="inlineStr">
        <is>
          <t xml:space="preserve">Yes</t>
        </is>
      </c>
      <c r="L80" s="15" t="inlineStr">
        <is>
          <t xml:space="preserve">High</t>
        </is>
      </c>
      <c r="M80" s="15" t="inlineStr">
        <is>
          <t xml:space="preserve">High</t>
        </is>
      </c>
      <c r="N80" s="15" t="inlineStr">
        <is>
          <t xml:space="preserve">1 Samuel</t>
        </is>
      </c>
      <c r="O80" s="15"/>
      <c r="P80" s="15" t="inlineStr">
        <is>
          <t xml:space="preserve">Primary account</t>
        </is>
      </c>
      <c r="Q80" s="15" t="inlineStr">
        <is>
          <t xml:space="preserve">SRC-TEXT-1SAM; SRC-SAMUEL-OVERVIEW; SRC-DAVID-OVERVIEW</t>
        </is>
      </c>
      <c r="R80" s="11" t="inlineStr">
        <is>
          <t xml:space="preserve">Needs Review</t>
        </is>
      </c>
      <c r="S80" s="15" t="inlineStr">
        <is>
          <t xml:space="preserve">Canonical spine reading block for The ark captured, returned, and restored.</t>
        </is>
      </c>
    </row>
    <row r="81" ht="34" customHeight="1">
      <c r="A81" s="15" t="inlineStr">
        <is>
          <t xml:space="preserve">v0.1</t>
        </is>
      </c>
      <c r="B81" s="15" t="inlineStr">
        <is>
          <t xml:space="preserve">Bible_Journey_Canon_Map_v0_1_Genesis_to_2Samuel.xlsx</t>
        </is>
      </c>
      <c r="C81" s="15" t="inlineStr">
        <is>
          <t xml:space="preserve">BLK-1SA-003-01</t>
        </is>
      </c>
      <c r="D81" s="15" t="inlineStr">
        <is>
          <t xml:space="preserve">CRS-1SA-003</t>
        </is>
      </c>
      <c r="E81" s="15">
        <v>1</v>
      </c>
      <c r="F81" s="15" t="inlineStr">
        <is>
          <t xml:space="preserve">1 Samuel</t>
        </is>
      </c>
      <c r="G81" s="15" t="inlineStr">
        <is>
          <t xml:space="preserve">8-10</t>
        </is>
      </c>
      <c r="H81" s="15" t="inlineStr">
        <is>
          <t xml:space="preserve">Primary Account</t>
        </is>
      </c>
      <c r="I81" s="15" t="inlineStr">
        <is>
          <t xml:space="preserve">Yes</t>
        </is>
      </c>
      <c r="J81" s="15" t="inlineStr">
        <is>
          <t xml:space="preserve">Yes</t>
        </is>
      </c>
      <c r="K81" s="15" t="inlineStr">
        <is>
          <t xml:space="preserve">Yes</t>
        </is>
      </c>
      <c r="L81" s="15" t="inlineStr">
        <is>
          <t xml:space="preserve">High</t>
        </is>
      </c>
      <c r="M81" s="15" t="inlineStr">
        <is>
          <t xml:space="preserve">High</t>
        </is>
      </c>
      <c r="N81" s="15" t="inlineStr">
        <is>
          <t xml:space="preserve">1 Samuel</t>
        </is>
      </c>
      <c r="O81" s="15"/>
      <c r="P81" s="15" t="inlineStr">
        <is>
          <t xml:space="preserve">Primary account</t>
        </is>
      </c>
      <c r="Q81" s="15" t="inlineStr">
        <is>
          <t xml:space="preserve">SRC-TEXT-1SAM; SRC-SAMUEL-OVERVIEW; SRC-DAVID-OVERVIEW</t>
        </is>
      </c>
      <c r="R81" s="11" t="inlineStr">
        <is>
          <t xml:space="preserve">Needs Review</t>
        </is>
      </c>
      <c r="S81" s="15" t="inlineStr">
        <is>
          <t xml:space="preserve">Canonical spine reading block for Israel asks for a king and Saul is chosen.</t>
        </is>
      </c>
    </row>
    <row r="82" ht="34" customHeight="1">
      <c r="A82" s="15" t="inlineStr">
        <is>
          <t xml:space="preserve">v0.1</t>
        </is>
      </c>
      <c r="B82" s="15" t="inlineStr">
        <is>
          <t xml:space="preserve">Bible_Journey_Canon_Map_v0_1_Genesis_to_2Samuel.xlsx</t>
        </is>
      </c>
      <c r="C82" s="15" t="inlineStr">
        <is>
          <t xml:space="preserve">BLK-1SA-004-01</t>
        </is>
      </c>
      <c r="D82" s="15" t="inlineStr">
        <is>
          <t xml:space="preserve">CRS-1SA-004</t>
        </is>
      </c>
      <c r="E82" s="15">
        <v>1</v>
      </c>
      <c r="F82" s="15" t="inlineStr">
        <is>
          <t xml:space="preserve">1 Samuel</t>
        </is>
      </c>
      <c r="G82" s="15" t="inlineStr">
        <is>
          <t xml:space="preserve">11-12</t>
        </is>
      </c>
      <c r="H82" s="15" t="inlineStr">
        <is>
          <t xml:space="preserve">Primary Account</t>
        </is>
      </c>
      <c r="I82" s="15" t="inlineStr">
        <is>
          <t xml:space="preserve">Yes</t>
        </is>
      </c>
      <c r="J82" s="15" t="inlineStr">
        <is>
          <t xml:space="preserve">Yes</t>
        </is>
      </c>
      <c r="K82" s="15" t="inlineStr">
        <is>
          <t xml:space="preserve">Yes</t>
        </is>
      </c>
      <c r="L82" s="15" t="inlineStr">
        <is>
          <t xml:space="preserve">High</t>
        </is>
      </c>
      <c r="M82" s="15" t="inlineStr">
        <is>
          <t xml:space="preserve">High</t>
        </is>
      </c>
      <c r="N82" s="15" t="inlineStr">
        <is>
          <t xml:space="preserve">1 Samuel</t>
        </is>
      </c>
      <c r="O82" s="15"/>
      <c r="P82" s="15" t="inlineStr">
        <is>
          <t xml:space="preserve">Primary account</t>
        </is>
      </c>
      <c r="Q82" s="15" t="inlineStr">
        <is>
          <t xml:space="preserve">SRC-TEXT-1SAM; SRC-SAMUEL-OVERVIEW; SRC-DAVID-OVERVIEW</t>
        </is>
      </c>
      <c r="R82" s="11" t="inlineStr">
        <is>
          <t xml:space="preserve">Needs Review</t>
        </is>
      </c>
      <c r="S82" s="15" t="inlineStr">
        <is>
          <t xml:space="preserve">Canonical spine reading block for Saul delivers Jabesh and the kingdom is renewed.</t>
        </is>
      </c>
    </row>
    <row r="83" ht="34" customHeight="1">
      <c r="A83" s="15" t="inlineStr">
        <is>
          <t xml:space="preserve">v0.1</t>
        </is>
      </c>
      <c r="B83" s="15" t="inlineStr">
        <is>
          <t xml:space="preserve">Bible_Journey_Canon_Map_v0_1_Genesis_to_2Samuel.xlsx</t>
        </is>
      </c>
      <c r="C83" s="15" t="inlineStr">
        <is>
          <t xml:space="preserve">BLK-1SA-005-01</t>
        </is>
      </c>
      <c r="D83" s="15" t="inlineStr">
        <is>
          <t xml:space="preserve">CRS-1SA-005</t>
        </is>
      </c>
      <c r="E83" s="15">
        <v>1</v>
      </c>
      <c r="F83" s="15" t="inlineStr">
        <is>
          <t xml:space="preserve">1 Samuel</t>
        </is>
      </c>
      <c r="G83" s="15" t="inlineStr">
        <is>
          <t xml:space="preserve">13-15</t>
        </is>
      </c>
      <c r="H83" s="15" t="inlineStr">
        <is>
          <t xml:space="preserve">Primary Account</t>
        </is>
      </c>
      <c r="I83" s="15" t="inlineStr">
        <is>
          <t xml:space="preserve">Yes</t>
        </is>
      </c>
      <c r="J83" s="15" t="inlineStr">
        <is>
          <t xml:space="preserve">Yes</t>
        </is>
      </c>
      <c r="K83" s="15" t="inlineStr">
        <is>
          <t xml:space="preserve">Yes</t>
        </is>
      </c>
      <c r="L83" s="15" t="inlineStr">
        <is>
          <t xml:space="preserve">High</t>
        </is>
      </c>
      <c r="M83" s="15" t="inlineStr">
        <is>
          <t xml:space="preserve">High</t>
        </is>
      </c>
      <c r="N83" s="15" t="inlineStr">
        <is>
          <t xml:space="preserve">1 Samuel</t>
        </is>
      </c>
      <c r="O83" s="15"/>
      <c r="P83" s="15" t="inlineStr">
        <is>
          <t xml:space="preserve">Primary account</t>
        </is>
      </c>
      <c r="Q83" s="15" t="inlineStr">
        <is>
          <t xml:space="preserve">SRC-TEXT-1SAM; SRC-SAMUEL-OVERVIEW; SRC-DAVID-OVERVIEW</t>
        </is>
      </c>
      <c r="R83" s="11" t="inlineStr">
        <is>
          <t xml:space="preserve">Needs Review</t>
        </is>
      </c>
      <c r="S83" s="15" t="inlineStr">
        <is>
          <t xml:space="preserve">Canonical spine reading block for Saul's early reign and rejection.</t>
        </is>
      </c>
    </row>
    <row r="84" ht="34" customHeight="1">
      <c r="A84" s="15" t="inlineStr">
        <is>
          <t xml:space="preserve">v0.1</t>
        </is>
      </c>
      <c r="B84" s="15" t="inlineStr">
        <is>
          <t xml:space="preserve">Bible_Journey_Canon_Map_v0_1_Genesis_to_2Samuel.xlsx</t>
        </is>
      </c>
      <c r="C84" s="15" t="inlineStr">
        <is>
          <t xml:space="preserve">BLK-1SA-006-01</t>
        </is>
      </c>
      <c r="D84" s="15" t="inlineStr">
        <is>
          <t xml:space="preserve">CRS-1SA-006</t>
        </is>
      </c>
      <c r="E84" s="15">
        <v>1</v>
      </c>
      <c r="F84" s="15" t="inlineStr">
        <is>
          <t xml:space="preserve">1 Samuel</t>
        </is>
      </c>
      <c r="G84" s="15" t="inlineStr">
        <is>
          <t xml:space="preserve">16</t>
        </is>
      </c>
      <c r="H84" s="15" t="inlineStr">
        <is>
          <t xml:space="preserve">Primary Account</t>
        </is>
      </c>
      <c r="I84" s="15" t="inlineStr">
        <is>
          <t xml:space="preserve">Yes</t>
        </is>
      </c>
      <c r="J84" s="15" t="inlineStr">
        <is>
          <t xml:space="preserve">Yes</t>
        </is>
      </c>
      <c r="K84" s="15" t="inlineStr">
        <is>
          <t xml:space="preserve">Yes</t>
        </is>
      </c>
      <c r="L84" s="15" t="inlineStr">
        <is>
          <t xml:space="preserve">High</t>
        </is>
      </c>
      <c r="M84" s="15" t="inlineStr">
        <is>
          <t xml:space="preserve">Probable</t>
        </is>
      </c>
      <c r="N84" s="15" t="inlineStr">
        <is>
          <t xml:space="preserve">1 Samuel</t>
        </is>
      </c>
      <c r="O84" s="15"/>
      <c r="P84" s="15" t="inlineStr">
        <is>
          <t xml:space="preserve">Primary account</t>
        </is>
      </c>
      <c r="Q84" s="15" t="inlineStr">
        <is>
          <t xml:space="preserve">SRC-TEXT-1SAM; SRC-SAMUEL-OVERVIEW; SRC-DAVID-OVERVIEW</t>
        </is>
      </c>
      <c r="R84" s="11" t="inlineStr">
        <is>
          <t xml:space="preserve">Needs Review</t>
        </is>
      </c>
      <c r="S84" s="15" t="inlineStr">
        <is>
          <t xml:space="preserve">Canonical spine reading block for David anointed and enters Saul's service.</t>
        </is>
      </c>
    </row>
    <row r="85" ht="34" customHeight="1">
      <c r="A85" s="15" t="inlineStr">
        <is>
          <t xml:space="preserve">v0.1</t>
        </is>
      </c>
      <c r="B85" s="15" t="inlineStr">
        <is>
          <t xml:space="preserve">Bible_Journey_Canon_Map_v0_1_Genesis_to_2Samuel.xlsx</t>
        </is>
      </c>
      <c r="C85" s="15" t="inlineStr">
        <is>
          <t xml:space="preserve">BLK-1SA-007-01</t>
        </is>
      </c>
      <c r="D85" s="15" t="inlineStr">
        <is>
          <t xml:space="preserve">CRS-1SA-007</t>
        </is>
      </c>
      <c r="E85" s="15">
        <v>1</v>
      </c>
      <c r="F85" s="15" t="inlineStr">
        <is>
          <t xml:space="preserve">1 Samuel</t>
        </is>
      </c>
      <c r="G85" s="15" t="inlineStr">
        <is>
          <t xml:space="preserve">17</t>
        </is>
      </c>
      <c r="H85" s="15" t="inlineStr">
        <is>
          <t xml:space="preserve">Primary Account</t>
        </is>
      </c>
      <c r="I85" s="15" t="inlineStr">
        <is>
          <t xml:space="preserve">Yes</t>
        </is>
      </c>
      <c r="J85" s="15" t="inlineStr">
        <is>
          <t xml:space="preserve">Yes</t>
        </is>
      </c>
      <c r="K85" s="15" t="inlineStr">
        <is>
          <t xml:space="preserve">Yes</t>
        </is>
      </c>
      <c r="L85" s="15" t="inlineStr">
        <is>
          <t xml:space="preserve">High</t>
        </is>
      </c>
      <c r="M85" s="15" t="inlineStr">
        <is>
          <t xml:space="preserve">Probable</t>
        </is>
      </c>
      <c r="N85" s="15" t="inlineStr">
        <is>
          <t xml:space="preserve">1 Samuel</t>
        </is>
      </c>
      <c r="O85" s="15"/>
      <c r="P85" s="15" t="inlineStr">
        <is>
          <t xml:space="preserve">Primary account</t>
        </is>
      </c>
      <c r="Q85" s="15" t="inlineStr">
        <is>
          <t xml:space="preserve">SRC-TEXT-1SAM; SRC-SAMUEL-OVERVIEW; SRC-DAVID-OVERVIEW</t>
        </is>
      </c>
      <c r="R85" s="11" t="inlineStr">
        <is>
          <t xml:space="preserve">Needs Review</t>
        </is>
      </c>
      <c r="S85" s="15" t="inlineStr">
        <is>
          <t xml:space="preserve">Canonical spine reading block for David and Goliath.</t>
        </is>
      </c>
    </row>
    <row r="86" ht="34" customHeight="1">
      <c r="A86" s="15" t="inlineStr">
        <is>
          <t xml:space="preserve">v0.1</t>
        </is>
      </c>
      <c r="B86" s="15" t="inlineStr">
        <is>
          <t xml:space="preserve">Bible_Journey_Canon_Map_v0_1_Genesis_to_2Samuel.xlsx</t>
        </is>
      </c>
      <c r="C86" s="15" t="inlineStr">
        <is>
          <t xml:space="preserve">BLK-1SA-008-01</t>
        </is>
      </c>
      <c r="D86" s="15" t="inlineStr">
        <is>
          <t xml:space="preserve">CRS-1SA-008</t>
        </is>
      </c>
      <c r="E86" s="15">
        <v>1</v>
      </c>
      <c r="F86" s="15" t="inlineStr">
        <is>
          <t xml:space="preserve">1 Samuel</t>
        </is>
      </c>
      <c r="G86" s="15" t="inlineStr">
        <is>
          <t xml:space="preserve">18</t>
        </is>
      </c>
      <c r="H86" s="15" t="inlineStr">
        <is>
          <t xml:space="preserve">Primary Account</t>
        </is>
      </c>
      <c r="I86" s="15" t="inlineStr">
        <is>
          <t xml:space="preserve">Yes</t>
        </is>
      </c>
      <c r="J86" s="15" t="inlineStr">
        <is>
          <t xml:space="preserve">Yes</t>
        </is>
      </c>
      <c r="K86" s="15" t="inlineStr">
        <is>
          <t xml:space="preserve">Yes</t>
        </is>
      </c>
      <c r="L86" s="15" t="inlineStr">
        <is>
          <t xml:space="preserve">High</t>
        </is>
      </c>
      <c r="M86" s="15" t="inlineStr">
        <is>
          <t xml:space="preserve">Probable</t>
        </is>
      </c>
      <c r="N86" s="15" t="inlineStr">
        <is>
          <t xml:space="preserve">1 Samuel</t>
        </is>
      </c>
      <c r="O86" s="15"/>
      <c r="P86" s="15" t="inlineStr">
        <is>
          <t xml:space="preserve">Primary account</t>
        </is>
      </c>
      <c r="Q86" s="15" t="inlineStr">
        <is>
          <t xml:space="preserve">SRC-TEXT-1SAM; SRC-SAMUEL-OVERVIEW; SRC-DAVID-OVERVIEW</t>
        </is>
      </c>
      <c r="R86" s="11" t="inlineStr">
        <is>
          <t xml:space="preserve">Needs Review</t>
        </is>
      </c>
      <c r="S86" s="15" t="inlineStr">
        <is>
          <t xml:space="preserve">Canonical spine reading block for David in Saul's court and covenant with Jonathan.</t>
        </is>
      </c>
    </row>
    <row r="87" ht="34" customHeight="1">
      <c r="A87" s="15" t="inlineStr">
        <is>
          <t xml:space="preserve">v0.1</t>
        </is>
      </c>
      <c r="B87" s="15" t="inlineStr">
        <is>
          <t xml:space="preserve">Bible_Journey_Canon_Map_v0_1_Genesis_to_2Samuel.xlsx</t>
        </is>
      </c>
      <c r="C87" s="15" t="inlineStr">
        <is>
          <t xml:space="preserve">BLK-1SA-009-01</t>
        </is>
      </c>
      <c r="D87" s="15" t="inlineStr">
        <is>
          <t xml:space="preserve">CRS-1SA-009</t>
        </is>
      </c>
      <c r="E87" s="15">
        <v>1</v>
      </c>
      <c r="F87" s="15" t="inlineStr">
        <is>
          <t xml:space="preserve">1 Samuel</t>
        </is>
      </c>
      <c r="G87" s="15" t="inlineStr">
        <is>
          <t xml:space="preserve">19</t>
        </is>
      </c>
      <c r="H87" s="15" t="inlineStr">
        <is>
          <t xml:space="preserve">Primary Account</t>
        </is>
      </c>
      <c r="I87" s="15" t="inlineStr">
        <is>
          <t xml:space="preserve">Yes</t>
        </is>
      </c>
      <c r="J87" s="15" t="inlineStr">
        <is>
          <t xml:space="preserve">Yes</t>
        </is>
      </c>
      <c r="K87" s="15" t="inlineStr">
        <is>
          <t xml:space="preserve">Yes</t>
        </is>
      </c>
      <c r="L87" s="15" t="inlineStr">
        <is>
          <t xml:space="preserve">High</t>
        </is>
      </c>
      <c r="M87" s="15" t="inlineStr">
        <is>
          <t xml:space="preserve">Probable</t>
        </is>
      </c>
      <c r="N87" s="15" t="inlineStr">
        <is>
          <t xml:space="preserve">1 Samuel</t>
        </is>
      </c>
      <c r="O87" s="15"/>
      <c r="P87" s="15" t="inlineStr">
        <is>
          <t xml:space="preserve">Primary account</t>
        </is>
      </c>
      <c r="Q87" s="15" t="inlineStr">
        <is>
          <t xml:space="preserve">SRC-TEXT-1SAM; SRC-SAMUEL-OVERVIEW; SRC-DAVID-OVERVIEW</t>
        </is>
      </c>
      <c r="R87" s="11" t="inlineStr">
        <is>
          <t xml:space="preserve">Needs Review</t>
        </is>
      </c>
      <c r="S87" s="15" t="inlineStr">
        <is>
          <t xml:space="preserve">Canonical spine reading block for David escapes Saul's first pursuit.</t>
        </is>
      </c>
    </row>
    <row r="88" ht="34" customHeight="1">
      <c r="A88" s="15" t="inlineStr">
        <is>
          <t xml:space="preserve">v0.1</t>
        </is>
      </c>
      <c r="B88" s="15" t="inlineStr">
        <is>
          <t xml:space="preserve">Bible_Journey_Canon_Map_v0_1_Genesis_to_2Samuel.xlsx</t>
        </is>
      </c>
      <c r="C88" s="15" t="inlineStr">
        <is>
          <t xml:space="preserve">BLK-1SA-009-02</t>
        </is>
      </c>
      <c r="D88" s="15" t="inlineStr">
        <is>
          <t xml:space="preserve">CRS-1SA-009</t>
        </is>
      </c>
      <c r="E88" s="15">
        <v>2</v>
      </c>
      <c r="F88" s="15" t="inlineStr">
        <is>
          <t xml:space="preserve">Psalms</t>
        </is>
      </c>
      <c r="G88" s="15" t="inlineStr">
        <is>
          <t xml:space="preserve">59</t>
        </is>
      </c>
      <c r="H88" s="15" t="inlineStr">
        <is>
          <t xml:space="preserve">Poetic Connection</t>
        </is>
      </c>
      <c r="I88" s="15" t="inlineStr">
        <is>
          <t xml:space="preserve">No</t>
        </is>
      </c>
      <c r="J88" s="15" t="inlineStr">
        <is>
          <t xml:space="preserve">Yes</t>
        </is>
      </c>
      <c r="K88" s="15" t="inlineStr">
        <is>
          <t xml:space="preserve">No</t>
        </is>
      </c>
      <c r="L88" s="15" t="inlineStr">
        <is>
          <t xml:space="preserve">Probable</t>
        </is>
      </c>
      <c r="M88" s="15" t="inlineStr">
        <is>
          <t xml:space="preserve">Probable</t>
        </is>
      </c>
      <c r="N88" s="15" t="inlineStr">
        <is>
          <t xml:space="preserve">Psalms</t>
        </is>
      </c>
      <c r="O88" s="15"/>
      <c r="P88" s="15" t="inlineStr">
        <is>
          <t xml:space="preserve">Possible psalm connection</t>
        </is>
      </c>
      <c r="Q88" s="15" t="inlineStr">
        <is>
          <t xml:space="preserve">SRC-TEXT-PSALMS; SRC-PSALM-SUPERSCRIPTIONS</t>
        </is>
      </c>
      <c r="R88" s="11" t="inlineStr">
        <is>
          <t xml:space="preserve">Needs Review</t>
        </is>
      </c>
      <c r="S88" s="15" t="inlineStr">
        <is>
          <t xml:space="preserve">Psalm 59's superscription links it to Saul's surveillance of David's house; keep the Psalm intact and label the connection as superscription-based.</t>
        </is>
      </c>
    </row>
    <row r="89" ht="34" customHeight="1">
      <c r="A89" s="15" t="inlineStr">
        <is>
          <t xml:space="preserve">v0.1</t>
        </is>
      </c>
      <c r="B89" s="15" t="inlineStr">
        <is>
          <t xml:space="preserve">Bible_Journey_Canon_Map_v0_1_Genesis_to_2Samuel.xlsx</t>
        </is>
      </c>
      <c r="C89" s="15" t="inlineStr">
        <is>
          <t xml:space="preserve">BLK-1SA-010-01</t>
        </is>
      </c>
      <c r="D89" s="15" t="inlineStr">
        <is>
          <t xml:space="preserve">CRS-1SA-010</t>
        </is>
      </c>
      <c r="E89" s="15">
        <v>1</v>
      </c>
      <c r="F89" s="15" t="inlineStr">
        <is>
          <t xml:space="preserve">1 Samuel</t>
        </is>
      </c>
      <c r="G89" s="15" t="inlineStr">
        <is>
          <t xml:space="preserve">20</t>
        </is>
      </c>
      <c r="H89" s="15" t="inlineStr">
        <is>
          <t xml:space="preserve">Primary Account</t>
        </is>
      </c>
      <c r="I89" s="15" t="inlineStr">
        <is>
          <t xml:space="preserve">Yes</t>
        </is>
      </c>
      <c r="J89" s="15" t="inlineStr">
        <is>
          <t xml:space="preserve">Yes</t>
        </is>
      </c>
      <c r="K89" s="15" t="inlineStr">
        <is>
          <t xml:space="preserve">Yes</t>
        </is>
      </c>
      <c r="L89" s="15" t="inlineStr">
        <is>
          <t xml:space="preserve">High</t>
        </is>
      </c>
      <c r="M89" s="15" t="inlineStr">
        <is>
          <t xml:space="preserve">Probable</t>
        </is>
      </c>
      <c r="N89" s="15" t="inlineStr">
        <is>
          <t xml:space="preserve">1 Samuel</t>
        </is>
      </c>
      <c r="O89" s="15"/>
      <c r="P89" s="15" t="inlineStr">
        <is>
          <t xml:space="preserve">Primary account</t>
        </is>
      </c>
      <c r="Q89" s="15" t="inlineStr">
        <is>
          <t xml:space="preserve">SRC-TEXT-1SAM; SRC-SAMUEL-OVERVIEW; SRC-DAVID-OVERVIEW</t>
        </is>
      </c>
      <c r="R89" s="11" t="inlineStr">
        <is>
          <t xml:space="preserve">Needs Review</t>
        </is>
      </c>
      <c r="S89" s="15" t="inlineStr">
        <is>
          <t xml:space="preserve">Canonical spine reading block for David and Jonathan's covenant renewed.</t>
        </is>
      </c>
    </row>
    <row r="90" ht="34" customHeight="1">
      <c r="A90" s="15" t="inlineStr">
        <is>
          <t xml:space="preserve">v0.1</t>
        </is>
      </c>
      <c r="B90" s="15" t="inlineStr">
        <is>
          <t xml:space="preserve">Bible_Journey_Canon_Map_v0_1_Genesis_to_2Samuel.xlsx</t>
        </is>
      </c>
      <c r="C90" s="15" t="inlineStr">
        <is>
          <t xml:space="preserve">BLK-1SA-011-01</t>
        </is>
      </c>
      <c r="D90" s="15" t="inlineStr">
        <is>
          <t xml:space="preserve">CRS-1SA-011</t>
        </is>
      </c>
      <c r="E90" s="15">
        <v>1</v>
      </c>
      <c r="F90" s="15" t="inlineStr">
        <is>
          <t xml:space="preserve">1 Samuel</t>
        </is>
      </c>
      <c r="G90" s="15" t="inlineStr">
        <is>
          <t xml:space="preserve">21</t>
        </is>
      </c>
      <c r="H90" s="15" t="inlineStr">
        <is>
          <t xml:space="preserve">Primary Account</t>
        </is>
      </c>
      <c r="I90" s="15" t="inlineStr">
        <is>
          <t xml:space="preserve">Yes</t>
        </is>
      </c>
      <c r="J90" s="15" t="inlineStr">
        <is>
          <t xml:space="preserve">Yes</t>
        </is>
      </c>
      <c r="K90" s="15" t="inlineStr">
        <is>
          <t xml:space="preserve">Yes</t>
        </is>
      </c>
      <c r="L90" s="15" t="inlineStr">
        <is>
          <t xml:space="preserve">High</t>
        </is>
      </c>
      <c r="M90" s="15" t="inlineStr">
        <is>
          <t xml:space="preserve">Probable</t>
        </is>
      </c>
      <c r="N90" s="15" t="inlineStr">
        <is>
          <t xml:space="preserve">1 Samuel</t>
        </is>
      </c>
      <c r="O90" s="15"/>
      <c r="P90" s="15" t="inlineStr">
        <is>
          <t xml:space="preserve">Primary account</t>
        </is>
      </c>
      <c r="Q90" s="15" t="inlineStr">
        <is>
          <t xml:space="preserve">SRC-TEXT-1SAM; SRC-SAMUEL-OVERVIEW; SRC-DAVID-OVERVIEW</t>
        </is>
      </c>
      <c r="R90" s="11" t="inlineStr">
        <is>
          <t xml:space="preserve">Needs Review</t>
        </is>
      </c>
      <c r="S90" s="15" t="inlineStr">
        <is>
          <t xml:space="preserve">Canonical spine reading block for David at Nob and Gath.</t>
        </is>
      </c>
    </row>
    <row r="91" ht="34" customHeight="1">
      <c r="A91" s="15" t="inlineStr">
        <is>
          <t xml:space="preserve">v0.1</t>
        </is>
      </c>
      <c r="B91" s="15" t="inlineStr">
        <is>
          <t xml:space="preserve">Bible_Journey_Canon_Map_v0_1_Genesis_to_2Samuel.xlsx</t>
        </is>
      </c>
      <c r="C91" s="15" t="inlineStr">
        <is>
          <t xml:space="preserve">BLK-1SA-011-02</t>
        </is>
      </c>
      <c r="D91" s="15" t="inlineStr">
        <is>
          <t xml:space="preserve">CRS-1SA-011</t>
        </is>
      </c>
      <c r="E91" s="15">
        <v>2</v>
      </c>
      <c r="F91" s="15" t="inlineStr">
        <is>
          <t xml:space="preserve">Psalms</t>
        </is>
      </c>
      <c r="G91" s="15" t="inlineStr">
        <is>
          <t xml:space="preserve">34</t>
        </is>
      </c>
      <c r="H91" s="15" t="inlineStr">
        <is>
          <t xml:space="preserve">Poetic Connection</t>
        </is>
      </c>
      <c r="I91" s="15" t="inlineStr">
        <is>
          <t xml:space="preserve">No</t>
        </is>
      </c>
      <c r="J91" s="15" t="inlineStr">
        <is>
          <t xml:space="preserve">Yes</t>
        </is>
      </c>
      <c r="K91" s="15" t="inlineStr">
        <is>
          <t xml:space="preserve">No</t>
        </is>
      </c>
      <c r="L91" s="15" t="inlineStr">
        <is>
          <t xml:space="preserve">Probable</t>
        </is>
      </c>
      <c r="M91" s="15" t="inlineStr">
        <is>
          <t xml:space="preserve">Probable</t>
        </is>
      </c>
      <c r="N91" s="15" t="inlineStr">
        <is>
          <t xml:space="preserve">Psalms</t>
        </is>
      </c>
      <c r="O91" s="15"/>
      <c r="P91" s="15" t="inlineStr">
        <is>
          <t xml:space="preserve">Superscription-linked psalm</t>
        </is>
      </c>
      <c r="Q91" s="15" t="inlineStr">
        <is>
          <t xml:space="preserve">SRC-TEXT-PSALMS; SRC-PSALM-SUPERSCRIPTIONS</t>
        </is>
      </c>
      <c r="R91" s="11" t="inlineStr">
        <is>
          <t xml:space="preserve">Needs Review</t>
        </is>
      </c>
      <c r="S91" s="15" t="inlineStr">
        <is>
          <t xml:space="preserve">Psalm 34's superscription associates the Psalm with David's escape before Abimelech/Achish. Maintain the identification as a traditional/superscription-based connection.</t>
        </is>
      </c>
    </row>
    <row r="92" ht="34" customHeight="1">
      <c r="A92" s="15" t="inlineStr">
        <is>
          <t xml:space="preserve">v0.1</t>
        </is>
      </c>
      <c r="B92" s="15" t="inlineStr">
        <is>
          <t xml:space="preserve">Bible_Journey_Canon_Map_v0_1_Genesis_to_2Samuel.xlsx</t>
        </is>
      </c>
      <c r="C92" s="15" t="inlineStr">
        <is>
          <t xml:space="preserve">BLK-1SA-012-01</t>
        </is>
      </c>
      <c r="D92" s="15" t="inlineStr">
        <is>
          <t xml:space="preserve">CRS-1SA-012</t>
        </is>
      </c>
      <c r="E92" s="15">
        <v>1</v>
      </c>
      <c r="F92" s="15" t="inlineStr">
        <is>
          <t xml:space="preserve">1 Samuel</t>
        </is>
      </c>
      <c r="G92" s="15" t="inlineStr">
        <is>
          <t xml:space="preserve">22</t>
        </is>
      </c>
      <c r="H92" s="15" t="inlineStr">
        <is>
          <t xml:space="preserve">Primary Account</t>
        </is>
      </c>
      <c r="I92" s="15" t="inlineStr">
        <is>
          <t xml:space="preserve">Yes</t>
        </is>
      </c>
      <c r="J92" s="15" t="inlineStr">
        <is>
          <t xml:space="preserve">Yes</t>
        </is>
      </c>
      <c r="K92" s="15" t="inlineStr">
        <is>
          <t xml:space="preserve">Yes</t>
        </is>
      </c>
      <c r="L92" s="15" t="inlineStr">
        <is>
          <t xml:space="preserve">High</t>
        </is>
      </c>
      <c r="M92" s="15" t="inlineStr">
        <is>
          <t xml:space="preserve">Probable</t>
        </is>
      </c>
      <c r="N92" s="15" t="inlineStr">
        <is>
          <t xml:space="preserve">1 Samuel</t>
        </is>
      </c>
      <c r="O92" s="15"/>
      <c r="P92" s="15" t="inlineStr">
        <is>
          <t xml:space="preserve">Primary account</t>
        </is>
      </c>
      <c r="Q92" s="15" t="inlineStr">
        <is>
          <t xml:space="preserve">SRC-TEXT-1SAM; SRC-SAMUEL-OVERVIEW; SRC-DAVID-OVERVIEW</t>
        </is>
      </c>
      <c r="R92" s="11" t="inlineStr">
        <is>
          <t xml:space="preserve">Needs Review</t>
        </is>
      </c>
      <c r="S92" s="15" t="inlineStr">
        <is>
          <t xml:space="preserve">Canonical spine reading block for Adullam, the priests of Nob, and Doeg.</t>
        </is>
      </c>
    </row>
    <row r="93" ht="34" customHeight="1">
      <c r="A93" s="15" t="inlineStr">
        <is>
          <t xml:space="preserve">v0.1</t>
        </is>
      </c>
      <c r="B93" s="15" t="inlineStr">
        <is>
          <t xml:space="preserve">Bible_Journey_Canon_Map_v0_1_Genesis_to_2Samuel.xlsx</t>
        </is>
      </c>
      <c r="C93" s="15" t="inlineStr">
        <is>
          <t xml:space="preserve">BLK-1SA-012-02</t>
        </is>
      </c>
      <c r="D93" s="15" t="inlineStr">
        <is>
          <t xml:space="preserve">CRS-1SA-012</t>
        </is>
      </c>
      <c r="E93" s="15">
        <v>2</v>
      </c>
      <c r="F93" s="15" t="inlineStr">
        <is>
          <t xml:space="preserve">Psalms</t>
        </is>
      </c>
      <c r="G93" s="15" t="inlineStr">
        <is>
          <t xml:space="preserve">52</t>
        </is>
      </c>
      <c r="H93" s="15" t="inlineStr">
        <is>
          <t xml:space="preserve">Poetic Connection</t>
        </is>
      </c>
      <c r="I93" s="15" t="inlineStr">
        <is>
          <t xml:space="preserve">No</t>
        </is>
      </c>
      <c r="J93" s="15" t="inlineStr">
        <is>
          <t xml:space="preserve">Yes</t>
        </is>
      </c>
      <c r="K93" s="15" t="inlineStr">
        <is>
          <t xml:space="preserve">No</t>
        </is>
      </c>
      <c r="L93" s="15" t="inlineStr">
        <is>
          <t xml:space="preserve">Probable</t>
        </is>
      </c>
      <c r="M93" s="15" t="inlineStr">
        <is>
          <t xml:space="preserve">Probable</t>
        </is>
      </c>
      <c r="N93" s="15" t="inlineStr">
        <is>
          <t xml:space="preserve">Psalms</t>
        </is>
      </c>
      <c r="O93" s="15"/>
      <c r="P93" s="15" t="inlineStr">
        <is>
          <t xml:space="preserve">Superscription-linked psalm</t>
        </is>
      </c>
      <c r="Q93" s="15" t="inlineStr">
        <is>
          <t xml:space="preserve">SRC-TEXT-PSALMS; SRC-PSALM-SUPERSCRIPTIONS</t>
        </is>
      </c>
      <c r="R93" s="11" t="inlineStr">
        <is>
          <t xml:space="preserve">Needs Review</t>
        </is>
      </c>
      <c r="S93" s="15" t="inlineStr">
        <is>
          <t xml:space="preserve">Psalm 52's superscription associates the Psalm with Doeg's report to Saul. Keep it intact; label the association as superscription-based.</t>
        </is>
      </c>
    </row>
    <row r="94" ht="34" customHeight="1">
      <c r="A94" s="15" t="inlineStr">
        <is>
          <t xml:space="preserve">v0.1</t>
        </is>
      </c>
      <c r="B94" s="15" t="inlineStr">
        <is>
          <t xml:space="preserve">Bible_Journey_Canon_Map_v0_1_Genesis_to_2Samuel.xlsx</t>
        </is>
      </c>
      <c r="C94" s="15" t="inlineStr">
        <is>
          <t xml:space="preserve">BLK-1SA-013-01</t>
        </is>
      </c>
      <c r="D94" s="15" t="inlineStr">
        <is>
          <t xml:space="preserve">CRS-1SA-013</t>
        </is>
      </c>
      <c r="E94" s="15">
        <v>1</v>
      </c>
      <c r="F94" s="15" t="inlineStr">
        <is>
          <t xml:space="preserve">1 Samuel</t>
        </is>
      </c>
      <c r="G94" s="15" t="inlineStr">
        <is>
          <t xml:space="preserve">23</t>
        </is>
      </c>
      <c r="H94" s="15" t="inlineStr">
        <is>
          <t xml:space="preserve">Primary Account</t>
        </is>
      </c>
      <c r="I94" s="15" t="inlineStr">
        <is>
          <t xml:space="preserve">Yes</t>
        </is>
      </c>
      <c r="J94" s="15" t="inlineStr">
        <is>
          <t xml:space="preserve">Yes</t>
        </is>
      </c>
      <c r="K94" s="15" t="inlineStr">
        <is>
          <t xml:space="preserve">Yes</t>
        </is>
      </c>
      <c r="L94" s="15" t="inlineStr">
        <is>
          <t xml:space="preserve">High</t>
        </is>
      </c>
      <c r="M94" s="15" t="inlineStr">
        <is>
          <t xml:space="preserve">Probable</t>
        </is>
      </c>
      <c r="N94" s="15" t="inlineStr">
        <is>
          <t xml:space="preserve">1 Samuel</t>
        </is>
      </c>
      <c r="O94" s="15"/>
      <c r="P94" s="15" t="inlineStr">
        <is>
          <t xml:space="preserve">Primary account</t>
        </is>
      </c>
      <c r="Q94" s="15" t="inlineStr">
        <is>
          <t xml:space="preserve">SRC-TEXT-1SAM; SRC-SAMUEL-OVERVIEW; SRC-DAVID-OVERVIEW</t>
        </is>
      </c>
      <c r="R94" s="11" t="inlineStr">
        <is>
          <t xml:space="preserve">Needs Review</t>
        </is>
      </c>
      <c r="S94" s="15" t="inlineStr">
        <is>
          <t xml:space="preserve">Canonical spine reading block for Keilah, Ziph, and David's wilderness flight.</t>
        </is>
      </c>
    </row>
    <row r="95" ht="34" customHeight="1">
      <c r="A95" s="15" t="inlineStr">
        <is>
          <t xml:space="preserve">v0.1</t>
        </is>
      </c>
      <c r="B95" s="15" t="inlineStr">
        <is>
          <t xml:space="preserve">Bible_Journey_Canon_Map_v0_1_Genesis_to_2Samuel.xlsx</t>
        </is>
      </c>
      <c r="C95" s="15" t="inlineStr">
        <is>
          <t xml:space="preserve">BLK-1SA-013-02</t>
        </is>
      </c>
      <c r="D95" s="15" t="inlineStr">
        <is>
          <t xml:space="preserve">CRS-1SA-013</t>
        </is>
      </c>
      <c r="E95" s="15">
        <v>2</v>
      </c>
      <c r="F95" s="15" t="inlineStr">
        <is>
          <t xml:space="preserve">Psalms</t>
        </is>
      </c>
      <c r="G95" s="15" t="inlineStr">
        <is>
          <t xml:space="preserve">54</t>
        </is>
      </c>
      <c r="H95" s="15" t="inlineStr">
        <is>
          <t xml:space="preserve">Poetic Connection</t>
        </is>
      </c>
      <c r="I95" s="15" t="inlineStr">
        <is>
          <t xml:space="preserve">No</t>
        </is>
      </c>
      <c r="J95" s="15" t="inlineStr">
        <is>
          <t xml:space="preserve">Yes</t>
        </is>
      </c>
      <c r="K95" s="15" t="inlineStr">
        <is>
          <t xml:space="preserve">No</t>
        </is>
      </c>
      <c r="L95" s="15" t="inlineStr">
        <is>
          <t xml:space="preserve">Probable</t>
        </is>
      </c>
      <c r="M95" s="15" t="inlineStr">
        <is>
          <t xml:space="preserve">Probable</t>
        </is>
      </c>
      <c r="N95" s="15" t="inlineStr">
        <is>
          <t xml:space="preserve">Psalms</t>
        </is>
      </c>
      <c r="O95" s="15"/>
      <c r="P95" s="15" t="inlineStr">
        <is>
          <t xml:space="preserve">Superscription-linked psalm</t>
        </is>
      </c>
      <c r="Q95" s="15" t="inlineStr">
        <is>
          <t xml:space="preserve">SRC-TEXT-PSALMS; SRC-PSALM-SUPERSCRIPTIONS</t>
        </is>
      </c>
      <c r="R95" s="11" t="inlineStr">
        <is>
          <t xml:space="preserve">Needs Review</t>
        </is>
      </c>
      <c r="S95" s="15" t="inlineStr">
        <is>
          <t xml:space="preserve">Psalm 54's superscription associates the Psalm with the Ziphites' report. Maintain intact text and label as superscription-based.</t>
        </is>
      </c>
    </row>
    <row r="96" ht="34" customHeight="1">
      <c r="A96" s="15" t="inlineStr">
        <is>
          <t xml:space="preserve">v0.1</t>
        </is>
      </c>
      <c r="B96" s="15" t="inlineStr">
        <is>
          <t xml:space="preserve">Bible_Journey_Canon_Map_v0_1_Genesis_to_2Samuel.xlsx</t>
        </is>
      </c>
      <c r="C96" s="15" t="inlineStr">
        <is>
          <t xml:space="preserve">BLK-1SA-014-01</t>
        </is>
      </c>
      <c r="D96" s="15" t="inlineStr">
        <is>
          <t xml:space="preserve">CRS-1SA-014</t>
        </is>
      </c>
      <c r="E96" s="15">
        <v>1</v>
      </c>
      <c r="F96" s="15" t="inlineStr">
        <is>
          <t xml:space="preserve">1 Samuel</t>
        </is>
      </c>
      <c r="G96" s="15" t="inlineStr">
        <is>
          <t xml:space="preserve">24</t>
        </is>
      </c>
      <c r="H96" s="15" t="inlineStr">
        <is>
          <t xml:space="preserve">Primary Account</t>
        </is>
      </c>
      <c r="I96" s="15" t="inlineStr">
        <is>
          <t xml:space="preserve">Yes</t>
        </is>
      </c>
      <c r="J96" s="15" t="inlineStr">
        <is>
          <t xml:space="preserve">Yes</t>
        </is>
      </c>
      <c r="K96" s="15" t="inlineStr">
        <is>
          <t xml:space="preserve">Yes</t>
        </is>
      </c>
      <c r="L96" s="15" t="inlineStr">
        <is>
          <t xml:space="preserve">High</t>
        </is>
      </c>
      <c r="M96" s="15" t="inlineStr">
        <is>
          <t xml:space="preserve">Probable</t>
        </is>
      </c>
      <c r="N96" s="15" t="inlineStr">
        <is>
          <t xml:space="preserve">1 Samuel</t>
        </is>
      </c>
      <c r="O96" s="15"/>
      <c r="P96" s="15" t="inlineStr">
        <is>
          <t xml:space="preserve">Primary account</t>
        </is>
      </c>
      <c r="Q96" s="15" t="inlineStr">
        <is>
          <t xml:space="preserve">SRC-TEXT-1SAM; SRC-SAMUEL-OVERVIEW; SRC-DAVID-OVERVIEW</t>
        </is>
      </c>
      <c r="R96" s="11" t="inlineStr">
        <is>
          <t xml:space="preserve">Needs Review</t>
        </is>
      </c>
      <c r="S96" s="15" t="inlineStr">
        <is>
          <t xml:space="preserve">Canonical spine reading block for David spares Saul at En-gedi.</t>
        </is>
      </c>
    </row>
    <row r="97" ht="34" customHeight="1">
      <c r="A97" s="15" t="inlineStr">
        <is>
          <t xml:space="preserve">v0.1</t>
        </is>
      </c>
      <c r="B97" s="15" t="inlineStr">
        <is>
          <t xml:space="preserve">Bible_Journey_Canon_Map_v0_1_Genesis_to_2Samuel.xlsx</t>
        </is>
      </c>
      <c r="C97" s="15" t="inlineStr">
        <is>
          <t xml:space="preserve">BLK-1SA-014-02</t>
        </is>
      </c>
      <c r="D97" s="15" t="inlineStr">
        <is>
          <t xml:space="preserve">CRS-1SA-014</t>
        </is>
      </c>
      <c r="E97" s="15">
        <v>2</v>
      </c>
      <c r="F97" s="15" t="inlineStr">
        <is>
          <t xml:space="preserve">Psalms</t>
        </is>
      </c>
      <c r="G97" s="15" t="inlineStr">
        <is>
          <t xml:space="preserve">57</t>
        </is>
      </c>
      <c r="H97" s="15" t="inlineStr">
        <is>
          <t xml:space="preserve">Poetic Connection</t>
        </is>
      </c>
      <c r="I97" s="15" t="inlineStr">
        <is>
          <t xml:space="preserve">No</t>
        </is>
      </c>
      <c r="J97" s="15" t="inlineStr">
        <is>
          <t xml:space="preserve">Yes</t>
        </is>
      </c>
      <c r="K97" s="15" t="inlineStr">
        <is>
          <t xml:space="preserve">No</t>
        </is>
      </c>
      <c r="L97" s="15" t="inlineStr">
        <is>
          <t xml:space="preserve">Debated</t>
        </is>
      </c>
      <c r="M97" s="15" t="inlineStr">
        <is>
          <t xml:space="preserve">Debated</t>
        </is>
      </c>
      <c r="N97" s="15" t="inlineStr">
        <is>
          <t xml:space="preserve">Psalms</t>
        </is>
      </c>
      <c r="O97" s="15"/>
      <c r="P97" s="15" t="inlineStr">
        <is>
          <t xml:space="preserve">Possible cave psalm</t>
        </is>
      </c>
      <c r="Q97" s="15" t="inlineStr">
        <is>
          <t xml:space="preserve">SRC-TEXT-PSALMS; SRC-PSALM-SUPERSCRIPTIONS</t>
        </is>
      </c>
      <c r="R97" s="15" t="inlineStr">
        <is>
          <t xml:space="preserve">Pending</t>
        </is>
      </c>
      <c r="S97" s="15" t="inlineStr">
        <is>
          <t xml:space="preserve">Psalm 57's superscription mentions David fleeing Saul into a cave; the specific cave episode is not certain.</t>
        </is>
      </c>
    </row>
    <row r="98" ht="34" customHeight="1">
      <c r="A98" s="15" t="inlineStr">
        <is>
          <t xml:space="preserve">v0.1</t>
        </is>
      </c>
      <c r="B98" s="15" t="inlineStr">
        <is>
          <t xml:space="preserve">Bible_Journey_Canon_Map_v0_1_Genesis_to_2Samuel.xlsx</t>
        </is>
      </c>
      <c r="C98" s="15" t="inlineStr">
        <is>
          <t xml:space="preserve">BLK-1SA-014-03</t>
        </is>
      </c>
      <c r="D98" s="15" t="inlineStr">
        <is>
          <t xml:space="preserve">CRS-1SA-014</t>
        </is>
      </c>
      <c r="E98" s="15">
        <v>3</v>
      </c>
      <c r="F98" s="15" t="inlineStr">
        <is>
          <t xml:space="preserve">Psalms</t>
        </is>
      </c>
      <c r="G98" s="15" t="inlineStr">
        <is>
          <t xml:space="preserve">142</t>
        </is>
      </c>
      <c r="H98" s="15" t="inlineStr">
        <is>
          <t xml:space="preserve">Poetic Connection</t>
        </is>
      </c>
      <c r="I98" s="15" t="inlineStr">
        <is>
          <t xml:space="preserve">No</t>
        </is>
      </c>
      <c r="J98" s="15" t="inlineStr">
        <is>
          <t xml:space="preserve">Yes</t>
        </is>
      </c>
      <c r="K98" s="15" t="inlineStr">
        <is>
          <t xml:space="preserve">No</t>
        </is>
      </c>
      <c r="L98" s="15" t="inlineStr">
        <is>
          <t xml:space="preserve">Debated</t>
        </is>
      </c>
      <c r="M98" s="15" t="inlineStr">
        <is>
          <t xml:space="preserve">Debated</t>
        </is>
      </c>
      <c r="N98" s="15" t="inlineStr">
        <is>
          <t xml:space="preserve">Psalms</t>
        </is>
      </c>
      <c r="O98" s="15"/>
      <c r="P98" s="15" t="inlineStr">
        <is>
          <t xml:space="preserve">Possible cave psalm</t>
        </is>
      </c>
      <c r="Q98" s="15" t="inlineStr">
        <is>
          <t xml:space="preserve">SRC-TEXT-PSALMS; SRC-PSALM-SUPERSCRIPTIONS</t>
        </is>
      </c>
      <c r="R98" s="15" t="inlineStr">
        <is>
          <t xml:space="preserve">Pending</t>
        </is>
      </c>
      <c r="S98" s="15" t="inlineStr">
        <is>
          <t xml:space="preserve">Psalm 142's superscription mentions a cave; the precise narrative setting remains debated.</t>
        </is>
      </c>
    </row>
    <row r="99" ht="34" customHeight="1">
      <c r="A99" s="15" t="inlineStr">
        <is>
          <t xml:space="preserve">v0.1</t>
        </is>
      </c>
      <c r="B99" s="15" t="inlineStr">
        <is>
          <t xml:space="preserve">Bible_Journey_Canon_Map_v0_1_Genesis_to_2Samuel.xlsx</t>
        </is>
      </c>
      <c r="C99" s="15" t="inlineStr">
        <is>
          <t xml:space="preserve">BLK-1SA-015-01</t>
        </is>
      </c>
      <c r="D99" s="15" t="inlineStr">
        <is>
          <t xml:space="preserve">CRS-1SA-015</t>
        </is>
      </c>
      <c r="E99" s="15">
        <v>1</v>
      </c>
      <c r="F99" s="15" t="inlineStr">
        <is>
          <t xml:space="preserve">1 Samuel</t>
        </is>
      </c>
      <c r="G99" s="15" t="inlineStr">
        <is>
          <t xml:space="preserve">25</t>
        </is>
      </c>
      <c r="H99" s="15" t="inlineStr">
        <is>
          <t xml:space="preserve">Primary Account</t>
        </is>
      </c>
      <c r="I99" s="15" t="inlineStr">
        <is>
          <t xml:space="preserve">Yes</t>
        </is>
      </c>
      <c r="J99" s="15" t="inlineStr">
        <is>
          <t xml:space="preserve">Yes</t>
        </is>
      </c>
      <c r="K99" s="15" t="inlineStr">
        <is>
          <t xml:space="preserve">Yes</t>
        </is>
      </c>
      <c r="L99" s="15" t="inlineStr">
        <is>
          <t xml:space="preserve">High</t>
        </is>
      </c>
      <c r="M99" s="15" t="inlineStr">
        <is>
          <t xml:space="preserve">Probable</t>
        </is>
      </c>
      <c r="N99" s="15" t="inlineStr">
        <is>
          <t xml:space="preserve">1 Samuel</t>
        </is>
      </c>
      <c r="O99" s="15"/>
      <c r="P99" s="15" t="inlineStr">
        <is>
          <t xml:space="preserve">Primary account</t>
        </is>
      </c>
      <c r="Q99" s="15" t="inlineStr">
        <is>
          <t xml:space="preserve">SRC-TEXT-1SAM; SRC-SAMUEL-OVERVIEW; SRC-DAVID-OVERVIEW</t>
        </is>
      </c>
      <c r="R99" s="11" t="inlineStr">
        <is>
          <t xml:space="preserve">Needs Review</t>
        </is>
      </c>
      <c r="S99" s="15" t="inlineStr">
        <is>
          <t xml:space="preserve">Canonical spine reading block for Nabal, Abigail, and David's restraint.</t>
        </is>
      </c>
    </row>
    <row r="100" ht="34" customHeight="1">
      <c r="A100" s="15" t="inlineStr">
        <is>
          <t xml:space="preserve">v0.1</t>
        </is>
      </c>
      <c r="B100" s="15" t="inlineStr">
        <is>
          <t xml:space="preserve">Bible_Journey_Canon_Map_v0_1_Genesis_to_2Samuel.xlsx</t>
        </is>
      </c>
      <c r="C100" s="15" t="inlineStr">
        <is>
          <t xml:space="preserve">BLK-1SA-016-01</t>
        </is>
      </c>
      <c r="D100" s="15" t="inlineStr">
        <is>
          <t xml:space="preserve">CRS-1SA-016</t>
        </is>
      </c>
      <c r="E100" s="15">
        <v>1</v>
      </c>
      <c r="F100" s="15" t="inlineStr">
        <is>
          <t xml:space="preserve">1 Samuel</t>
        </is>
      </c>
      <c r="G100" s="15" t="inlineStr">
        <is>
          <t xml:space="preserve">26</t>
        </is>
      </c>
      <c r="H100" s="15" t="inlineStr">
        <is>
          <t xml:space="preserve">Primary Account</t>
        </is>
      </c>
      <c r="I100" s="15" t="inlineStr">
        <is>
          <t xml:space="preserve">Yes</t>
        </is>
      </c>
      <c r="J100" s="15" t="inlineStr">
        <is>
          <t xml:space="preserve">Yes</t>
        </is>
      </c>
      <c r="K100" s="15" t="inlineStr">
        <is>
          <t xml:space="preserve">Yes</t>
        </is>
      </c>
      <c r="L100" s="15" t="inlineStr">
        <is>
          <t xml:space="preserve">High</t>
        </is>
      </c>
      <c r="M100" s="15" t="inlineStr">
        <is>
          <t xml:space="preserve">Probable</t>
        </is>
      </c>
      <c r="N100" s="15" t="inlineStr">
        <is>
          <t xml:space="preserve">1 Samuel</t>
        </is>
      </c>
      <c r="O100" s="15"/>
      <c r="P100" s="15" t="inlineStr">
        <is>
          <t xml:space="preserve">Primary account</t>
        </is>
      </c>
      <c r="Q100" s="15" t="inlineStr">
        <is>
          <t xml:space="preserve">SRC-TEXT-1SAM; SRC-SAMUEL-OVERVIEW; SRC-DAVID-OVERVIEW</t>
        </is>
      </c>
      <c r="R100" s="11" t="inlineStr">
        <is>
          <t xml:space="preserve">Needs Review</t>
        </is>
      </c>
      <c r="S100" s="15" t="inlineStr">
        <is>
          <t xml:space="preserve">Canonical spine reading block for David spares Saul in the wilderness of Ziph.</t>
        </is>
      </c>
    </row>
    <row r="101" ht="34" customHeight="1">
      <c r="A101" s="15" t="inlineStr">
        <is>
          <t xml:space="preserve">v0.1</t>
        </is>
      </c>
      <c r="B101" s="15" t="inlineStr">
        <is>
          <t xml:space="preserve">Bible_Journey_Canon_Map_v0_1_Genesis_to_2Samuel.xlsx</t>
        </is>
      </c>
      <c r="C101" s="15" t="inlineStr">
        <is>
          <t xml:space="preserve">BLK-1SA-017-01</t>
        </is>
      </c>
      <c r="D101" s="15" t="inlineStr">
        <is>
          <t xml:space="preserve">CRS-1SA-017</t>
        </is>
      </c>
      <c r="E101" s="15">
        <v>1</v>
      </c>
      <c r="F101" s="15" t="inlineStr">
        <is>
          <t xml:space="preserve">1 Samuel</t>
        </is>
      </c>
      <c r="G101" s="15" t="inlineStr">
        <is>
          <t xml:space="preserve">27</t>
        </is>
      </c>
      <c r="H101" s="15" t="inlineStr">
        <is>
          <t xml:space="preserve">Primary Account</t>
        </is>
      </c>
      <c r="I101" s="15" t="inlineStr">
        <is>
          <t xml:space="preserve">Yes</t>
        </is>
      </c>
      <c r="J101" s="15" t="inlineStr">
        <is>
          <t xml:space="preserve">Yes</t>
        </is>
      </c>
      <c r="K101" s="15" t="inlineStr">
        <is>
          <t xml:space="preserve">Yes</t>
        </is>
      </c>
      <c r="L101" s="15" t="inlineStr">
        <is>
          <t xml:space="preserve">High</t>
        </is>
      </c>
      <c r="M101" s="15" t="inlineStr">
        <is>
          <t xml:space="preserve">Probable</t>
        </is>
      </c>
      <c r="N101" s="15" t="inlineStr">
        <is>
          <t xml:space="preserve">1 Samuel</t>
        </is>
      </c>
      <c r="O101" s="15"/>
      <c r="P101" s="15" t="inlineStr">
        <is>
          <t xml:space="preserve">Primary account</t>
        </is>
      </c>
      <c r="Q101" s="15" t="inlineStr">
        <is>
          <t xml:space="preserve">SRC-TEXT-1SAM; SRC-SAMUEL-OVERVIEW; SRC-DAVID-OVERVIEW</t>
        </is>
      </c>
      <c r="R101" s="11" t="inlineStr">
        <is>
          <t xml:space="preserve">Needs Review</t>
        </is>
      </c>
      <c r="S101" s="15" t="inlineStr">
        <is>
          <t xml:space="preserve">Canonical spine reading block for David among the Philistines.</t>
        </is>
      </c>
    </row>
    <row r="102" ht="34" customHeight="1">
      <c r="A102" s="15" t="inlineStr">
        <is>
          <t xml:space="preserve">v0.1</t>
        </is>
      </c>
      <c r="B102" s="15" t="inlineStr">
        <is>
          <t xml:space="preserve">Bible_Journey_Canon_Map_v0_1_Genesis_to_2Samuel.xlsx</t>
        </is>
      </c>
      <c r="C102" s="15" t="inlineStr">
        <is>
          <t xml:space="preserve">BLK-1SA-018-01</t>
        </is>
      </c>
      <c r="D102" s="15" t="inlineStr">
        <is>
          <t xml:space="preserve">CRS-1SA-018</t>
        </is>
      </c>
      <c r="E102" s="15">
        <v>1</v>
      </c>
      <c r="F102" s="15" t="inlineStr">
        <is>
          <t xml:space="preserve">1 Samuel</t>
        </is>
      </c>
      <c r="G102" s="15" t="inlineStr">
        <is>
          <t xml:space="preserve">28</t>
        </is>
      </c>
      <c r="H102" s="15" t="inlineStr">
        <is>
          <t xml:space="preserve">Primary Account</t>
        </is>
      </c>
      <c r="I102" s="15" t="inlineStr">
        <is>
          <t xml:space="preserve">Yes</t>
        </is>
      </c>
      <c r="J102" s="15" t="inlineStr">
        <is>
          <t xml:space="preserve">Yes</t>
        </is>
      </c>
      <c r="K102" s="15" t="inlineStr">
        <is>
          <t xml:space="preserve">Yes</t>
        </is>
      </c>
      <c r="L102" s="15" t="inlineStr">
        <is>
          <t xml:space="preserve">High</t>
        </is>
      </c>
      <c r="M102" s="15" t="inlineStr">
        <is>
          <t xml:space="preserve">Probable</t>
        </is>
      </c>
      <c r="N102" s="15" t="inlineStr">
        <is>
          <t xml:space="preserve">1 Samuel</t>
        </is>
      </c>
      <c r="O102" s="15"/>
      <c r="P102" s="15" t="inlineStr">
        <is>
          <t xml:space="preserve">Primary account</t>
        </is>
      </c>
      <c r="Q102" s="15" t="inlineStr">
        <is>
          <t xml:space="preserve">SRC-TEXT-1SAM; SRC-SAMUEL-OVERVIEW; SRC-DAVID-OVERVIEW</t>
        </is>
      </c>
      <c r="R102" s="11" t="inlineStr">
        <is>
          <t xml:space="preserve">Needs Review</t>
        </is>
      </c>
      <c r="S102" s="15" t="inlineStr">
        <is>
          <t xml:space="preserve">Canonical spine reading block for Saul and the medium at Endor.</t>
        </is>
      </c>
    </row>
    <row r="103" ht="34" customHeight="1">
      <c r="A103" s="15" t="inlineStr">
        <is>
          <t xml:space="preserve">v0.1</t>
        </is>
      </c>
      <c r="B103" s="15" t="inlineStr">
        <is>
          <t xml:space="preserve">Bible_Journey_Canon_Map_v0_1_Genesis_to_2Samuel.xlsx</t>
        </is>
      </c>
      <c r="C103" s="15" t="inlineStr">
        <is>
          <t xml:space="preserve">BLK-1SA-019-01</t>
        </is>
      </c>
      <c r="D103" s="15" t="inlineStr">
        <is>
          <t xml:space="preserve">CRS-1SA-019</t>
        </is>
      </c>
      <c r="E103" s="15">
        <v>1</v>
      </c>
      <c r="F103" s="15" t="inlineStr">
        <is>
          <t xml:space="preserve">1 Samuel</t>
        </is>
      </c>
      <c r="G103" s="15" t="inlineStr">
        <is>
          <t xml:space="preserve">29</t>
        </is>
      </c>
      <c r="H103" s="15" t="inlineStr">
        <is>
          <t xml:space="preserve">Primary Account</t>
        </is>
      </c>
      <c r="I103" s="15" t="inlineStr">
        <is>
          <t xml:space="preserve">Yes</t>
        </is>
      </c>
      <c r="J103" s="15" t="inlineStr">
        <is>
          <t xml:space="preserve">Yes</t>
        </is>
      </c>
      <c r="K103" s="15" t="inlineStr">
        <is>
          <t xml:space="preserve">Yes</t>
        </is>
      </c>
      <c r="L103" s="15" t="inlineStr">
        <is>
          <t xml:space="preserve">High</t>
        </is>
      </c>
      <c r="M103" s="15" t="inlineStr">
        <is>
          <t xml:space="preserve">Probable</t>
        </is>
      </c>
      <c r="N103" s="15" t="inlineStr">
        <is>
          <t xml:space="preserve">1 Samuel</t>
        </is>
      </c>
      <c r="O103" s="15"/>
      <c r="P103" s="15" t="inlineStr">
        <is>
          <t xml:space="preserve">Primary account</t>
        </is>
      </c>
      <c r="Q103" s="15" t="inlineStr">
        <is>
          <t xml:space="preserve">SRC-TEXT-1SAM; SRC-SAMUEL-OVERVIEW; SRC-DAVID-OVERVIEW</t>
        </is>
      </c>
      <c r="R103" s="11" t="inlineStr">
        <is>
          <t xml:space="preserve">Needs Review</t>
        </is>
      </c>
      <c r="S103" s="15" t="inlineStr">
        <is>
          <t xml:space="preserve">Canonical spine reading block for The Philistine muster and David's dismissal.</t>
        </is>
      </c>
    </row>
    <row r="104" ht="34" customHeight="1">
      <c r="A104" s="15" t="inlineStr">
        <is>
          <t xml:space="preserve">v0.1</t>
        </is>
      </c>
      <c r="B104" s="15" t="inlineStr">
        <is>
          <t xml:space="preserve">Bible_Journey_Canon_Map_v0_1_Genesis_to_2Samuel.xlsx</t>
        </is>
      </c>
      <c r="C104" s="15" t="inlineStr">
        <is>
          <t xml:space="preserve">BLK-1SA-020-01</t>
        </is>
      </c>
      <c r="D104" s="15" t="inlineStr">
        <is>
          <t xml:space="preserve">CRS-1SA-020</t>
        </is>
      </c>
      <c r="E104" s="15">
        <v>1</v>
      </c>
      <c r="F104" s="15" t="inlineStr">
        <is>
          <t xml:space="preserve">1 Samuel</t>
        </is>
      </c>
      <c r="G104" s="15" t="inlineStr">
        <is>
          <t xml:space="preserve">30</t>
        </is>
      </c>
      <c r="H104" s="15" t="inlineStr">
        <is>
          <t xml:space="preserve">Primary Account</t>
        </is>
      </c>
      <c r="I104" s="15" t="inlineStr">
        <is>
          <t xml:space="preserve">Yes</t>
        </is>
      </c>
      <c r="J104" s="15" t="inlineStr">
        <is>
          <t xml:space="preserve">Yes</t>
        </is>
      </c>
      <c r="K104" s="15" t="inlineStr">
        <is>
          <t xml:space="preserve">Yes</t>
        </is>
      </c>
      <c r="L104" s="15" t="inlineStr">
        <is>
          <t xml:space="preserve">High</t>
        </is>
      </c>
      <c r="M104" s="15" t="inlineStr">
        <is>
          <t xml:space="preserve">Probable</t>
        </is>
      </c>
      <c r="N104" s="15" t="inlineStr">
        <is>
          <t xml:space="preserve">1 Samuel</t>
        </is>
      </c>
      <c r="O104" s="15"/>
      <c r="P104" s="15" t="inlineStr">
        <is>
          <t xml:space="preserve">Primary account</t>
        </is>
      </c>
      <c r="Q104" s="15" t="inlineStr">
        <is>
          <t xml:space="preserve">SRC-TEXT-1SAM; SRC-SAMUEL-OVERVIEW; SRC-DAVID-OVERVIEW</t>
        </is>
      </c>
      <c r="R104" s="11" t="inlineStr">
        <is>
          <t xml:space="preserve">Needs Review</t>
        </is>
      </c>
      <c r="S104" s="15" t="inlineStr">
        <is>
          <t xml:space="preserve">Canonical spine reading block for Ziklag and the Amalekite raid.</t>
        </is>
      </c>
    </row>
    <row r="105" ht="34" customHeight="1">
      <c r="A105" s="15" t="inlineStr">
        <is>
          <t xml:space="preserve">v0.1</t>
        </is>
      </c>
      <c r="B105" s="15" t="inlineStr">
        <is>
          <t xml:space="preserve">Bible_Journey_Canon_Map_v0_1_Genesis_to_2Samuel.xlsx</t>
        </is>
      </c>
      <c r="C105" s="15" t="inlineStr">
        <is>
          <t xml:space="preserve">BLK-1SA-021-01</t>
        </is>
      </c>
      <c r="D105" s="15" t="inlineStr">
        <is>
          <t xml:space="preserve">CRS-1SA-021</t>
        </is>
      </c>
      <c r="E105" s="15">
        <v>1</v>
      </c>
      <c r="F105" s="15" t="inlineStr">
        <is>
          <t xml:space="preserve">1 Samuel</t>
        </is>
      </c>
      <c r="G105" s="15" t="inlineStr">
        <is>
          <t xml:space="preserve">31</t>
        </is>
      </c>
      <c r="H105" s="15" t="inlineStr">
        <is>
          <t xml:space="preserve">Primary Account</t>
        </is>
      </c>
      <c r="I105" s="15" t="inlineStr">
        <is>
          <t xml:space="preserve">Yes</t>
        </is>
      </c>
      <c r="J105" s="15" t="inlineStr">
        <is>
          <t xml:space="preserve">Yes</t>
        </is>
      </c>
      <c r="K105" s="15" t="inlineStr">
        <is>
          <t xml:space="preserve">Yes</t>
        </is>
      </c>
      <c r="L105" s="15" t="inlineStr">
        <is>
          <t xml:space="preserve">High</t>
        </is>
      </c>
      <c r="M105" s="15" t="inlineStr">
        <is>
          <t xml:space="preserve">High</t>
        </is>
      </c>
      <c r="N105" s="15" t="inlineStr">
        <is>
          <t xml:space="preserve">1 Samuel</t>
        </is>
      </c>
      <c r="O105" s="15"/>
      <c r="P105" s="15" t="inlineStr">
        <is>
          <t xml:space="preserve">Primary account</t>
        </is>
      </c>
      <c r="Q105" s="15" t="inlineStr">
        <is>
          <t xml:space="preserve">SRC-TEXT-2SAM; SRC-TEXT-1CHR; SRC-SAMUEL-OVERVIEW; SRC-CHRONICLES-OVERVIEW; SRC-DAVID-OVERVIEW</t>
        </is>
      </c>
      <c r="R105" s="11" t="inlineStr">
        <is>
          <t xml:space="preserve">Needs Review</t>
        </is>
      </c>
      <c r="S105" s="15" t="inlineStr">
        <is>
          <t xml:space="preserve">Canonical spine reading block for Saul dies at Gilboa.</t>
        </is>
      </c>
    </row>
    <row r="106" ht="34" customHeight="1">
      <c r="A106" s="15" t="inlineStr">
        <is>
          <t xml:space="preserve">v0.1</t>
        </is>
      </c>
      <c r="B106" s="15" t="inlineStr">
        <is>
          <t xml:space="preserve">Bible_Journey_Canon_Map_v0_1_Genesis_to_2Samuel.xlsx</t>
        </is>
      </c>
      <c r="C106" s="15" t="inlineStr">
        <is>
          <t xml:space="preserve">BLK-1SA-021-02</t>
        </is>
      </c>
      <c r="D106" s="15" t="inlineStr">
        <is>
          <t xml:space="preserve">CRS-1SA-021</t>
        </is>
      </c>
      <c r="E106" s="15">
        <v>2</v>
      </c>
      <c r="F106" s="15" t="inlineStr">
        <is>
          <t xml:space="preserve">1 Chronicles</t>
        </is>
      </c>
      <c r="G106" s="15" t="inlineStr">
        <is>
          <t xml:space="preserve">10</t>
        </is>
      </c>
      <c r="H106" s="15" t="inlineStr">
        <is>
          <t xml:space="preserve">Parallel Account</t>
        </is>
      </c>
      <c r="I106" s="15" t="inlineStr">
        <is>
          <t xml:space="preserve">No</t>
        </is>
      </c>
      <c r="J106" s="15" t="inlineStr">
        <is>
          <t xml:space="preserve">Yes</t>
        </is>
      </c>
      <c r="K106" s="15" t="inlineStr">
        <is>
          <t xml:space="preserve">No</t>
        </is>
      </c>
      <c r="L106" s="15" t="inlineStr">
        <is>
          <t xml:space="preserve">High</t>
        </is>
      </c>
      <c r="M106" s="15" t="inlineStr">
        <is>
          <t xml:space="preserve">High</t>
        </is>
      </c>
      <c r="N106" s="15" t="inlineStr">
        <is>
          <t xml:space="preserve">1 Chronicles</t>
        </is>
      </c>
      <c r="O106" s="15"/>
      <c r="P106" s="15" t="inlineStr">
        <is>
          <t xml:space="preserve">Parallel account in Chronicles</t>
        </is>
      </c>
      <c r="Q106" s="15" t="inlineStr">
        <is>
          <t xml:space="preserve">SRC-TEXT-1CHR; SRC-CHRONICLES-OVERVIEW</t>
        </is>
      </c>
      <c r="R106" s="11" t="inlineStr">
        <is>
          <t xml:space="preserve">Needs Review</t>
        </is>
      </c>
      <c r="S106" s="15" t="inlineStr">
        <is>
          <t xml:space="preserve">Chronicles retells Saul's death with distinct framing. Preserve it as a separate intact account.</t>
        </is>
      </c>
    </row>
    <row r="107" ht="34" customHeight="1">
      <c r="A107" s="15" t="inlineStr">
        <is>
          <t xml:space="preserve">v0.1</t>
        </is>
      </c>
      <c r="B107" s="15" t="inlineStr">
        <is>
          <t xml:space="preserve">Bible_Journey_Canon_Map_v0_1_Genesis_to_2Samuel.xlsx</t>
        </is>
      </c>
      <c r="C107" s="15" t="inlineStr">
        <is>
          <t xml:space="preserve">BLK-2SA-001-01</t>
        </is>
      </c>
      <c r="D107" s="15" t="inlineStr">
        <is>
          <t xml:space="preserve">CRS-2SA-001</t>
        </is>
      </c>
      <c r="E107" s="15">
        <v>1</v>
      </c>
      <c r="F107" s="15" t="inlineStr">
        <is>
          <t xml:space="preserve">2 Samuel</t>
        </is>
      </c>
      <c r="G107" s="15" t="inlineStr">
        <is>
          <t xml:space="preserve">1-2</t>
        </is>
      </c>
      <c r="H107" s="15" t="inlineStr">
        <is>
          <t xml:space="preserve">Primary Account</t>
        </is>
      </c>
      <c r="I107" s="15" t="inlineStr">
        <is>
          <t xml:space="preserve">Yes</t>
        </is>
      </c>
      <c r="J107" s="15" t="inlineStr">
        <is>
          <t xml:space="preserve">Yes</t>
        </is>
      </c>
      <c r="K107" s="15" t="inlineStr">
        <is>
          <t xml:space="preserve">Yes</t>
        </is>
      </c>
      <c r="L107" s="15" t="inlineStr">
        <is>
          <t xml:space="preserve">High</t>
        </is>
      </c>
      <c r="M107" s="15" t="inlineStr">
        <is>
          <t xml:space="preserve">High</t>
        </is>
      </c>
      <c r="N107" s="15" t="inlineStr">
        <is>
          <t xml:space="preserve">2 Samuel</t>
        </is>
      </c>
      <c r="O107" s="15"/>
      <c r="P107" s="15" t="inlineStr">
        <is>
          <t xml:space="preserve">Primary account</t>
        </is>
      </c>
      <c r="Q107" s="15" t="inlineStr">
        <is>
          <t xml:space="preserve">SRC-TEXT-2SAM; SRC-SAMUEL-OVERVIEW; SRC-DAVID-OVERVIEW</t>
        </is>
      </c>
      <c r="R107" s="11" t="inlineStr">
        <is>
          <t xml:space="preserve">Needs Review</t>
        </is>
      </c>
      <c r="S107" s="15" t="inlineStr">
        <is>
          <t xml:space="preserve">Canonical spine reading block for David mourns Saul and becomes king in Hebron.</t>
        </is>
      </c>
    </row>
    <row r="108" ht="34" customHeight="1">
      <c r="A108" s="15" t="inlineStr">
        <is>
          <t xml:space="preserve">v0.1</t>
        </is>
      </c>
      <c r="B108" s="15" t="inlineStr">
        <is>
          <t xml:space="preserve">Bible_Journey_Canon_Map_v0_1_Genesis_to_2Samuel.xlsx</t>
        </is>
      </c>
      <c r="C108" s="15" t="inlineStr">
        <is>
          <t xml:space="preserve">BLK-2SA-002-01</t>
        </is>
      </c>
      <c r="D108" s="15" t="inlineStr">
        <is>
          <t xml:space="preserve">CRS-2SA-002</t>
        </is>
      </c>
      <c r="E108" s="15">
        <v>1</v>
      </c>
      <c r="F108" s="15" t="inlineStr">
        <is>
          <t xml:space="preserve">2 Samuel</t>
        </is>
      </c>
      <c r="G108" s="15" t="inlineStr">
        <is>
          <t xml:space="preserve">3-4</t>
        </is>
      </c>
      <c r="H108" s="15" t="inlineStr">
        <is>
          <t xml:space="preserve">Primary Account</t>
        </is>
      </c>
      <c r="I108" s="15" t="inlineStr">
        <is>
          <t xml:space="preserve">Yes</t>
        </is>
      </c>
      <c r="J108" s="15" t="inlineStr">
        <is>
          <t xml:space="preserve">Yes</t>
        </is>
      </c>
      <c r="K108" s="15" t="inlineStr">
        <is>
          <t xml:space="preserve">Yes</t>
        </is>
      </c>
      <c r="L108" s="15" t="inlineStr">
        <is>
          <t xml:space="preserve">High</t>
        </is>
      </c>
      <c r="M108" s="15" t="inlineStr">
        <is>
          <t xml:space="preserve">High</t>
        </is>
      </c>
      <c r="N108" s="15" t="inlineStr">
        <is>
          <t xml:space="preserve">2 Samuel</t>
        </is>
      </c>
      <c r="O108" s="15"/>
      <c r="P108" s="15" t="inlineStr">
        <is>
          <t xml:space="preserve">Primary account</t>
        </is>
      </c>
      <c r="Q108" s="15" t="inlineStr">
        <is>
          <t xml:space="preserve">SRC-TEXT-2SAM; SRC-SAMUEL-OVERVIEW; SRC-DAVID-OVERVIEW</t>
        </is>
      </c>
      <c r="R108" s="11" t="inlineStr">
        <is>
          <t xml:space="preserve">Needs Review</t>
        </is>
      </c>
      <c r="S108" s="15" t="inlineStr">
        <is>
          <t xml:space="preserve">Canonical spine reading block for Abner, Ish-bosheth, and the reunification of Israel.</t>
        </is>
      </c>
    </row>
    <row r="109" ht="34" customHeight="1">
      <c r="A109" s="15" t="inlineStr">
        <is>
          <t xml:space="preserve">v0.1</t>
        </is>
      </c>
      <c r="B109" s="15" t="inlineStr">
        <is>
          <t xml:space="preserve">Bible_Journey_Canon_Map_v0_1_Genesis_to_2Samuel.xlsx</t>
        </is>
      </c>
      <c r="C109" s="15" t="inlineStr">
        <is>
          <t xml:space="preserve">BLK-2SA-003-01</t>
        </is>
      </c>
      <c r="D109" s="15" t="inlineStr">
        <is>
          <t xml:space="preserve">CRS-2SA-003</t>
        </is>
      </c>
      <c r="E109" s="15">
        <v>1</v>
      </c>
      <c r="F109" s="15" t="inlineStr">
        <is>
          <t xml:space="preserve">2 Samuel</t>
        </is>
      </c>
      <c r="G109" s="15" t="inlineStr">
        <is>
          <t xml:space="preserve">5</t>
        </is>
      </c>
      <c r="H109" s="15" t="inlineStr">
        <is>
          <t xml:space="preserve">Primary Account</t>
        </is>
      </c>
      <c r="I109" s="15" t="inlineStr">
        <is>
          <t xml:space="preserve">Yes</t>
        </is>
      </c>
      <c r="J109" s="15" t="inlineStr">
        <is>
          <t xml:space="preserve">Yes</t>
        </is>
      </c>
      <c r="K109" s="15" t="inlineStr">
        <is>
          <t xml:space="preserve">Yes</t>
        </is>
      </c>
      <c r="L109" s="15" t="inlineStr">
        <is>
          <t xml:space="preserve">High</t>
        </is>
      </c>
      <c r="M109" s="15" t="inlineStr">
        <is>
          <t xml:space="preserve">High</t>
        </is>
      </c>
      <c r="N109" s="15" t="inlineStr">
        <is>
          <t xml:space="preserve">2 Samuel</t>
        </is>
      </c>
      <c r="O109" s="15"/>
      <c r="P109" s="15" t="inlineStr">
        <is>
          <t xml:space="preserve">Primary account</t>
        </is>
      </c>
      <c r="Q109" s="15" t="inlineStr">
        <is>
          <t xml:space="preserve">SRC-TEXT-2SAM; SRC-TEXT-1CHR; SRC-SAMUEL-OVERVIEW; SRC-CHRONICLES-OVERVIEW; SRC-DAVID-OVERVIEW</t>
        </is>
      </c>
      <c r="R109" s="11" t="inlineStr">
        <is>
          <t xml:space="preserve">Needs Review</t>
        </is>
      </c>
      <c r="S109" s="15" t="inlineStr">
        <is>
          <t xml:space="preserve">Canonical spine reading block for David becomes king over all Israel and takes Jerusalem.</t>
        </is>
      </c>
    </row>
    <row r="110" ht="34" customHeight="1">
      <c r="A110" s="15" t="inlineStr">
        <is>
          <t xml:space="preserve">v0.1</t>
        </is>
      </c>
      <c r="B110" s="15" t="inlineStr">
        <is>
          <t xml:space="preserve">Bible_Journey_Canon_Map_v0_1_Genesis_to_2Samuel.xlsx</t>
        </is>
      </c>
      <c r="C110" s="15" t="inlineStr">
        <is>
          <t xml:space="preserve">BLK-2SA-003-02</t>
        </is>
      </c>
      <c r="D110" s="15" t="inlineStr">
        <is>
          <t xml:space="preserve">CRS-2SA-003</t>
        </is>
      </c>
      <c r="E110" s="15">
        <v>2</v>
      </c>
      <c r="F110" s="15" t="inlineStr">
        <is>
          <t xml:space="preserve">1 Chronicles</t>
        </is>
      </c>
      <c r="G110" s="15" t="inlineStr">
        <is>
          <t xml:space="preserve">11:1-9</t>
        </is>
      </c>
      <c r="H110" s="15" t="inlineStr">
        <is>
          <t xml:space="preserve">Parallel Account</t>
        </is>
      </c>
      <c r="I110" s="15" t="inlineStr">
        <is>
          <t xml:space="preserve">No</t>
        </is>
      </c>
      <c r="J110" s="15" t="inlineStr">
        <is>
          <t xml:space="preserve">Yes</t>
        </is>
      </c>
      <c r="K110" s="15" t="inlineStr">
        <is>
          <t xml:space="preserve">No</t>
        </is>
      </c>
      <c r="L110" s="15" t="inlineStr">
        <is>
          <t xml:space="preserve">High</t>
        </is>
      </c>
      <c r="M110" s="15" t="inlineStr">
        <is>
          <t xml:space="preserve">High</t>
        </is>
      </c>
      <c r="N110" s="15" t="inlineStr">
        <is>
          <t xml:space="preserve">1 Chronicles</t>
        </is>
      </c>
      <c r="O110" s="15"/>
      <c r="P110" s="15" t="inlineStr">
        <is>
          <t xml:space="preserve">Parallel account in Chronicles</t>
        </is>
      </c>
      <c r="Q110" s="15" t="inlineStr">
        <is>
          <t xml:space="preserve">SRC-TEXT-1CHR; SRC-CHRONICLES-OVERVIEW</t>
        </is>
      </c>
      <c r="R110" s="11" t="inlineStr">
        <is>
          <t xml:space="preserve">Needs Review</t>
        </is>
      </c>
      <c r="S110" s="15" t="inlineStr">
        <is>
          <t xml:space="preserve">Chronicles parallels David's accession and capture of Jerusalem; keep accounts separate for complete coverage and comparison.</t>
        </is>
      </c>
    </row>
    <row r="111" ht="34" customHeight="1">
      <c r="A111" s="15" t="inlineStr">
        <is>
          <t xml:space="preserve">v0.1</t>
        </is>
      </c>
      <c r="B111" s="15" t="inlineStr">
        <is>
          <t xml:space="preserve">Bible_Journey_Canon_Map_v0_1_Genesis_to_2Samuel.xlsx</t>
        </is>
      </c>
      <c r="C111" s="15" t="inlineStr">
        <is>
          <t xml:space="preserve">BLK-2SA-003-03</t>
        </is>
      </c>
      <c r="D111" s="15" t="inlineStr">
        <is>
          <t xml:space="preserve">CRS-2SA-003</t>
        </is>
      </c>
      <c r="E111" s="15">
        <v>3</v>
      </c>
      <c r="F111" s="15" t="inlineStr">
        <is>
          <t xml:space="preserve">1 Chronicles</t>
        </is>
      </c>
      <c r="G111" s="15" t="inlineStr">
        <is>
          <t xml:space="preserve">14:1-17</t>
        </is>
      </c>
      <c r="H111" s="15" t="inlineStr">
        <is>
          <t xml:space="preserve">Complementary Account</t>
        </is>
      </c>
      <c r="I111" s="15" t="inlineStr">
        <is>
          <t xml:space="preserve">No</t>
        </is>
      </c>
      <c r="J111" s="15" t="inlineStr">
        <is>
          <t xml:space="preserve">Yes</t>
        </is>
      </c>
      <c r="K111" s="15" t="inlineStr">
        <is>
          <t xml:space="preserve">No</t>
        </is>
      </c>
      <c r="L111" s="15" t="inlineStr">
        <is>
          <t xml:space="preserve">High</t>
        </is>
      </c>
      <c r="M111" s="15" t="inlineStr">
        <is>
          <t xml:space="preserve">High</t>
        </is>
      </c>
      <c r="N111" s="15" t="inlineStr">
        <is>
          <t xml:space="preserve">1 Chronicles</t>
        </is>
      </c>
      <c r="O111" s="15"/>
      <c r="P111" s="15" t="inlineStr">
        <is>
          <t xml:space="preserve">Related account in Chronicles</t>
        </is>
      </c>
      <c r="Q111" s="15" t="inlineStr">
        <is>
          <t xml:space="preserve">SRC-TEXT-1CHR; SRC-CHRONICLES-OVERVIEW</t>
        </is>
      </c>
      <c r="R111" s="11" t="inlineStr">
        <is>
          <t xml:space="preserve">Needs Review</t>
        </is>
      </c>
      <c r="S111" s="15" t="inlineStr">
        <is>
          <t xml:space="preserve">Chronicles pairs David's palace and Philistine encounters with the accession narrative. This block overlaps 2 Samuel 5:11-25.</t>
        </is>
      </c>
    </row>
    <row r="112" ht="34" customHeight="1">
      <c r="A112" s="15" t="inlineStr">
        <is>
          <t xml:space="preserve">v0.1</t>
        </is>
      </c>
      <c r="B112" s="15" t="inlineStr">
        <is>
          <t xml:space="preserve">Bible_Journey_Canon_Map_v0_1_Genesis_to_2Samuel.xlsx</t>
        </is>
      </c>
      <c r="C112" s="15" t="inlineStr">
        <is>
          <t xml:space="preserve">BLK-2SA-004-01</t>
        </is>
      </c>
      <c r="D112" s="15" t="inlineStr">
        <is>
          <t xml:space="preserve">CRS-2SA-004</t>
        </is>
      </c>
      <c r="E112" s="15">
        <v>1</v>
      </c>
      <c r="F112" s="15" t="inlineStr">
        <is>
          <t xml:space="preserve">2 Samuel</t>
        </is>
      </c>
      <c r="G112" s="15" t="inlineStr">
        <is>
          <t xml:space="preserve">6</t>
        </is>
      </c>
      <c r="H112" s="15" t="inlineStr">
        <is>
          <t xml:space="preserve">Primary Account</t>
        </is>
      </c>
      <c r="I112" s="15" t="inlineStr">
        <is>
          <t xml:space="preserve">Yes</t>
        </is>
      </c>
      <c r="J112" s="15" t="inlineStr">
        <is>
          <t xml:space="preserve">Yes</t>
        </is>
      </c>
      <c r="K112" s="15" t="inlineStr">
        <is>
          <t xml:space="preserve">Yes</t>
        </is>
      </c>
      <c r="L112" s="15" t="inlineStr">
        <is>
          <t xml:space="preserve">High</t>
        </is>
      </c>
      <c r="M112" s="15" t="inlineStr">
        <is>
          <t xml:space="preserve">High</t>
        </is>
      </c>
      <c r="N112" s="15" t="inlineStr">
        <is>
          <t xml:space="preserve">2 Samuel</t>
        </is>
      </c>
      <c r="O112" s="15"/>
      <c r="P112" s="15" t="inlineStr">
        <is>
          <t xml:space="preserve">Primary account</t>
        </is>
      </c>
      <c r="Q112" s="15" t="inlineStr">
        <is>
          <t xml:space="preserve">SRC-TEXT-2SAM; SRC-TEXT-1CHR; SRC-SAMUEL-OVERVIEW; SRC-CHRONICLES-OVERVIEW; SRC-DAVID-OVERVIEW</t>
        </is>
      </c>
      <c r="R112" s="11" t="inlineStr">
        <is>
          <t xml:space="preserve">Needs Review</t>
        </is>
      </c>
      <c r="S112" s="15" t="inlineStr">
        <is>
          <t xml:space="preserve">Canonical spine reading block for The ark's first journey and Uzzah's death.</t>
        </is>
      </c>
    </row>
    <row r="113" ht="34" customHeight="1">
      <c r="A113" s="15" t="inlineStr">
        <is>
          <t xml:space="preserve">v0.1</t>
        </is>
      </c>
      <c r="B113" s="15" t="inlineStr">
        <is>
          <t xml:space="preserve">Bible_Journey_Canon_Map_v0_1_Genesis_to_2Samuel.xlsx</t>
        </is>
      </c>
      <c r="C113" s="15" t="inlineStr">
        <is>
          <t xml:space="preserve">BLK-2SA-004-02</t>
        </is>
      </c>
      <c r="D113" s="15" t="inlineStr">
        <is>
          <t xml:space="preserve">CRS-2SA-004</t>
        </is>
      </c>
      <c r="E113" s="15">
        <v>2</v>
      </c>
      <c r="F113" s="15" t="inlineStr">
        <is>
          <t xml:space="preserve">1 Chronicles</t>
        </is>
      </c>
      <c r="G113" s="15" t="inlineStr">
        <is>
          <t xml:space="preserve">13</t>
        </is>
      </c>
      <c r="H113" s="15" t="inlineStr">
        <is>
          <t xml:space="preserve">Parallel Account</t>
        </is>
      </c>
      <c r="I113" s="15" t="inlineStr">
        <is>
          <t xml:space="preserve">No</t>
        </is>
      </c>
      <c r="J113" s="15" t="inlineStr">
        <is>
          <t xml:space="preserve">Yes</t>
        </is>
      </c>
      <c r="K113" s="15" t="inlineStr">
        <is>
          <t xml:space="preserve">No</t>
        </is>
      </c>
      <c r="L113" s="15" t="inlineStr">
        <is>
          <t xml:space="preserve">High</t>
        </is>
      </c>
      <c r="M113" s="15" t="inlineStr">
        <is>
          <t xml:space="preserve">High</t>
        </is>
      </c>
      <c r="N113" s="15" t="inlineStr">
        <is>
          <t xml:space="preserve">1 Chronicles</t>
        </is>
      </c>
      <c r="O113" s="15"/>
      <c r="P113" s="15" t="inlineStr">
        <is>
          <t xml:space="preserve">First ark attempt in Chronicles</t>
        </is>
      </c>
      <c r="Q113" s="15" t="inlineStr">
        <is>
          <t xml:space="preserve">SRC-TEXT-1CHR; SRC-CHRONICLES-OVERVIEW</t>
        </is>
      </c>
      <c r="R113" s="11" t="inlineStr">
        <is>
          <t xml:space="preserve">Needs Review</t>
        </is>
      </c>
      <c r="S113" s="15" t="inlineStr">
        <is>
          <t xml:space="preserve">Chronicles recounts the first ark journey and Uzzah's death as a distinct account.</t>
        </is>
      </c>
    </row>
    <row r="114" ht="34" customHeight="1">
      <c r="A114" s="15" t="inlineStr">
        <is>
          <t xml:space="preserve">v0.1</t>
        </is>
      </c>
      <c r="B114" s="15" t="inlineStr">
        <is>
          <t xml:space="preserve">Bible_Journey_Canon_Map_v0_1_Genesis_to_2Samuel.xlsx</t>
        </is>
      </c>
      <c r="C114" s="15" t="inlineStr">
        <is>
          <t xml:space="preserve">BLK-2SA-004-03</t>
        </is>
      </c>
      <c r="D114" s="15" t="inlineStr">
        <is>
          <t xml:space="preserve">CRS-2SA-004</t>
        </is>
      </c>
      <c r="E114" s="15">
        <v>3</v>
      </c>
      <c r="F114" s="15" t="inlineStr">
        <is>
          <t xml:space="preserve">1 Chronicles</t>
        </is>
      </c>
      <c r="G114" s="15" t="inlineStr">
        <is>
          <t xml:space="preserve">15-16</t>
        </is>
      </c>
      <c r="H114" s="15" t="inlineStr">
        <is>
          <t xml:space="preserve">Complementary Account</t>
        </is>
      </c>
      <c r="I114" s="15" t="inlineStr">
        <is>
          <t xml:space="preserve">No</t>
        </is>
      </c>
      <c r="J114" s="15" t="inlineStr">
        <is>
          <t xml:space="preserve">Yes</t>
        </is>
      </c>
      <c r="K114" s="15" t="inlineStr">
        <is>
          <t xml:space="preserve">No</t>
        </is>
      </c>
      <c r="L114" s="15" t="inlineStr">
        <is>
          <t xml:space="preserve">High</t>
        </is>
      </c>
      <c r="M114" s="15" t="inlineStr">
        <is>
          <t xml:space="preserve">High</t>
        </is>
      </c>
      <c r="N114" s="15" t="inlineStr">
        <is>
          <t xml:space="preserve">1 Chronicles</t>
        </is>
      </c>
      <c r="O114" s="15"/>
      <c r="P114" s="15" t="inlineStr">
        <is>
          <t xml:space="preserve">Ark enters Jerusalem in Chronicles</t>
        </is>
      </c>
      <c r="Q114" s="15" t="inlineStr">
        <is>
          <t xml:space="preserve">SRC-TEXT-1CHR; SRC-CHRONICLES-OVERVIEW</t>
        </is>
      </c>
      <c r="R114" s="11" t="inlineStr">
        <is>
          <t xml:space="preserve">Needs Review</t>
        </is>
      </c>
      <c r="S114" s="15" t="inlineStr">
        <is>
          <t xml:space="preserve">Chronicles provides the complementary procession and worship material for the ark's arrival.</t>
        </is>
      </c>
    </row>
    <row r="115" ht="34" customHeight="1">
      <c r="A115" s="15" t="inlineStr">
        <is>
          <t xml:space="preserve">v0.1</t>
        </is>
      </c>
      <c r="B115" s="15" t="inlineStr">
        <is>
          <t xml:space="preserve">Bible_Journey_Canon_Map_v0_1_Genesis_to_2Samuel.xlsx</t>
        </is>
      </c>
      <c r="C115" s="15" t="inlineStr">
        <is>
          <t xml:space="preserve">BLK-2SA-005-01</t>
        </is>
      </c>
      <c r="D115" s="15" t="inlineStr">
        <is>
          <t xml:space="preserve">CRS-2SA-005</t>
        </is>
      </c>
      <c r="E115" s="15">
        <v>1</v>
      </c>
      <c r="F115" s="15" t="inlineStr">
        <is>
          <t xml:space="preserve">2 Samuel</t>
        </is>
      </c>
      <c r="G115" s="15" t="inlineStr">
        <is>
          <t xml:space="preserve">7</t>
        </is>
      </c>
      <c r="H115" s="15" t="inlineStr">
        <is>
          <t xml:space="preserve">Primary Account</t>
        </is>
      </c>
      <c r="I115" s="15" t="inlineStr">
        <is>
          <t xml:space="preserve">Yes</t>
        </is>
      </c>
      <c r="J115" s="15" t="inlineStr">
        <is>
          <t xml:space="preserve">Yes</t>
        </is>
      </c>
      <c r="K115" s="15" t="inlineStr">
        <is>
          <t xml:space="preserve">Yes</t>
        </is>
      </c>
      <c r="L115" s="15" t="inlineStr">
        <is>
          <t xml:space="preserve">High</t>
        </is>
      </c>
      <c r="M115" s="15" t="inlineStr">
        <is>
          <t xml:space="preserve">High</t>
        </is>
      </c>
      <c r="N115" s="15" t="inlineStr">
        <is>
          <t xml:space="preserve">2 Samuel</t>
        </is>
      </c>
      <c r="O115" s="15"/>
      <c r="P115" s="15" t="inlineStr">
        <is>
          <t xml:space="preserve">Primary account</t>
        </is>
      </c>
      <c r="Q115" s="15" t="inlineStr">
        <is>
          <t xml:space="preserve">SRC-TEXT-2SAM; SRC-TEXT-1CHR; SRC-SAMUEL-OVERVIEW; SRC-CHRONICLES-OVERVIEW; SRC-DAVID-OVERVIEW</t>
        </is>
      </c>
      <c r="R115" s="11" t="inlineStr">
        <is>
          <t xml:space="preserve">Needs Review</t>
        </is>
      </c>
      <c r="S115" s="15" t="inlineStr">
        <is>
          <t xml:space="preserve">Canonical spine reading block for The Davidic covenant.</t>
        </is>
      </c>
    </row>
    <row r="116" ht="34" customHeight="1">
      <c r="A116" s="15" t="inlineStr">
        <is>
          <t xml:space="preserve">v0.1</t>
        </is>
      </c>
      <c r="B116" s="15" t="inlineStr">
        <is>
          <t xml:space="preserve">Bible_Journey_Canon_Map_v0_1_Genesis_to_2Samuel.xlsx</t>
        </is>
      </c>
      <c r="C116" s="15" t="inlineStr">
        <is>
          <t xml:space="preserve">BLK-2SA-005-02</t>
        </is>
      </c>
      <c r="D116" s="15" t="inlineStr">
        <is>
          <t xml:space="preserve">CRS-2SA-005</t>
        </is>
      </c>
      <c r="E116" s="15">
        <v>2</v>
      </c>
      <c r="F116" s="15" t="inlineStr">
        <is>
          <t xml:space="preserve">1 Chronicles</t>
        </is>
      </c>
      <c r="G116" s="15" t="inlineStr">
        <is>
          <t xml:space="preserve">17</t>
        </is>
      </c>
      <c r="H116" s="15" t="inlineStr">
        <is>
          <t xml:space="preserve">Parallel Account</t>
        </is>
      </c>
      <c r="I116" s="15" t="inlineStr">
        <is>
          <t xml:space="preserve">No</t>
        </is>
      </c>
      <c r="J116" s="15" t="inlineStr">
        <is>
          <t xml:space="preserve">Yes</t>
        </is>
      </c>
      <c r="K116" s="15" t="inlineStr">
        <is>
          <t xml:space="preserve">No</t>
        </is>
      </c>
      <c r="L116" s="15" t="inlineStr">
        <is>
          <t xml:space="preserve">High</t>
        </is>
      </c>
      <c r="M116" s="15" t="inlineStr">
        <is>
          <t xml:space="preserve">High</t>
        </is>
      </c>
      <c r="N116" s="15" t="inlineStr">
        <is>
          <t xml:space="preserve">1 Chronicles</t>
        </is>
      </c>
      <c r="O116" s="15"/>
      <c r="P116" s="15" t="inlineStr">
        <is>
          <t xml:space="preserve">Parallel covenant account</t>
        </is>
      </c>
      <c r="Q116" s="15" t="inlineStr">
        <is>
          <t xml:space="preserve">SRC-TEXT-1CHR; SRC-CHRONICLES-OVERVIEW</t>
        </is>
      </c>
      <c r="R116" s="11" t="inlineStr">
        <is>
          <t xml:space="preserve">Needs Review</t>
        </is>
      </c>
      <c r="S116" s="15" t="inlineStr">
        <is>
          <t xml:space="preserve">Chronicles preserves a closely related account of Nathan's message to David.</t>
        </is>
      </c>
    </row>
    <row r="117" ht="34" customHeight="1">
      <c r="A117" s="15" t="inlineStr">
        <is>
          <t xml:space="preserve">v0.1</t>
        </is>
      </c>
      <c r="B117" s="15" t="inlineStr">
        <is>
          <t xml:space="preserve">Bible_Journey_Canon_Map_v0_1_Genesis_to_2Samuel.xlsx</t>
        </is>
      </c>
      <c r="C117" s="15" t="inlineStr">
        <is>
          <t xml:space="preserve">BLK-2SA-006-01</t>
        </is>
      </c>
      <c r="D117" s="15" t="inlineStr">
        <is>
          <t xml:space="preserve">CRS-2SA-006</t>
        </is>
      </c>
      <c r="E117" s="15">
        <v>1</v>
      </c>
      <c r="F117" s="15" t="inlineStr">
        <is>
          <t xml:space="preserve">2 Samuel</t>
        </is>
      </c>
      <c r="G117" s="15" t="inlineStr">
        <is>
          <t xml:space="preserve">8</t>
        </is>
      </c>
      <c r="H117" s="15" t="inlineStr">
        <is>
          <t xml:space="preserve">Primary Account</t>
        </is>
      </c>
      <c r="I117" s="15" t="inlineStr">
        <is>
          <t xml:space="preserve">Yes</t>
        </is>
      </c>
      <c r="J117" s="15" t="inlineStr">
        <is>
          <t xml:space="preserve">Yes</t>
        </is>
      </c>
      <c r="K117" s="15" t="inlineStr">
        <is>
          <t xml:space="preserve">Yes</t>
        </is>
      </c>
      <c r="L117" s="15" t="inlineStr">
        <is>
          <t xml:space="preserve">High</t>
        </is>
      </c>
      <c r="M117" s="15" t="inlineStr">
        <is>
          <t xml:space="preserve">High</t>
        </is>
      </c>
      <c r="N117" s="15" t="inlineStr">
        <is>
          <t xml:space="preserve">2 Samuel</t>
        </is>
      </c>
      <c r="O117" s="15"/>
      <c r="P117" s="15" t="inlineStr">
        <is>
          <t xml:space="preserve">Primary account</t>
        </is>
      </c>
      <c r="Q117" s="15" t="inlineStr">
        <is>
          <t xml:space="preserve">SRC-TEXT-2SAM; SRC-TEXT-1CHR; SRC-SAMUEL-OVERVIEW; SRC-CHRONICLES-OVERVIEW; SRC-DAVID-OVERVIEW</t>
        </is>
      </c>
      <c r="R117" s="11" t="inlineStr">
        <is>
          <t xml:space="preserve">Needs Review</t>
        </is>
      </c>
      <c r="S117" s="15" t="inlineStr">
        <is>
          <t xml:space="preserve">Canonical spine reading block for David's victories and administration.</t>
        </is>
      </c>
    </row>
    <row r="118" ht="34" customHeight="1">
      <c r="A118" s="15" t="inlineStr">
        <is>
          <t xml:space="preserve">v0.1</t>
        </is>
      </c>
      <c r="B118" s="15" t="inlineStr">
        <is>
          <t xml:space="preserve">Bible_Journey_Canon_Map_v0_1_Genesis_to_2Samuel.xlsx</t>
        </is>
      </c>
      <c r="C118" s="15" t="inlineStr">
        <is>
          <t xml:space="preserve">BLK-2SA-006-02</t>
        </is>
      </c>
      <c r="D118" s="15" t="inlineStr">
        <is>
          <t xml:space="preserve">CRS-2SA-006</t>
        </is>
      </c>
      <c r="E118" s="15">
        <v>2</v>
      </c>
      <c r="F118" s="15" t="inlineStr">
        <is>
          <t xml:space="preserve">1 Chronicles</t>
        </is>
      </c>
      <c r="G118" s="15" t="inlineStr">
        <is>
          <t xml:space="preserve">18</t>
        </is>
      </c>
      <c r="H118" s="15" t="inlineStr">
        <is>
          <t xml:space="preserve">Parallel Account</t>
        </is>
      </c>
      <c r="I118" s="15" t="inlineStr">
        <is>
          <t xml:space="preserve">No</t>
        </is>
      </c>
      <c r="J118" s="15" t="inlineStr">
        <is>
          <t xml:space="preserve">Yes</t>
        </is>
      </c>
      <c r="K118" s="15" t="inlineStr">
        <is>
          <t xml:space="preserve">No</t>
        </is>
      </c>
      <c r="L118" s="15" t="inlineStr">
        <is>
          <t xml:space="preserve">High</t>
        </is>
      </c>
      <c r="M118" s="15" t="inlineStr">
        <is>
          <t xml:space="preserve">High</t>
        </is>
      </c>
      <c r="N118" s="15" t="inlineStr">
        <is>
          <t xml:space="preserve">1 Chronicles</t>
        </is>
      </c>
      <c r="O118" s="15"/>
      <c r="P118" s="15" t="inlineStr">
        <is>
          <t xml:space="preserve">Parallel victories account</t>
        </is>
      </c>
      <c r="Q118" s="15" t="inlineStr">
        <is>
          <t xml:space="preserve">SRC-TEXT-1CHR; SRC-CHRONICLES-OVERVIEW</t>
        </is>
      </c>
      <c r="R118" s="11" t="inlineStr">
        <is>
          <t xml:space="preserve">Needs Review</t>
        </is>
      </c>
      <c r="S118" s="15" t="inlineStr">
        <is>
          <t xml:space="preserve">Chronicles parallels David's victories and administration with distinct wording and emphases.</t>
        </is>
      </c>
    </row>
    <row r="119" ht="34" customHeight="1">
      <c r="A119" s="15" t="inlineStr">
        <is>
          <t xml:space="preserve">v0.1</t>
        </is>
      </c>
      <c r="B119" s="15" t="inlineStr">
        <is>
          <t xml:space="preserve">Bible_Journey_Canon_Map_v0_1_Genesis_to_2Samuel.xlsx</t>
        </is>
      </c>
      <c r="C119" s="15" t="inlineStr">
        <is>
          <t xml:space="preserve">BLK-2SA-007-01</t>
        </is>
      </c>
      <c r="D119" s="15" t="inlineStr">
        <is>
          <t xml:space="preserve">CRS-2SA-007</t>
        </is>
      </c>
      <c r="E119" s="15">
        <v>1</v>
      </c>
      <c r="F119" s="15" t="inlineStr">
        <is>
          <t xml:space="preserve">2 Samuel</t>
        </is>
      </c>
      <c r="G119" s="15" t="inlineStr">
        <is>
          <t xml:space="preserve">9</t>
        </is>
      </c>
      <c r="H119" s="15" t="inlineStr">
        <is>
          <t xml:space="preserve">Primary Account</t>
        </is>
      </c>
      <c r="I119" s="15" t="inlineStr">
        <is>
          <t xml:space="preserve">Yes</t>
        </is>
      </c>
      <c r="J119" s="15" t="inlineStr">
        <is>
          <t xml:space="preserve">Yes</t>
        </is>
      </c>
      <c r="K119" s="15" t="inlineStr">
        <is>
          <t xml:space="preserve">Yes</t>
        </is>
      </c>
      <c r="L119" s="15" t="inlineStr">
        <is>
          <t xml:space="preserve">High</t>
        </is>
      </c>
      <c r="M119" s="15" t="inlineStr">
        <is>
          <t xml:space="preserve">High</t>
        </is>
      </c>
      <c r="N119" s="15" t="inlineStr">
        <is>
          <t xml:space="preserve">2 Samuel</t>
        </is>
      </c>
      <c r="O119" s="15"/>
      <c r="P119" s="15" t="inlineStr">
        <is>
          <t xml:space="preserve">Primary account</t>
        </is>
      </c>
      <c r="Q119" s="15" t="inlineStr">
        <is>
          <t xml:space="preserve">SRC-TEXT-2SAM; SRC-SAMUEL-OVERVIEW; SRC-DAVID-OVERVIEW</t>
        </is>
      </c>
      <c r="R119" s="11" t="inlineStr">
        <is>
          <t xml:space="preserve">Needs Review</t>
        </is>
      </c>
      <c r="S119" s="15" t="inlineStr">
        <is>
          <t xml:space="preserve">Canonical spine reading block for David and Mephibosheth.</t>
        </is>
      </c>
    </row>
    <row r="120" ht="34" customHeight="1">
      <c r="A120" s="15" t="inlineStr">
        <is>
          <t xml:space="preserve">v0.1</t>
        </is>
      </c>
      <c r="B120" s="15" t="inlineStr">
        <is>
          <t xml:space="preserve">Bible_Journey_Canon_Map_v0_1_Genesis_to_2Samuel.xlsx</t>
        </is>
      </c>
      <c r="C120" s="15" t="inlineStr">
        <is>
          <t xml:space="preserve">BLK-2SA-008-01</t>
        </is>
      </c>
      <c r="D120" s="15" t="inlineStr">
        <is>
          <t xml:space="preserve">CRS-2SA-008</t>
        </is>
      </c>
      <c r="E120" s="15">
        <v>1</v>
      </c>
      <c r="F120" s="15" t="inlineStr">
        <is>
          <t xml:space="preserve">2 Samuel</t>
        </is>
      </c>
      <c r="G120" s="15" t="inlineStr">
        <is>
          <t xml:space="preserve">10</t>
        </is>
      </c>
      <c r="H120" s="15" t="inlineStr">
        <is>
          <t xml:space="preserve">Primary Account</t>
        </is>
      </c>
      <c r="I120" s="15" t="inlineStr">
        <is>
          <t xml:space="preserve">Yes</t>
        </is>
      </c>
      <c r="J120" s="15" t="inlineStr">
        <is>
          <t xml:space="preserve">Yes</t>
        </is>
      </c>
      <c r="K120" s="15" t="inlineStr">
        <is>
          <t xml:space="preserve">Yes</t>
        </is>
      </c>
      <c r="L120" s="15" t="inlineStr">
        <is>
          <t xml:space="preserve">High</t>
        </is>
      </c>
      <c r="M120" s="15" t="inlineStr">
        <is>
          <t xml:space="preserve">High</t>
        </is>
      </c>
      <c r="N120" s="15" t="inlineStr">
        <is>
          <t xml:space="preserve">2 Samuel</t>
        </is>
      </c>
      <c r="O120" s="15"/>
      <c r="P120" s="15" t="inlineStr">
        <is>
          <t xml:space="preserve">Primary account</t>
        </is>
      </c>
      <c r="Q120" s="15" t="inlineStr">
        <is>
          <t xml:space="preserve">SRC-TEXT-2SAM; SRC-TEXT-1CHR; SRC-SAMUEL-OVERVIEW; SRC-CHRONICLES-OVERVIEW; SRC-DAVID-OVERVIEW</t>
        </is>
      </c>
      <c r="R120" s="11" t="inlineStr">
        <is>
          <t xml:space="preserve">Needs Review</t>
        </is>
      </c>
      <c r="S120" s="15" t="inlineStr">
        <is>
          <t xml:space="preserve">Canonical spine reading block for War with Ammon and Aram.</t>
        </is>
      </c>
    </row>
    <row r="121" ht="34" customHeight="1">
      <c r="A121" s="15" t="inlineStr">
        <is>
          <t xml:space="preserve">v0.1</t>
        </is>
      </c>
      <c r="B121" s="15" t="inlineStr">
        <is>
          <t xml:space="preserve">Bible_Journey_Canon_Map_v0_1_Genesis_to_2Samuel.xlsx</t>
        </is>
      </c>
      <c r="C121" s="15" t="inlineStr">
        <is>
          <t xml:space="preserve">BLK-2SA-008-02</t>
        </is>
      </c>
      <c r="D121" s="15" t="inlineStr">
        <is>
          <t xml:space="preserve">CRS-2SA-008</t>
        </is>
      </c>
      <c r="E121" s="15">
        <v>2</v>
      </c>
      <c r="F121" s="15" t="inlineStr">
        <is>
          <t xml:space="preserve">1 Chronicles</t>
        </is>
      </c>
      <c r="G121" s="15" t="inlineStr">
        <is>
          <t xml:space="preserve">19</t>
        </is>
      </c>
      <c r="H121" s="15" t="inlineStr">
        <is>
          <t xml:space="preserve">Parallel Account</t>
        </is>
      </c>
      <c r="I121" s="15" t="inlineStr">
        <is>
          <t xml:space="preserve">No</t>
        </is>
      </c>
      <c r="J121" s="15" t="inlineStr">
        <is>
          <t xml:space="preserve">Yes</t>
        </is>
      </c>
      <c r="K121" s="15" t="inlineStr">
        <is>
          <t xml:space="preserve">No</t>
        </is>
      </c>
      <c r="L121" s="15" t="inlineStr">
        <is>
          <t xml:space="preserve">High</t>
        </is>
      </c>
      <c r="M121" s="15" t="inlineStr">
        <is>
          <t xml:space="preserve">High</t>
        </is>
      </c>
      <c r="N121" s="15" t="inlineStr">
        <is>
          <t xml:space="preserve">1 Chronicles</t>
        </is>
      </c>
      <c r="O121" s="15"/>
      <c r="P121" s="15" t="inlineStr">
        <is>
          <t xml:space="preserve">Parallel war account</t>
        </is>
      </c>
      <c r="Q121" s="15" t="inlineStr">
        <is>
          <t xml:space="preserve">SRC-TEXT-1CHR; SRC-CHRONICLES-OVERVIEW</t>
        </is>
      </c>
      <c r="R121" s="11" t="inlineStr">
        <is>
          <t xml:space="preserve">Needs Review</t>
        </is>
      </c>
      <c r="S121" s="15" t="inlineStr">
        <is>
          <t xml:space="preserve">Chronicles provides a parallel account of the Ammonite and Aramean conflict.</t>
        </is>
      </c>
    </row>
    <row r="122" ht="34" customHeight="1">
      <c r="A122" s="15" t="inlineStr">
        <is>
          <t xml:space="preserve">v0.1</t>
        </is>
      </c>
      <c r="B122" s="15" t="inlineStr">
        <is>
          <t xml:space="preserve">Bible_Journey_Canon_Map_v0_1_Genesis_to_2Samuel.xlsx</t>
        </is>
      </c>
      <c r="C122" s="15" t="inlineStr">
        <is>
          <t xml:space="preserve">BLK-2SA-009-01</t>
        </is>
      </c>
      <c r="D122" s="15" t="inlineStr">
        <is>
          <t xml:space="preserve">CRS-2SA-009</t>
        </is>
      </c>
      <c r="E122" s="15">
        <v>1</v>
      </c>
      <c r="F122" s="15" t="inlineStr">
        <is>
          <t xml:space="preserve">2 Samuel</t>
        </is>
      </c>
      <c r="G122" s="15" t="inlineStr">
        <is>
          <t xml:space="preserve">11</t>
        </is>
      </c>
      <c r="H122" s="15" t="inlineStr">
        <is>
          <t xml:space="preserve">Primary Account</t>
        </is>
      </c>
      <c r="I122" s="15" t="inlineStr">
        <is>
          <t xml:space="preserve">Yes</t>
        </is>
      </c>
      <c r="J122" s="15" t="inlineStr">
        <is>
          <t xml:space="preserve">Yes</t>
        </is>
      </c>
      <c r="K122" s="15" t="inlineStr">
        <is>
          <t xml:space="preserve">Yes</t>
        </is>
      </c>
      <c r="L122" s="15" t="inlineStr">
        <is>
          <t xml:space="preserve">High</t>
        </is>
      </c>
      <c r="M122" s="15" t="inlineStr">
        <is>
          <t xml:space="preserve">High</t>
        </is>
      </c>
      <c r="N122" s="15" t="inlineStr">
        <is>
          <t xml:space="preserve">2 Samuel</t>
        </is>
      </c>
      <c r="O122" s="15"/>
      <c r="P122" s="15" t="inlineStr">
        <is>
          <t xml:space="preserve">Primary account</t>
        </is>
      </c>
      <c r="Q122" s="15" t="inlineStr">
        <is>
          <t xml:space="preserve">SRC-TEXT-2SAM; SRC-SAMUEL-OVERVIEW; SRC-DAVID-OVERVIEW</t>
        </is>
      </c>
      <c r="R122" s="11" t="inlineStr">
        <is>
          <t xml:space="preserve">Needs Review</t>
        </is>
      </c>
      <c r="S122" s="15" t="inlineStr">
        <is>
          <t xml:space="preserve">Canonical spine reading block for David, Bathsheba, and Uriah.</t>
        </is>
      </c>
    </row>
    <row r="123" ht="34" customHeight="1">
      <c r="A123" s="15" t="inlineStr">
        <is>
          <t xml:space="preserve">v0.1</t>
        </is>
      </c>
      <c r="B123" s="15" t="inlineStr">
        <is>
          <t xml:space="preserve">Bible_Journey_Canon_Map_v0_1_Genesis_to_2Samuel.xlsx</t>
        </is>
      </c>
      <c r="C123" s="15" t="inlineStr">
        <is>
          <t xml:space="preserve">BLK-2SA-010-01</t>
        </is>
      </c>
      <c r="D123" s="15" t="inlineStr">
        <is>
          <t xml:space="preserve">CRS-2SA-010</t>
        </is>
      </c>
      <c r="E123" s="15">
        <v>1</v>
      </c>
      <c r="F123" s="15" t="inlineStr">
        <is>
          <t xml:space="preserve">2 Samuel</t>
        </is>
      </c>
      <c r="G123" s="15" t="inlineStr">
        <is>
          <t xml:space="preserve">12</t>
        </is>
      </c>
      <c r="H123" s="15" t="inlineStr">
        <is>
          <t xml:space="preserve">Primary Account</t>
        </is>
      </c>
      <c r="I123" s="15" t="inlineStr">
        <is>
          <t xml:space="preserve">Yes</t>
        </is>
      </c>
      <c r="J123" s="15" t="inlineStr">
        <is>
          <t xml:space="preserve">Yes</t>
        </is>
      </c>
      <c r="K123" s="15" t="inlineStr">
        <is>
          <t xml:space="preserve">Yes</t>
        </is>
      </c>
      <c r="L123" s="15" t="inlineStr">
        <is>
          <t xml:space="preserve">High</t>
        </is>
      </c>
      <c r="M123" s="15" t="inlineStr">
        <is>
          <t xml:space="preserve">High</t>
        </is>
      </c>
      <c r="N123" s="15" t="inlineStr">
        <is>
          <t xml:space="preserve">2 Samuel</t>
        </is>
      </c>
      <c r="O123" s="15"/>
      <c r="P123" s="15" t="inlineStr">
        <is>
          <t xml:space="preserve">Primary account</t>
        </is>
      </c>
      <c r="Q123" s="15" t="inlineStr">
        <is>
          <t xml:space="preserve">SRC-TEXT-2SAM; SRC-SAMUEL-OVERVIEW; SRC-DAVID-OVERVIEW</t>
        </is>
      </c>
      <c r="R123" s="11" t="inlineStr">
        <is>
          <t xml:space="preserve">Needs Review</t>
        </is>
      </c>
      <c r="S123" s="15" t="inlineStr">
        <is>
          <t xml:space="preserve">Canonical spine reading block for Nathan confronts David and the consequences begin.</t>
        </is>
      </c>
    </row>
    <row r="124" ht="34" customHeight="1">
      <c r="A124" s="15" t="inlineStr">
        <is>
          <t xml:space="preserve">v0.1</t>
        </is>
      </c>
      <c r="B124" s="15" t="inlineStr">
        <is>
          <t xml:space="preserve">Bible_Journey_Canon_Map_v0_1_Genesis_to_2Samuel.xlsx</t>
        </is>
      </c>
      <c r="C124" s="15" t="inlineStr">
        <is>
          <t xml:space="preserve">BLK-2SA-011-01</t>
        </is>
      </c>
      <c r="D124" s="15" t="inlineStr">
        <is>
          <t xml:space="preserve">CRS-2SA-011</t>
        </is>
      </c>
      <c r="E124" s="15">
        <v>1</v>
      </c>
      <c r="F124" s="15" t="inlineStr">
        <is>
          <t xml:space="preserve">2 Samuel</t>
        </is>
      </c>
      <c r="G124" s="15" t="inlineStr">
        <is>
          <t xml:space="preserve">13</t>
        </is>
      </c>
      <c r="H124" s="15" t="inlineStr">
        <is>
          <t xml:space="preserve">Primary Account</t>
        </is>
      </c>
      <c r="I124" s="15" t="inlineStr">
        <is>
          <t xml:space="preserve">Yes</t>
        </is>
      </c>
      <c r="J124" s="15" t="inlineStr">
        <is>
          <t xml:space="preserve">Yes</t>
        </is>
      </c>
      <c r="K124" s="15" t="inlineStr">
        <is>
          <t xml:space="preserve">Yes</t>
        </is>
      </c>
      <c r="L124" s="15" t="inlineStr">
        <is>
          <t xml:space="preserve">High</t>
        </is>
      </c>
      <c r="M124" s="15" t="inlineStr">
        <is>
          <t xml:space="preserve">High</t>
        </is>
      </c>
      <c r="N124" s="15" t="inlineStr">
        <is>
          <t xml:space="preserve">2 Samuel</t>
        </is>
      </c>
      <c r="O124" s="15"/>
      <c r="P124" s="15" t="inlineStr">
        <is>
          <t xml:space="preserve">Primary account</t>
        </is>
      </c>
      <c r="Q124" s="15" t="inlineStr">
        <is>
          <t xml:space="preserve">SRC-TEXT-2SAM; SRC-SAMUEL-OVERVIEW; SRC-DAVID-OVERVIEW</t>
        </is>
      </c>
      <c r="R124" s="11" t="inlineStr">
        <is>
          <t xml:space="preserve">Needs Review</t>
        </is>
      </c>
      <c r="S124" s="15" t="inlineStr">
        <is>
          <t xml:space="preserve">Canonical spine reading block for Amnon, Tamar, and Absalom.</t>
        </is>
      </c>
    </row>
    <row r="125" ht="34" customHeight="1">
      <c r="A125" s="15" t="inlineStr">
        <is>
          <t xml:space="preserve">v0.1</t>
        </is>
      </c>
      <c r="B125" s="15" t="inlineStr">
        <is>
          <t xml:space="preserve">Bible_Journey_Canon_Map_v0_1_Genesis_to_2Samuel.xlsx</t>
        </is>
      </c>
      <c r="C125" s="15" t="inlineStr">
        <is>
          <t xml:space="preserve">BLK-2SA-012-01</t>
        </is>
      </c>
      <c r="D125" s="15" t="inlineStr">
        <is>
          <t xml:space="preserve">CRS-2SA-012</t>
        </is>
      </c>
      <c r="E125" s="15">
        <v>1</v>
      </c>
      <c r="F125" s="15" t="inlineStr">
        <is>
          <t xml:space="preserve">2 Samuel</t>
        </is>
      </c>
      <c r="G125" s="15" t="inlineStr">
        <is>
          <t xml:space="preserve">14</t>
        </is>
      </c>
      <c r="H125" s="15" t="inlineStr">
        <is>
          <t xml:space="preserve">Primary Account</t>
        </is>
      </c>
      <c r="I125" s="15" t="inlineStr">
        <is>
          <t xml:space="preserve">Yes</t>
        </is>
      </c>
      <c r="J125" s="15" t="inlineStr">
        <is>
          <t xml:space="preserve">Yes</t>
        </is>
      </c>
      <c r="K125" s="15" t="inlineStr">
        <is>
          <t xml:space="preserve">Yes</t>
        </is>
      </c>
      <c r="L125" s="15" t="inlineStr">
        <is>
          <t xml:space="preserve">High</t>
        </is>
      </c>
      <c r="M125" s="15" t="inlineStr">
        <is>
          <t xml:space="preserve">High</t>
        </is>
      </c>
      <c r="N125" s="15" t="inlineStr">
        <is>
          <t xml:space="preserve">2 Samuel</t>
        </is>
      </c>
      <c r="O125" s="15"/>
      <c r="P125" s="15" t="inlineStr">
        <is>
          <t xml:space="preserve">Primary account</t>
        </is>
      </c>
      <c r="Q125" s="15" t="inlineStr">
        <is>
          <t xml:space="preserve">SRC-TEXT-2SAM; SRC-SAMUEL-OVERVIEW; SRC-DAVID-OVERVIEW</t>
        </is>
      </c>
      <c r="R125" s="11" t="inlineStr">
        <is>
          <t xml:space="preserve">Needs Review</t>
        </is>
      </c>
      <c r="S125" s="15" t="inlineStr">
        <is>
          <t xml:space="preserve">Canonical spine reading block for Absalom returns to Jerusalem.</t>
        </is>
      </c>
    </row>
    <row r="126" ht="34" customHeight="1">
      <c r="A126" s="15" t="inlineStr">
        <is>
          <t xml:space="preserve">v0.1</t>
        </is>
      </c>
      <c r="B126" s="15" t="inlineStr">
        <is>
          <t xml:space="preserve">Bible_Journey_Canon_Map_v0_1_Genesis_to_2Samuel.xlsx</t>
        </is>
      </c>
      <c r="C126" s="15" t="inlineStr">
        <is>
          <t xml:space="preserve">BLK-2SA-013-01</t>
        </is>
      </c>
      <c r="D126" s="15" t="inlineStr">
        <is>
          <t xml:space="preserve">CRS-2SA-013</t>
        </is>
      </c>
      <c r="E126" s="15">
        <v>1</v>
      </c>
      <c r="F126" s="15" t="inlineStr">
        <is>
          <t xml:space="preserve">2 Samuel</t>
        </is>
      </c>
      <c r="G126" s="15" t="inlineStr">
        <is>
          <t xml:space="preserve">15</t>
        </is>
      </c>
      <c r="H126" s="15" t="inlineStr">
        <is>
          <t xml:space="preserve">Primary Account</t>
        </is>
      </c>
      <c r="I126" s="15" t="inlineStr">
        <is>
          <t xml:space="preserve">Yes</t>
        </is>
      </c>
      <c r="J126" s="15" t="inlineStr">
        <is>
          <t xml:space="preserve">Yes</t>
        </is>
      </c>
      <c r="K126" s="15" t="inlineStr">
        <is>
          <t xml:space="preserve">Yes</t>
        </is>
      </c>
      <c r="L126" s="15" t="inlineStr">
        <is>
          <t xml:space="preserve">High</t>
        </is>
      </c>
      <c r="M126" s="15" t="inlineStr">
        <is>
          <t xml:space="preserve">High</t>
        </is>
      </c>
      <c r="N126" s="15" t="inlineStr">
        <is>
          <t xml:space="preserve">2 Samuel</t>
        </is>
      </c>
      <c r="O126" s="15"/>
      <c r="P126" s="15" t="inlineStr">
        <is>
          <t xml:space="preserve">Primary account</t>
        </is>
      </c>
      <c r="Q126" s="15" t="inlineStr">
        <is>
          <t xml:space="preserve">SRC-TEXT-2SAM; SRC-SAMUEL-OVERVIEW; SRC-DAVID-OVERVIEW</t>
        </is>
      </c>
      <c r="R126" s="11" t="inlineStr">
        <is>
          <t xml:space="preserve">Needs Review</t>
        </is>
      </c>
      <c r="S126" s="15" t="inlineStr">
        <is>
          <t xml:space="preserve">Canonical spine reading block for Absalom's rebellion begins.</t>
        </is>
      </c>
    </row>
    <row r="127" ht="34" customHeight="1">
      <c r="A127" s="15" t="inlineStr">
        <is>
          <t xml:space="preserve">v0.1</t>
        </is>
      </c>
      <c r="B127" s="15" t="inlineStr">
        <is>
          <t xml:space="preserve">Bible_Journey_Canon_Map_v0_1_Genesis_to_2Samuel.xlsx</t>
        </is>
      </c>
      <c r="C127" s="15" t="inlineStr">
        <is>
          <t xml:space="preserve">BLK-2SA-014-01</t>
        </is>
      </c>
      <c r="D127" s="15" t="inlineStr">
        <is>
          <t xml:space="preserve">CRS-2SA-014</t>
        </is>
      </c>
      <c r="E127" s="15">
        <v>1</v>
      </c>
      <c r="F127" s="15" t="inlineStr">
        <is>
          <t xml:space="preserve">2 Samuel</t>
        </is>
      </c>
      <c r="G127" s="15" t="inlineStr">
        <is>
          <t xml:space="preserve">16</t>
        </is>
      </c>
      <c r="H127" s="15" t="inlineStr">
        <is>
          <t xml:space="preserve">Primary Account</t>
        </is>
      </c>
      <c r="I127" s="15" t="inlineStr">
        <is>
          <t xml:space="preserve">Yes</t>
        </is>
      </c>
      <c r="J127" s="15" t="inlineStr">
        <is>
          <t xml:space="preserve">Yes</t>
        </is>
      </c>
      <c r="K127" s="15" t="inlineStr">
        <is>
          <t xml:space="preserve">Yes</t>
        </is>
      </c>
      <c r="L127" s="15" t="inlineStr">
        <is>
          <t xml:space="preserve">High</t>
        </is>
      </c>
      <c r="M127" s="15" t="inlineStr">
        <is>
          <t xml:space="preserve">High</t>
        </is>
      </c>
      <c r="N127" s="15" t="inlineStr">
        <is>
          <t xml:space="preserve">2 Samuel</t>
        </is>
      </c>
      <c r="O127" s="15"/>
      <c r="P127" s="15" t="inlineStr">
        <is>
          <t xml:space="preserve">Primary account</t>
        </is>
      </c>
      <c r="Q127" s="15" t="inlineStr">
        <is>
          <t xml:space="preserve">SRC-TEXT-2SAM; SRC-SAMUEL-OVERVIEW; SRC-DAVID-OVERVIEW</t>
        </is>
      </c>
      <c r="R127" s="11" t="inlineStr">
        <is>
          <t xml:space="preserve">Needs Review</t>
        </is>
      </c>
      <c r="S127" s="15" t="inlineStr">
        <is>
          <t xml:space="preserve">Canonical spine reading block for David flees Jerusalem.</t>
        </is>
      </c>
    </row>
    <row r="128" ht="34" customHeight="1">
      <c r="A128" s="15" t="inlineStr">
        <is>
          <t xml:space="preserve">v0.1</t>
        </is>
      </c>
      <c r="B128" s="15" t="inlineStr">
        <is>
          <t xml:space="preserve">Bible_Journey_Canon_Map_v0_1_Genesis_to_2Samuel.xlsx</t>
        </is>
      </c>
      <c r="C128" s="15" t="inlineStr">
        <is>
          <t xml:space="preserve">BLK-2SA-015-01</t>
        </is>
      </c>
      <c r="D128" s="15" t="inlineStr">
        <is>
          <t xml:space="preserve">CRS-2SA-015</t>
        </is>
      </c>
      <c r="E128" s="15">
        <v>1</v>
      </c>
      <c r="F128" s="15" t="inlineStr">
        <is>
          <t xml:space="preserve">2 Samuel</t>
        </is>
      </c>
      <c r="G128" s="15" t="inlineStr">
        <is>
          <t xml:space="preserve">17</t>
        </is>
      </c>
      <c r="H128" s="15" t="inlineStr">
        <is>
          <t xml:space="preserve">Primary Account</t>
        </is>
      </c>
      <c r="I128" s="15" t="inlineStr">
        <is>
          <t xml:space="preserve">Yes</t>
        </is>
      </c>
      <c r="J128" s="15" t="inlineStr">
        <is>
          <t xml:space="preserve">Yes</t>
        </is>
      </c>
      <c r="K128" s="15" t="inlineStr">
        <is>
          <t xml:space="preserve">Yes</t>
        </is>
      </c>
      <c r="L128" s="15" t="inlineStr">
        <is>
          <t xml:space="preserve">High</t>
        </is>
      </c>
      <c r="M128" s="15" t="inlineStr">
        <is>
          <t xml:space="preserve">High</t>
        </is>
      </c>
      <c r="N128" s="15" t="inlineStr">
        <is>
          <t xml:space="preserve">2 Samuel</t>
        </is>
      </c>
      <c r="O128" s="15"/>
      <c r="P128" s="15" t="inlineStr">
        <is>
          <t xml:space="preserve">Primary account</t>
        </is>
      </c>
      <c r="Q128" s="15" t="inlineStr">
        <is>
          <t xml:space="preserve">SRC-TEXT-2SAM; SRC-SAMUEL-OVERVIEW; SRC-DAVID-OVERVIEW</t>
        </is>
      </c>
      <c r="R128" s="11" t="inlineStr">
        <is>
          <t xml:space="preserve">Needs Review</t>
        </is>
      </c>
      <c r="S128" s="15" t="inlineStr">
        <is>
          <t xml:space="preserve">Canonical spine reading block for Counsel, pursuit, and Hushai's intervention.</t>
        </is>
      </c>
    </row>
    <row r="129" ht="34" customHeight="1">
      <c r="A129" s="15" t="inlineStr">
        <is>
          <t xml:space="preserve">v0.1</t>
        </is>
      </c>
      <c r="B129" s="15" t="inlineStr">
        <is>
          <t xml:space="preserve">Bible_Journey_Canon_Map_v0_1_Genesis_to_2Samuel.xlsx</t>
        </is>
      </c>
      <c r="C129" s="15" t="inlineStr">
        <is>
          <t xml:space="preserve">BLK-2SA-016-01</t>
        </is>
      </c>
      <c r="D129" s="15" t="inlineStr">
        <is>
          <t xml:space="preserve">CRS-2SA-016</t>
        </is>
      </c>
      <c r="E129" s="15">
        <v>1</v>
      </c>
      <c r="F129" s="15" t="inlineStr">
        <is>
          <t xml:space="preserve">2 Samuel</t>
        </is>
      </c>
      <c r="G129" s="15" t="inlineStr">
        <is>
          <t xml:space="preserve">18</t>
        </is>
      </c>
      <c r="H129" s="15" t="inlineStr">
        <is>
          <t xml:space="preserve">Primary Account</t>
        </is>
      </c>
      <c r="I129" s="15" t="inlineStr">
        <is>
          <t xml:space="preserve">Yes</t>
        </is>
      </c>
      <c r="J129" s="15" t="inlineStr">
        <is>
          <t xml:space="preserve">Yes</t>
        </is>
      </c>
      <c r="K129" s="15" t="inlineStr">
        <is>
          <t xml:space="preserve">Yes</t>
        </is>
      </c>
      <c r="L129" s="15" t="inlineStr">
        <is>
          <t xml:space="preserve">High</t>
        </is>
      </c>
      <c r="M129" s="15" t="inlineStr">
        <is>
          <t xml:space="preserve">High</t>
        </is>
      </c>
      <c r="N129" s="15" t="inlineStr">
        <is>
          <t xml:space="preserve">2 Samuel</t>
        </is>
      </c>
      <c r="O129" s="15"/>
      <c r="P129" s="15" t="inlineStr">
        <is>
          <t xml:space="preserve">Primary account</t>
        </is>
      </c>
      <c r="Q129" s="15" t="inlineStr">
        <is>
          <t xml:space="preserve">SRC-TEXT-2SAM; SRC-SAMUEL-OVERVIEW; SRC-DAVID-OVERVIEW</t>
        </is>
      </c>
      <c r="R129" s="11" t="inlineStr">
        <is>
          <t xml:space="preserve">Needs Review</t>
        </is>
      </c>
      <c r="S129" s="15" t="inlineStr">
        <is>
          <t xml:space="preserve">Canonical spine reading block for Absalom's defeat and death.</t>
        </is>
      </c>
    </row>
    <row r="130" ht="34" customHeight="1">
      <c r="A130" s="15" t="inlineStr">
        <is>
          <t xml:space="preserve">v0.1</t>
        </is>
      </c>
      <c r="B130" s="15" t="inlineStr">
        <is>
          <t xml:space="preserve">Bible_Journey_Canon_Map_v0_1_Genesis_to_2Samuel.xlsx</t>
        </is>
      </c>
      <c r="C130" s="15" t="inlineStr">
        <is>
          <t xml:space="preserve">BLK-2SA-017-01</t>
        </is>
      </c>
      <c r="D130" s="15" t="inlineStr">
        <is>
          <t xml:space="preserve">CRS-2SA-017</t>
        </is>
      </c>
      <c r="E130" s="15">
        <v>1</v>
      </c>
      <c r="F130" s="15" t="inlineStr">
        <is>
          <t xml:space="preserve">2 Samuel</t>
        </is>
      </c>
      <c r="G130" s="15" t="inlineStr">
        <is>
          <t xml:space="preserve">19-20</t>
        </is>
      </c>
      <c r="H130" s="15" t="inlineStr">
        <is>
          <t xml:space="preserve">Primary Account</t>
        </is>
      </c>
      <c r="I130" s="15" t="inlineStr">
        <is>
          <t xml:space="preserve">Yes</t>
        </is>
      </c>
      <c r="J130" s="15" t="inlineStr">
        <is>
          <t xml:space="preserve">Yes</t>
        </is>
      </c>
      <c r="K130" s="15" t="inlineStr">
        <is>
          <t xml:space="preserve">Yes</t>
        </is>
      </c>
      <c r="L130" s="15" t="inlineStr">
        <is>
          <t xml:space="preserve">High</t>
        </is>
      </c>
      <c r="M130" s="15" t="inlineStr">
        <is>
          <t xml:space="preserve">High</t>
        </is>
      </c>
      <c r="N130" s="15" t="inlineStr">
        <is>
          <t xml:space="preserve">2 Samuel</t>
        </is>
      </c>
      <c r="O130" s="15"/>
      <c r="P130" s="15" t="inlineStr">
        <is>
          <t xml:space="preserve">Primary account</t>
        </is>
      </c>
      <c r="Q130" s="15" t="inlineStr">
        <is>
          <t xml:space="preserve">SRC-TEXT-2SAM; SRC-SAMUEL-OVERVIEW; SRC-DAVID-OVERVIEW</t>
        </is>
      </c>
      <c r="R130" s="11" t="inlineStr">
        <is>
          <t xml:space="preserve">Needs Review</t>
        </is>
      </c>
      <c r="S130" s="15" t="inlineStr">
        <is>
          <t xml:space="preserve">Canonical spine reading block for David returns and Sheba rebels.</t>
        </is>
      </c>
    </row>
    <row r="131" ht="34" customHeight="1">
      <c r="A131" s="15" t="inlineStr">
        <is>
          <t xml:space="preserve">v0.1</t>
        </is>
      </c>
      <c r="B131" s="15" t="inlineStr">
        <is>
          <t xml:space="preserve">Bible_Journey_Canon_Map_v0_1_Genesis_to_2Samuel.xlsx</t>
        </is>
      </c>
      <c r="C131" s="15" t="inlineStr">
        <is>
          <t xml:space="preserve">BLK-2SA-018-01</t>
        </is>
      </c>
      <c r="D131" s="15" t="inlineStr">
        <is>
          <t xml:space="preserve">CRS-2SA-018</t>
        </is>
      </c>
      <c r="E131" s="15">
        <v>1</v>
      </c>
      <c r="F131" s="15" t="inlineStr">
        <is>
          <t xml:space="preserve">2 Samuel</t>
        </is>
      </c>
      <c r="G131" s="15" t="inlineStr">
        <is>
          <t xml:space="preserve">21</t>
        </is>
      </c>
      <c r="H131" s="15" t="inlineStr">
        <is>
          <t xml:space="preserve">Primary Account</t>
        </is>
      </c>
      <c r="I131" s="15" t="inlineStr">
        <is>
          <t xml:space="preserve">Yes</t>
        </is>
      </c>
      <c r="J131" s="15" t="inlineStr">
        <is>
          <t xml:space="preserve">Yes</t>
        </is>
      </c>
      <c r="K131" s="15" t="inlineStr">
        <is>
          <t xml:space="preserve">Yes</t>
        </is>
      </c>
      <c r="L131" s="15" t="inlineStr">
        <is>
          <t xml:space="preserve">High</t>
        </is>
      </c>
      <c r="M131" s="15" t="inlineStr">
        <is>
          <t xml:space="preserve">Debated</t>
        </is>
      </c>
      <c r="N131" s="15" t="inlineStr">
        <is>
          <t xml:space="preserve">2 Samuel</t>
        </is>
      </c>
      <c r="O131" s="15"/>
      <c r="P131" s="15" t="inlineStr">
        <is>
          <t xml:space="preserve">Primary account</t>
        </is>
      </c>
      <c r="Q131" s="15" t="inlineStr">
        <is>
          <t xml:space="preserve">SRC-TEXT-2SAM; SRC-TEXT-1CHR; SRC-SAMUEL-OVERVIEW; SRC-CHRONICLES-OVERVIEW; SRC-DAVID-OVERVIEW</t>
        </is>
      </c>
      <c r="R131" s="11" t="inlineStr">
        <is>
          <t xml:space="preserve">Needs Review</t>
        </is>
      </c>
      <c r="S131" s="15" t="inlineStr">
        <is>
          <t xml:space="preserve">Canonical spine reading block for Famine, Gibeonites, and Philistine warriors.</t>
        </is>
      </c>
    </row>
    <row r="132" ht="34" customHeight="1">
      <c r="A132" s="15" t="inlineStr">
        <is>
          <t xml:space="preserve">v0.1</t>
        </is>
      </c>
      <c r="B132" s="15" t="inlineStr">
        <is>
          <t xml:space="preserve">Bible_Journey_Canon_Map_v0_1_Genesis_to_2Samuel.xlsx</t>
        </is>
      </c>
      <c r="C132" s="15" t="inlineStr">
        <is>
          <t xml:space="preserve">BLK-2SA-018-02</t>
        </is>
      </c>
      <c r="D132" s="15" t="inlineStr">
        <is>
          <t xml:space="preserve">CRS-2SA-018</t>
        </is>
      </c>
      <c r="E132" s="15">
        <v>2</v>
      </c>
      <c r="F132" s="15" t="inlineStr">
        <is>
          <t xml:space="preserve">1 Chronicles</t>
        </is>
      </c>
      <c r="G132" s="15" t="inlineStr">
        <is>
          <t xml:space="preserve">20:4-8</t>
        </is>
      </c>
      <c r="H132" s="15" t="inlineStr">
        <is>
          <t xml:space="preserve">Complementary Account</t>
        </is>
      </c>
      <c r="I132" s="15" t="inlineStr">
        <is>
          <t xml:space="preserve">No</t>
        </is>
      </c>
      <c r="J132" s="15" t="inlineStr">
        <is>
          <t xml:space="preserve">Yes</t>
        </is>
      </c>
      <c r="K132" s="15" t="inlineStr">
        <is>
          <t xml:space="preserve">No</t>
        </is>
      </c>
      <c r="L132" s="15" t="inlineStr">
        <is>
          <t xml:space="preserve">High</t>
        </is>
      </c>
      <c r="M132" s="15" t="inlineStr">
        <is>
          <t xml:space="preserve">Debated</t>
        </is>
      </c>
      <c r="N132" s="15" t="inlineStr">
        <is>
          <t xml:space="preserve">1 Chronicles</t>
        </is>
      </c>
      <c r="O132" s="15"/>
      <c r="P132" s="15" t="inlineStr">
        <is>
          <t xml:space="preserve">Related Philistine-war account</t>
        </is>
      </c>
      <c r="Q132" s="15" t="inlineStr">
        <is>
          <t xml:space="preserve">SRC-TEXT-1CHR; SRC-CHRONICLES-OVERVIEW</t>
        </is>
      </c>
      <c r="R132" s="15" t="inlineStr">
        <is>
          <t xml:space="preserve">Pending</t>
        </is>
      </c>
      <c r="S132" s="15" t="inlineStr">
        <is>
          <t xml:space="preserve">Chronicles includes a related list of Philistine warrior episodes; relative placement within David's reign is editorially uncertain.</t>
        </is>
      </c>
    </row>
    <row r="133" ht="34" customHeight="1">
      <c r="A133" s="15" t="inlineStr">
        <is>
          <t xml:space="preserve">v0.1</t>
        </is>
      </c>
      <c r="B133" s="15" t="inlineStr">
        <is>
          <t xml:space="preserve">Bible_Journey_Canon_Map_v0_1_Genesis_to_2Samuel.xlsx</t>
        </is>
      </c>
      <c r="C133" s="15" t="inlineStr">
        <is>
          <t xml:space="preserve">BLK-2SA-019-01</t>
        </is>
      </c>
      <c r="D133" s="15" t="inlineStr">
        <is>
          <t xml:space="preserve">CRS-2SA-019</t>
        </is>
      </c>
      <c r="E133" s="15">
        <v>1</v>
      </c>
      <c r="F133" s="15" t="inlineStr">
        <is>
          <t xml:space="preserve">2 Samuel</t>
        </is>
      </c>
      <c r="G133" s="15" t="inlineStr">
        <is>
          <t xml:space="preserve">22</t>
        </is>
      </c>
      <c r="H133" s="15" t="inlineStr">
        <is>
          <t xml:space="preserve">Primary Account</t>
        </is>
      </c>
      <c r="I133" s="15" t="inlineStr">
        <is>
          <t xml:space="preserve">Yes</t>
        </is>
      </c>
      <c r="J133" s="15" t="inlineStr">
        <is>
          <t xml:space="preserve">Yes</t>
        </is>
      </c>
      <c r="K133" s="15" t="inlineStr">
        <is>
          <t xml:space="preserve">Yes</t>
        </is>
      </c>
      <c r="L133" s="15" t="inlineStr">
        <is>
          <t xml:space="preserve">High</t>
        </is>
      </c>
      <c r="M133" s="15" t="inlineStr">
        <is>
          <t xml:space="preserve">Debated</t>
        </is>
      </c>
      <c r="N133" s="15" t="inlineStr">
        <is>
          <t xml:space="preserve">2 Samuel</t>
        </is>
      </c>
      <c r="O133" s="15"/>
      <c r="P133" s="15" t="inlineStr">
        <is>
          <t xml:space="preserve">Primary account</t>
        </is>
      </c>
      <c r="Q133" s="15" t="inlineStr">
        <is>
          <t xml:space="preserve">SRC-TEXT-2SAM; SRC-SAMUEL-OVERVIEW; SRC-DAVID-OVERVIEW</t>
        </is>
      </c>
      <c r="R133" s="11" t="inlineStr">
        <is>
          <t xml:space="preserve">Needs Review</t>
        </is>
      </c>
      <c r="S133" s="15" t="inlineStr">
        <is>
          <t xml:space="preserve">Canonical spine reading block for David's song of deliverance.</t>
        </is>
      </c>
    </row>
    <row r="134" ht="34" customHeight="1">
      <c r="A134" s="15" t="inlineStr">
        <is>
          <t xml:space="preserve">v0.1</t>
        </is>
      </c>
      <c r="B134" s="15" t="inlineStr">
        <is>
          <t xml:space="preserve">Bible_Journey_Canon_Map_v0_1_Genesis_to_2Samuel.xlsx</t>
        </is>
      </c>
      <c r="C134" s="15" t="inlineStr">
        <is>
          <t xml:space="preserve">BLK-2SA-019-02</t>
        </is>
      </c>
      <c r="D134" s="15" t="inlineStr">
        <is>
          <t xml:space="preserve">CRS-2SA-019</t>
        </is>
      </c>
      <c r="E134" s="15">
        <v>2</v>
      </c>
      <c r="F134" s="15" t="inlineStr">
        <is>
          <t xml:space="preserve">Psalms</t>
        </is>
      </c>
      <c r="G134" s="15" t="inlineStr">
        <is>
          <t xml:space="preserve">18</t>
        </is>
      </c>
      <c r="H134" s="15" t="inlineStr">
        <is>
          <t xml:space="preserve">Parallel Account</t>
        </is>
      </c>
      <c r="I134" s="15" t="inlineStr">
        <is>
          <t xml:space="preserve">No</t>
        </is>
      </c>
      <c r="J134" s="15" t="inlineStr">
        <is>
          <t xml:space="preserve">Yes</t>
        </is>
      </c>
      <c r="K134" s="15" t="inlineStr">
        <is>
          <t xml:space="preserve">No</t>
        </is>
      </c>
      <c r="L134" s="15" t="inlineStr">
        <is>
          <t xml:space="preserve">High</t>
        </is>
      </c>
      <c r="M134" s="15" t="inlineStr">
        <is>
          <t xml:space="preserve">Debated</t>
        </is>
      </c>
      <c r="N134" s="15" t="inlineStr">
        <is>
          <t xml:space="preserve">Psalms</t>
        </is>
      </c>
      <c r="O134" s="15"/>
      <c r="P134" s="15" t="inlineStr">
        <is>
          <t xml:space="preserve">Psalm 18 parallel</t>
        </is>
      </c>
      <c r="Q134" s="15" t="inlineStr">
        <is>
          <t xml:space="preserve">SRC-TEXT-PSALMS</t>
        </is>
      </c>
      <c r="R134" s="11" t="inlineStr">
        <is>
          <t xml:space="preserve">Needs Review</t>
        </is>
      </c>
      <c r="S134" s="15" t="inlineStr">
        <is>
          <t xml:space="preserve">Psalm 18 closely parallels 2 Samuel 22. Keep both texts intact and identify the relationship explicitly.</t>
        </is>
      </c>
    </row>
    <row r="135" ht="34" customHeight="1">
      <c r="A135" s="15" t="inlineStr">
        <is>
          <t xml:space="preserve">v0.1</t>
        </is>
      </c>
      <c r="B135" s="15" t="inlineStr">
        <is>
          <t xml:space="preserve">Bible_Journey_Canon_Map_v0_1_Genesis_to_2Samuel.xlsx</t>
        </is>
      </c>
      <c r="C135" s="15" t="inlineStr">
        <is>
          <t xml:space="preserve">BLK-2SA-020-01</t>
        </is>
      </c>
      <c r="D135" s="15" t="inlineStr">
        <is>
          <t xml:space="preserve">CRS-2SA-020</t>
        </is>
      </c>
      <c r="E135" s="15">
        <v>1</v>
      </c>
      <c r="F135" s="15" t="inlineStr">
        <is>
          <t xml:space="preserve">2 Samuel</t>
        </is>
      </c>
      <c r="G135" s="15" t="inlineStr">
        <is>
          <t xml:space="preserve">23</t>
        </is>
      </c>
      <c r="H135" s="15" t="inlineStr">
        <is>
          <t xml:space="preserve">Primary Account</t>
        </is>
      </c>
      <c r="I135" s="15" t="inlineStr">
        <is>
          <t xml:space="preserve">Yes</t>
        </is>
      </c>
      <c r="J135" s="15" t="inlineStr">
        <is>
          <t xml:space="preserve">Yes</t>
        </is>
      </c>
      <c r="K135" s="15" t="inlineStr">
        <is>
          <t xml:space="preserve">Yes</t>
        </is>
      </c>
      <c r="L135" s="15" t="inlineStr">
        <is>
          <t xml:space="preserve">High</t>
        </is>
      </c>
      <c r="M135" s="15" t="inlineStr">
        <is>
          <t xml:space="preserve">Debated</t>
        </is>
      </c>
      <c r="N135" s="15" t="inlineStr">
        <is>
          <t xml:space="preserve">2 Samuel</t>
        </is>
      </c>
      <c r="O135" s="15"/>
      <c r="P135" s="15" t="inlineStr">
        <is>
          <t xml:space="preserve">Primary account</t>
        </is>
      </c>
      <c r="Q135" s="15" t="inlineStr">
        <is>
          <t xml:space="preserve">SRC-TEXT-2SAM; SRC-TEXT-1CHR; SRC-SAMUEL-OVERVIEW; SRC-CHRONICLES-OVERVIEW; SRC-DAVID-OVERVIEW</t>
        </is>
      </c>
      <c r="R135" s="11" t="inlineStr">
        <is>
          <t xml:space="preserve">Needs Review</t>
        </is>
      </c>
      <c r="S135" s="15" t="inlineStr">
        <is>
          <t xml:space="preserve">Canonical spine reading block for David's final words and mighty men.</t>
        </is>
      </c>
    </row>
    <row r="136" ht="34" customHeight="1">
      <c r="A136" s="15" t="inlineStr">
        <is>
          <t xml:space="preserve">v0.1</t>
        </is>
      </c>
      <c r="B136" s="15" t="inlineStr">
        <is>
          <t xml:space="preserve">Bible_Journey_Canon_Map_v0_1_Genesis_to_2Samuel.xlsx</t>
        </is>
      </c>
      <c r="C136" s="15" t="inlineStr">
        <is>
          <t xml:space="preserve">BLK-2SA-020-02</t>
        </is>
      </c>
      <c r="D136" s="15" t="inlineStr">
        <is>
          <t xml:space="preserve">CRS-2SA-020</t>
        </is>
      </c>
      <c r="E136" s="15">
        <v>2</v>
      </c>
      <c r="F136" s="15" t="inlineStr">
        <is>
          <t xml:space="preserve">1 Chronicles</t>
        </is>
      </c>
      <c r="G136" s="15" t="inlineStr">
        <is>
          <t xml:space="preserve">11:10-47</t>
        </is>
      </c>
      <c r="H136" s="15" t="inlineStr">
        <is>
          <t xml:space="preserve">Complementary Account</t>
        </is>
      </c>
      <c r="I136" s="15" t="inlineStr">
        <is>
          <t xml:space="preserve">No</t>
        </is>
      </c>
      <c r="J136" s="15" t="inlineStr">
        <is>
          <t xml:space="preserve">Yes</t>
        </is>
      </c>
      <c r="K136" s="15" t="inlineStr">
        <is>
          <t xml:space="preserve">No</t>
        </is>
      </c>
      <c r="L136" s="15" t="inlineStr">
        <is>
          <t xml:space="preserve">High</t>
        </is>
      </c>
      <c r="M136" s="15" t="inlineStr">
        <is>
          <t xml:space="preserve">Debated</t>
        </is>
      </c>
      <c r="N136" s="15" t="inlineStr">
        <is>
          <t xml:space="preserve">1 Chronicles</t>
        </is>
      </c>
      <c r="O136" s="15"/>
      <c r="P136" s="15" t="inlineStr">
        <is>
          <t xml:space="preserve">Mighty men in Chronicles</t>
        </is>
      </c>
      <c r="Q136" s="15" t="inlineStr">
        <is>
          <t xml:space="preserve">SRC-TEXT-1CHR; SRC-CHRONICLES-OVERVIEW</t>
        </is>
      </c>
      <c r="R136" s="15" t="inlineStr">
        <is>
          <t xml:space="preserve">Pending</t>
        </is>
      </c>
      <c r="S136" s="15" t="inlineStr">
        <is>
          <t xml:space="preserve">Chronicles preserves a related list of David's mighty men. Preserve the separate block and expose textual differences in Compare Accounts.</t>
        </is>
      </c>
    </row>
    <row r="137" ht="34" customHeight="1">
      <c r="A137" s="15" t="inlineStr">
        <is>
          <t xml:space="preserve">v0.1</t>
        </is>
      </c>
      <c r="B137" s="15" t="inlineStr">
        <is>
          <t xml:space="preserve">Bible_Journey_Canon_Map_v0_1_Genesis_to_2Samuel.xlsx</t>
        </is>
      </c>
      <c r="C137" s="15" t="inlineStr">
        <is>
          <t xml:space="preserve">BLK-2SA-021-01</t>
        </is>
      </c>
      <c r="D137" s="15" t="inlineStr">
        <is>
          <t xml:space="preserve">CRS-2SA-021</t>
        </is>
      </c>
      <c r="E137" s="15">
        <v>1</v>
      </c>
      <c r="F137" s="15" t="inlineStr">
        <is>
          <t xml:space="preserve">2 Samuel</t>
        </is>
      </c>
      <c r="G137" s="15" t="inlineStr">
        <is>
          <t xml:space="preserve">24</t>
        </is>
      </c>
      <c r="H137" s="15" t="inlineStr">
        <is>
          <t xml:space="preserve">Primary Account</t>
        </is>
      </c>
      <c r="I137" s="15" t="inlineStr">
        <is>
          <t xml:space="preserve">Yes</t>
        </is>
      </c>
      <c r="J137" s="15" t="inlineStr">
        <is>
          <t xml:space="preserve">Yes</t>
        </is>
      </c>
      <c r="K137" s="15" t="inlineStr">
        <is>
          <t xml:space="preserve">Yes</t>
        </is>
      </c>
      <c r="L137" s="15" t="inlineStr">
        <is>
          <t xml:space="preserve">High</t>
        </is>
      </c>
      <c r="M137" s="15" t="inlineStr">
        <is>
          <t xml:space="preserve">Debated</t>
        </is>
      </c>
      <c r="N137" s="15" t="inlineStr">
        <is>
          <t xml:space="preserve">2 Samuel</t>
        </is>
      </c>
      <c r="O137" s="15"/>
      <c r="P137" s="15" t="inlineStr">
        <is>
          <t xml:space="preserve">Primary account</t>
        </is>
      </c>
      <c r="Q137" s="15" t="inlineStr">
        <is>
          <t xml:space="preserve">SRC-TEXT-2SAM; SRC-TEXT-1CHR; SRC-SAMUEL-OVERVIEW; SRC-CHRONICLES-OVERVIEW; SRC-DAVID-OVERVIEW</t>
        </is>
      </c>
      <c r="R137" s="11" t="inlineStr">
        <is>
          <t xml:space="preserve">Needs Review</t>
        </is>
      </c>
      <c r="S137" s="15" t="inlineStr">
        <is>
          <t xml:space="preserve">Canonical spine reading block for David's census and the altar site.</t>
        </is>
      </c>
    </row>
    <row r="138" ht="34" customHeight="1">
      <c r="A138" s="15" t="inlineStr">
        <is>
          <t xml:space="preserve">v0.1</t>
        </is>
      </c>
      <c r="B138" s="15" t="inlineStr">
        <is>
          <t xml:space="preserve">Bible_Journey_Canon_Map_v0_1_Genesis_to_2Samuel.xlsx</t>
        </is>
      </c>
      <c r="C138" s="15" t="inlineStr">
        <is>
          <t xml:space="preserve">BLK-2SA-021-02</t>
        </is>
      </c>
      <c r="D138" s="15" t="inlineStr">
        <is>
          <t xml:space="preserve">CRS-2SA-021</t>
        </is>
      </c>
      <c r="E138" s="15">
        <v>2</v>
      </c>
      <c r="F138" s="15" t="inlineStr">
        <is>
          <t xml:space="preserve">1 Chronicles</t>
        </is>
      </c>
      <c r="G138" s="15" t="inlineStr">
        <is>
          <t xml:space="preserve">21</t>
        </is>
      </c>
      <c r="H138" s="15" t="inlineStr">
        <is>
          <t xml:space="preserve">Parallel Account</t>
        </is>
      </c>
      <c r="I138" s="15" t="inlineStr">
        <is>
          <t xml:space="preserve">No</t>
        </is>
      </c>
      <c r="J138" s="15" t="inlineStr">
        <is>
          <t xml:space="preserve">Yes</t>
        </is>
      </c>
      <c r="K138" s="15" t="inlineStr">
        <is>
          <t xml:space="preserve">No</t>
        </is>
      </c>
      <c r="L138" s="15" t="inlineStr">
        <is>
          <t xml:space="preserve">High</t>
        </is>
      </c>
      <c r="M138" s="15" t="inlineStr">
        <is>
          <t xml:space="preserve">Debated</t>
        </is>
      </c>
      <c r="N138" s="15" t="inlineStr">
        <is>
          <t xml:space="preserve">1 Chronicles</t>
        </is>
      </c>
      <c r="O138" s="15"/>
      <c r="P138" s="15" t="inlineStr">
        <is>
          <t xml:space="preserve">Parallel census account</t>
        </is>
      </c>
      <c r="Q138" s="15" t="inlineStr">
        <is>
          <t xml:space="preserve">SRC-TEXT-1CHR; SRC-CHRONICLES-OVERVIEW</t>
        </is>
      </c>
      <c r="R138" s="15" t="inlineStr">
        <is>
          <t xml:space="preserve">Pending</t>
        </is>
      </c>
      <c r="S138" s="15" t="inlineStr">
        <is>
          <t xml:space="preserve">Chronicles retells David's census, plague, and altar purchase with distinct details and framing.</t>
        </is>
      </c>
    </row>
    <row r="139" ht="34" customHeight="1">
      <c r="A139" s="15" t="inlineStr">
        <is>
          <t xml:space="preserve">v0.1</t>
        </is>
      </c>
      <c r="B139" s="15" t="inlineStr">
        <is>
          <t xml:space="preserve">Bible_Journey_Canon_Map_v0_1_Genesis_to_2Samuel.xlsx</t>
        </is>
      </c>
      <c r="C139" s="15" t="inlineStr">
        <is>
          <t xml:space="preserve">BLK-2SA-021-03</t>
        </is>
      </c>
      <c r="D139" s="15" t="inlineStr">
        <is>
          <t xml:space="preserve">CRS-2SA-021</t>
        </is>
      </c>
      <c r="E139" s="15">
        <v>3</v>
      </c>
      <c r="F139" s="15" t="inlineStr">
        <is>
          <t xml:space="preserve">1 Chronicles</t>
        </is>
      </c>
      <c r="G139" s="15" t="inlineStr">
        <is>
          <t xml:space="preserve">22:1</t>
        </is>
      </c>
      <c r="H139" s="15" t="inlineStr">
        <is>
          <t xml:space="preserve">Supplementary Reading</t>
        </is>
      </c>
      <c r="I139" s="15" t="inlineStr">
        <is>
          <t xml:space="preserve">No</t>
        </is>
      </c>
      <c r="J139" s="15" t="inlineStr">
        <is>
          <t xml:space="preserve">Yes</t>
        </is>
      </c>
      <c r="K139" s="15" t="inlineStr">
        <is>
          <t xml:space="preserve">No</t>
        </is>
      </c>
      <c r="L139" s="15" t="inlineStr">
        <is>
          <t xml:space="preserve">High</t>
        </is>
      </c>
      <c r="M139" s="15" t="inlineStr">
        <is>
          <t xml:space="preserve">Debated</t>
        </is>
      </c>
      <c r="N139" s="15" t="inlineStr">
        <is>
          <t xml:space="preserve">1 Chronicles</t>
        </is>
      </c>
      <c r="O139" s="15"/>
      <c r="P139" s="15" t="inlineStr">
        <is>
          <t xml:space="preserve">Temple-site continuation</t>
        </is>
      </c>
      <c r="Q139" s="15" t="inlineStr">
        <is>
          <t xml:space="preserve">SRC-TEXT-1CHR; SRC-CHRONICLES-OVERVIEW</t>
        </is>
      </c>
      <c r="R139" s="15" t="inlineStr">
        <is>
          <t xml:space="preserve">Pending</t>
        </is>
      </c>
      <c r="S139" s="15" t="inlineStr">
        <is>
          <t xml:space="preserve">This verse connects the altar site to David's preparation for the temple. It is a continuation, not a duplicate.</t>
        </is>
      </c>
    </row>
    <row r="140" ht="34" customHeight="1">
      <c r="A140" s="15" t="inlineStr">
        <is>
          <t xml:space="preserve">v0.2</t>
        </is>
      </c>
      <c r="B140" s="15" t="inlineStr">
        <is>
          <t xml:space="preserve">Bible_Journey_Canon_Map_v0_2_Chronicles_Psalms_Job_1Kings.xlsx</t>
        </is>
      </c>
      <c r="C140" s="15" t="inlineStr">
        <is>
          <t xml:space="preserve">BLK-1CH-007-01</t>
        </is>
      </c>
      <c r="D140" s="15" t="inlineStr">
        <is>
          <t xml:space="preserve">CRS-1CH-007</t>
        </is>
      </c>
      <c r="E140" s="15">
        <v>1</v>
      </c>
      <c r="F140" s="15" t="inlineStr">
        <is>
          <t xml:space="preserve">1 Chronicles</t>
        </is>
      </c>
      <c r="G140" s="15" t="inlineStr">
        <is>
          <t xml:space="preserve">10</t>
        </is>
      </c>
      <c r="H140" s="15" t="inlineStr">
        <is>
          <t xml:space="preserve">Parallel Account</t>
        </is>
      </c>
      <c r="I140" s="15" t="inlineStr">
        <is>
          <t xml:space="preserve">Yes</t>
        </is>
      </c>
      <c r="J140" s="15" t="inlineStr">
        <is>
          <t xml:space="preserve">Yes</t>
        </is>
      </c>
      <c r="K140" s="15" t="inlineStr">
        <is>
          <t xml:space="preserve">No</t>
        </is>
      </c>
      <c r="L140" s="15" t="inlineStr">
        <is>
          <t xml:space="preserve">High</t>
        </is>
      </c>
      <c r="M140" s="15" t="inlineStr">
        <is>
          <t xml:space="preserve">High</t>
        </is>
      </c>
      <c r="N140" s="15" t="inlineStr">
        <is>
          <t xml:space="preserve">Attach to v0.1 event</t>
        </is>
      </c>
      <c r="O140" s="15" t="inlineStr">
        <is>
          <t xml:space="preserve">CRS-1SA-021</t>
        </is>
      </c>
      <c r="P140" s="15" t="inlineStr">
        <is>
          <t xml:space="preserve">Parallel Account</t>
        </is>
      </c>
      <c r="Q140" s="15" t="inlineStr">
        <is>
          <t xml:space="preserve">SRC-TEXT-1CHR; SRC-CHRONICLES-OVERVIEW; SRC-CHRONICLES-BP</t>
        </is>
      </c>
      <c r="R140" s="11" t="inlineStr">
        <is>
          <t xml:space="preserve">Needs Review</t>
        </is>
      </c>
      <c r="S140" s="15" t="inlineStr">
        <is>
          <t xml:space="preserve">Canonical-scope block for Saul dies at Gilboa: Chronicles account.</t>
        </is>
      </c>
    </row>
    <row r="141" ht="34" customHeight="1">
      <c r="A141" s="15" t="inlineStr">
        <is>
          <t xml:space="preserve">v0.2</t>
        </is>
      </c>
      <c r="B141" s="15" t="inlineStr">
        <is>
          <t xml:space="preserve">Bible_Journey_Canon_Map_v0_2_Chronicles_Psalms_Job_1Kings.xlsx</t>
        </is>
      </c>
      <c r="C141" s="15" t="inlineStr">
        <is>
          <t xml:space="preserve">BLK-1CH-009-01</t>
        </is>
      </c>
      <c r="D141" s="15" t="inlineStr">
        <is>
          <t xml:space="preserve">CRS-1CH-009</t>
        </is>
      </c>
      <c r="E141" s="15">
        <v>1</v>
      </c>
      <c r="F141" s="15" t="inlineStr">
        <is>
          <t xml:space="preserve">1 Chronicles</t>
        </is>
      </c>
      <c r="G141" s="15" t="inlineStr">
        <is>
          <t xml:space="preserve">12</t>
        </is>
      </c>
      <c r="H141" s="15" t="inlineStr">
        <is>
          <t xml:space="preserve">Supplementary Reading</t>
        </is>
      </c>
      <c r="I141" s="15" t="inlineStr">
        <is>
          <t xml:space="preserve">Yes</t>
        </is>
      </c>
      <c r="J141" s="15" t="inlineStr">
        <is>
          <t xml:space="preserve">Yes</t>
        </is>
      </c>
      <c r="K141" s="15" t="inlineStr">
        <is>
          <t xml:space="preserve">No</t>
        </is>
      </c>
      <c r="L141" s="15" t="inlineStr">
        <is>
          <t xml:space="preserve">High</t>
        </is>
      </c>
      <c r="M141" s="15" t="inlineStr">
        <is>
          <t xml:space="preserve">Probable</t>
        </is>
      </c>
      <c r="N141" s="15" t="inlineStr">
        <is>
          <t xml:space="preserve">Contextual composite / multi-event window</t>
        </is>
      </c>
      <c r="O141" s="15" t="inlineStr">
        <is>
          <t xml:space="preserve">CRS-1SA-011–020; CRS-2SA-001</t>
        </is>
      </c>
      <c r="P141" s="15" t="inlineStr">
        <is>
          <t xml:space="preserve">Supplementary Reading</t>
        </is>
      </c>
      <c r="Q141" s="15" t="inlineStr">
        <is>
          <t xml:space="preserve">SRC-TEXT-1CHR; SRC-CHRONICLES-OVERVIEW; SRC-CHRONICLES-BP</t>
        </is>
      </c>
      <c r="R141" s="11" t="inlineStr">
        <is>
          <t xml:space="preserve">Needs Review</t>
        </is>
      </c>
      <c r="S141" s="15" t="inlineStr">
        <is>
          <t xml:space="preserve">Canonical-scope block for David's supporters gather to him.</t>
        </is>
      </c>
    </row>
    <row r="142" ht="34" customHeight="1">
      <c r="A142" s="15" t="inlineStr">
        <is>
          <t xml:space="preserve">v0.2</t>
        </is>
      </c>
      <c r="B142" s="15" t="inlineStr">
        <is>
          <t xml:space="preserve">Bible_Journey_Canon_Map_v0_2_Chronicles_Psalms_Job_1Kings.xlsx</t>
        </is>
      </c>
      <c r="C142" s="15" t="inlineStr">
        <is>
          <t xml:space="preserve">BLK-1CH-008-01</t>
        </is>
      </c>
      <c r="D142" s="15" t="inlineStr">
        <is>
          <t xml:space="preserve">CRS-1CH-008</t>
        </is>
      </c>
      <c r="E142" s="15">
        <v>1</v>
      </c>
      <c r="F142" s="15" t="inlineStr">
        <is>
          <t xml:space="preserve">1 Chronicles</t>
        </is>
      </c>
      <c r="G142" s="15" t="inlineStr">
        <is>
          <t xml:space="preserve">11</t>
        </is>
      </c>
      <c r="H142" s="15" t="inlineStr">
        <is>
          <t xml:space="preserve">Parallel Account</t>
        </is>
      </c>
      <c r="I142" s="15" t="inlineStr">
        <is>
          <t xml:space="preserve">Yes</t>
        </is>
      </c>
      <c r="J142" s="15" t="inlineStr">
        <is>
          <t xml:space="preserve">Yes</t>
        </is>
      </c>
      <c r="K142" s="15" t="inlineStr">
        <is>
          <t xml:space="preserve">No</t>
        </is>
      </c>
      <c r="L142" s="15" t="inlineStr">
        <is>
          <t xml:space="preserve">High</t>
        </is>
      </c>
      <c r="M142" s="15" t="inlineStr">
        <is>
          <t xml:space="preserve">High</t>
        </is>
      </c>
      <c r="N142" s="15" t="inlineStr">
        <is>
          <t xml:space="preserve">Attach to v0.1 event</t>
        </is>
      </c>
      <c r="O142" s="15" t="inlineStr">
        <is>
          <t xml:space="preserve">CRS-2SA-003</t>
        </is>
      </c>
      <c r="P142" s="15" t="inlineStr">
        <is>
          <t xml:space="preserve">Parallel Account</t>
        </is>
      </c>
      <c r="Q142" s="15" t="inlineStr">
        <is>
          <t xml:space="preserve">SRC-TEXT-1CHR; SRC-CHRONICLES-OVERVIEW; SRC-CHRONICLES-BP</t>
        </is>
      </c>
      <c r="R142" s="11" t="inlineStr">
        <is>
          <t xml:space="preserve">Needs Review</t>
        </is>
      </c>
      <c r="S142" s="15" t="inlineStr">
        <is>
          <t xml:space="preserve">Canonical-scope block for David becomes king and takes Jerusalem: Chronicles account.</t>
        </is>
      </c>
    </row>
    <row r="143" ht="34" customHeight="1">
      <c r="A143" s="15" t="inlineStr">
        <is>
          <t xml:space="preserve">v0.2</t>
        </is>
      </c>
      <c r="B143" s="15" t="inlineStr">
        <is>
          <t xml:space="preserve">Bible_Journey_Canon_Map_v0_2_Chronicles_Psalms_Job_1Kings.xlsx</t>
        </is>
      </c>
      <c r="C143" s="15" t="inlineStr">
        <is>
          <t xml:space="preserve">BLK-1CH-011-01</t>
        </is>
      </c>
      <c r="D143" s="15" t="inlineStr">
        <is>
          <t xml:space="preserve">CRS-1CH-011</t>
        </is>
      </c>
      <c r="E143" s="15">
        <v>1</v>
      </c>
      <c r="F143" s="15" t="inlineStr">
        <is>
          <t xml:space="preserve">1 Chronicles</t>
        </is>
      </c>
      <c r="G143" s="15" t="inlineStr">
        <is>
          <t xml:space="preserve">14</t>
        </is>
      </c>
      <c r="H143" s="15" t="inlineStr">
        <is>
          <t xml:space="preserve">Parallel Account</t>
        </is>
      </c>
      <c r="I143" s="15" t="inlineStr">
        <is>
          <t xml:space="preserve">Yes</t>
        </is>
      </c>
      <c r="J143" s="15" t="inlineStr">
        <is>
          <t xml:space="preserve">Yes</t>
        </is>
      </c>
      <c r="K143" s="15" t="inlineStr">
        <is>
          <t xml:space="preserve">No</t>
        </is>
      </c>
      <c r="L143" s="15" t="inlineStr">
        <is>
          <t xml:space="preserve">High</t>
        </is>
      </c>
      <c r="M143" s="15" t="inlineStr">
        <is>
          <t xml:space="preserve">High</t>
        </is>
      </c>
      <c r="N143" s="15" t="inlineStr">
        <is>
          <t xml:space="preserve">Attach to v0.1 event</t>
        </is>
      </c>
      <c r="O143" s="15" t="inlineStr">
        <is>
          <t xml:space="preserve">CRS-2SA-003</t>
        </is>
      </c>
      <c r="P143" s="15" t="inlineStr">
        <is>
          <t xml:space="preserve">Parallel Account</t>
        </is>
      </c>
      <c r="Q143" s="15" t="inlineStr">
        <is>
          <t xml:space="preserve">SRC-TEXT-1CHR; SRC-CHRONICLES-OVERVIEW; SRC-CHRONICLES-BP</t>
        </is>
      </c>
      <c r="R143" s="11" t="inlineStr">
        <is>
          <t xml:space="preserve">Needs Review</t>
        </is>
      </c>
      <c r="S143" s="15" t="inlineStr">
        <is>
          <t xml:space="preserve">Canonical-scope block for David's palace and wars with the Philistines: Chronicles account.</t>
        </is>
      </c>
    </row>
    <row r="144" ht="34" customHeight="1">
      <c r="A144" s="15" t="inlineStr">
        <is>
          <t xml:space="preserve">v0.2</t>
        </is>
      </c>
      <c r="B144" s="15" t="inlineStr">
        <is>
          <t xml:space="preserve">Bible_Journey_Canon_Map_v0_2_Chronicles_Psalms_Job_1Kings.xlsx</t>
        </is>
      </c>
      <c r="C144" s="15" t="inlineStr">
        <is>
          <t xml:space="preserve">BLK-1CH-010-01</t>
        </is>
      </c>
      <c r="D144" s="15" t="inlineStr">
        <is>
          <t xml:space="preserve">CRS-1CH-010</t>
        </is>
      </c>
      <c r="E144" s="15">
        <v>1</v>
      </c>
      <c r="F144" s="15" t="inlineStr">
        <is>
          <t xml:space="preserve">1 Chronicles</t>
        </is>
      </c>
      <c r="G144" s="15" t="inlineStr">
        <is>
          <t xml:space="preserve">13</t>
        </is>
      </c>
      <c r="H144" s="15" t="inlineStr">
        <is>
          <t xml:space="preserve">Parallel Account</t>
        </is>
      </c>
      <c r="I144" s="15" t="inlineStr">
        <is>
          <t xml:space="preserve">Yes</t>
        </is>
      </c>
      <c r="J144" s="15" t="inlineStr">
        <is>
          <t xml:space="preserve">Yes</t>
        </is>
      </c>
      <c r="K144" s="15" t="inlineStr">
        <is>
          <t xml:space="preserve">No</t>
        </is>
      </c>
      <c r="L144" s="15" t="inlineStr">
        <is>
          <t xml:space="preserve">High</t>
        </is>
      </c>
      <c r="M144" s="15" t="inlineStr">
        <is>
          <t xml:space="preserve">High</t>
        </is>
      </c>
      <c r="N144" s="15" t="inlineStr">
        <is>
          <t xml:space="preserve">Attach to v0.1 event</t>
        </is>
      </c>
      <c r="O144" s="15" t="inlineStr">
        <is>
          <t xml:space="preserve">CRS-2SA-004</t>
        </is>
      </c>
      <c r="P144" s="15" t="inlineStr">
        <is>
          <t xml:space="preserve">Parallel Account</t>
        </is>
      </c>
      <c r="Q144" s="15" t="inlineStr">
        <is>
          <t xml:space="preserve">SRC-TEXT-1CHR; SRC-CHRONICLES-OVERVIEW; SRC-CHRONICLES-BP</t>
        </is>
      </c>
      <c r="R144" s="11" t="inlineStr">
        <is>
          <t xml:space="preserve">Needs Review</t>
        </is>
      </c>
      <c r="S144" s="15" t="inlineStr">
        <is>
          <t xml:space="preserve">Canonical-scope block for The ark's first journey and Uzzah's death: Chronicles account.</t>
        </is>
      </c>
    </row>
    <row r="145" ht="34" customHeight="1">
      <c r="A145" s="15" t="inlineStr">
        <is>
          <t xml:space="preserve">v0.2</t>
        </is>
      </c>
      <c r="B145" s="15" t="inlineStr">
        <is>
          <t xml:space="preserve">Bible_Journey_Canon_Map_v0_2_Chronicles_Psalms_Job_1Kings.xlsx</t>
        </is>
      </c>
      <c r="C145" s="15" t="inlineStr">
        <is>
          <t xml:space="preserve">BLK-1CH-012-01</t>
        </is>
      </c>
      <c r="D145" s="15" t="inlineStr">
        <is>
          <t xml:space="preserve">CRS-1CH-012</t>
        </is>
      </c>
      <c r="E145" s="15">
        <v>1</v>
      </c>
      <c r="F145" s="15" t="inlineStr">
        <is>
          <t xml:space="preserve">1 Chronicles</t>
        </is>
      </c>
      <c r="G145" s="15" t="inlineStr">
        <is>
          <t xml:space="preserve">15-16</t>
        </is>
      </c>
      <c r="H145" s="15" t="inlineStr">
        <is>
          <t xml:space="preserve">Complementary Account</t>
        </is>
      </c>
      <c r="I145" s="15" t="inlineStr">
        <is>
          <t xml:space="preserve">Yes</t>
        </is>
      </c>
      <c r="J145" s="15" t="inlineStr">
        <is>
          <t xml:space="preserve">Yes</t>
        </is>
      </c>
      <c r="K145" s="15" t="inlineStr">
        <is>
          <t xml:space="preserve">No</t>
        </is>
      </c>
      <c r="L145" s="15" t="inlineStr">
        <is>
          <t xml:space="preserve">High</t>
        </is>
      </c>
      <c r="M145" s="15" t="inlineStr">
        <is>
          <t xml:space="preserve">High</t>
        </is>
      </c>
      <c r="N145" s="15" t="inlineStr">
        <is>
          <t xml:space="preserve">Attach to v0.1 event</t>
        </is>
      </c>
      <c r="O145" s="15" t="inlineStr">
        <is>
          <t xml:space="preserve">CRS-2SA-004</t>
        </is>
      </c>
      <c r="P145" s="15" t="inlineStr">
        <is>
          <t xml:space="preserve">Complementary Account</t>
        </is>
      </c>
      <c r="Q145" s="15" t="inlineStr">
        <is>
          <t xml:space="preserve">SRC-TEXT-1CHR; SRC-CHRONICLES-OVERVIEW; SRC-CHRONICLES-BP</t>
        </is>
      </c>
      <c r="R145" s="11" t="inlineStr">
        <is>
          <t xml:space="preserve">Needs Review</t>
        </is>
      </c>
      <c r="S145" s="15" t="inlineStr">
        <is>
          <t xml:space="preserve">Canonical-scope block for The ark enters Jerusalem and David's liturgy.</t>
        </is>
      </c>
    </row>
    <row r="146" ht="34" customHeight="1">
      <c r="A146" s="15" t="inlineStr">
        <is>
          <t xml:space="preserve">v0.2</t>
        </is>
      </c>
      <c r="B146" s="15" t="inlineStr">
        <is>
          <t xml:space="preserve">Bible_Journey_Canon_Map_v0_2_Chronicles_Psalms_Job_1Kings.xlsx</t>
        </is>
      </c>
      <c r="C146" s="15" t="inlineStr">
        <is>
          <t xml:space="preserve">BLK-1CH-013-01</t>
        </is>
      </c>
      <c r="D146" s="15" t="inlineStr">
        <is>
          <t xml:space="preserve">CRS-1CH-013</t>
        </is>
      </c>
      <c r="E146" s="15">
        <v>1</v>
      </c>
      <c r="F146" s="15" t="inlineStr">
        <is>
          <t xml:space="preserve">1 Chronicles</t>
        </is>
      </c>
      <c r="G146" s="15" t="inlineStr">
        <is>
          <t xml:space="preserve">17</t>
        </is>
      </c>
      <c r="H146" s="15" t="inlineStr">
        <is>
          <t xml:space="preserve">Parallel Account</t>
        </is>
      </c>
      <c r="I146" s="15" t="inlineStr">
        <is>
          <t xml:space="preserve">Yes</t>
        </is>
      </c>
      <c r="J146" s="15" t="inlineStr">
        <is>
          <t xml:space="preserve">Yes</t>
        </is>
      </c>
      <c r="K146" s="15" t="inlineStr">
        <is>
          <t xml:space="preserve">No</t>
        </is>
      </c>
      <c r="L146" s="15" t="inlineStr">
        <is>
          <t xml:space="preserve">High</t>
        </is>
      </c>
      <c r="M146" s="15" t="inlineStr">
        <is>
          <t xml:space="preserve">High</t>
        </is>
      </c>
      <c r="N146" s="15" t="inlineStr">
        <is>
          <t xml:space="preserve">Attach to v0.1 event</t>
        </is>
      </c>
      <c r="O146" s="15" t="inlineStr">
        <is>
          <t xml:space="preserve">CRS-2SA-005</t>
        </is>
      </c>
      <c r="P146" s="15" t="inlineStr">
        <is>
          <t xml:space="preserve">Parallel Account</t>
        </is>
      </c>
      <c r="Q146" s="15" t="inlineStr">
        <is>
          <t xml:space="preserve">SRC-TEXT-1CHR; SRC-CHRONICLES-OVERVIEW; SRC-CHRONICLES-BP</t>
        </is>
      </c>
      <c r="R146" s="11" t="inlineStr">
        <is>
          <t xml:space="preserve">Needs Review</t>
        </is>
      </c>
      <c r="S146" s="15" t="inlineStr">
        <is>
          <t xml:space="preserve">Canonical-scope block for The Davidic covenant: Chronicles account.</t>
        </is>
      </c>
    </row>
    <row r="147" ht="34" customHeight="1">
      <c r="A147" s="15" t="inlineStr">
        <is>
          <t xml:space="preserve">v0.2</t>
        </is>
      </c>
      <c r="B147" s="15" t="inlineStr">
        <is>
          <t xml:space="preserve">Bible_Journey_Canon_Map_v0_2_Chronicles_Psalms_Job_1Kings.xlsx</t>
        </is>
      </c>
      <c r="C147" s="15" t="inlineStr">
        <is>
          <t xml:space="preserve">BLK-1CH-014-01</t>
        </is>
      </c>
      <c r="D147" s="15" t="inlineStr">
        <is>
          <t xml:space="preserve">CRS-1CH-014</t>
        </is>
      </c>
      <c r="E147" s="15">
        <v>1</v>
      </c>
      <c r="F147" s="15" t="inlineStr">
        <is>
          <t xml:space="preserve">1 Chronicles</t>
        </is>
      </c>
      <c r="G147" s="15" t="inlineStr">
        <is>
          <t xml:space="preserve">18</t>
        </is>
      </c>
      <c r="H147" s="15" t="inlineStr">
        <is>
          <t xml:space="preserve">Parallel Account</t>
        </is>
      </c>
      <c r="I147" s="15" t="inlineStr">
        <is>
          <t xml:space="preserve">Yes</t>
        </is>
      </c>
      <c r="J147" s="15" t="inlineStr">
        <is>
          <t xml:space="preserve">Yes</t>
        </is>
      </c>
      <c r="K147" s="15" t="inlineStr">
        <is>
          <t xml:space="preserve">No</t>
        </is>
      </c>
      <c r="L147" s="15" t="inlineStr">
        <is>
          <t xml:space="preserve">High</t>
        </is>
      </c>
      <c r="M147" s="15" t="inlineStr">
        <is>
          <t xml:space="preserve">High</t>
        </is>
      </c>
      <c r="N147" s="15" t="inlineStr">
        <is>
          <t xml:space="preserve">Attach to v0.1 event</t>
        </is>
      </c>
      <c r="O147" s="15" t="inlineStr">
        <is>
          <t xml:space="preserve">CRS-2SA-006</t>
        </is>
      </c>
      <c r="P147" s="15" t="inlineStr">
        <is>
          <t xml:space="preserve">Parallel Account</t>
        </is>
      </c>
      <c r="Q147" s="15" t="inlineStr">
        <is>
          <t xml:space="preserve">SRC-TEXT-1CHR; SRC-CHRONICLES-OVERVIEW; SRC-CHRONICLES-BP</t>
        </is>
      </c>
      <c r="R147" s="11" t="inlineStr">
        <is>
          <t xml:space="preserve">Needs Review</t>
        </is>
      </c>
      <c r="S147" s="15" t="inlineStr">
        <is>
          <t xml:space="preserve">Canonical-scope block for David's victories and administration: Chronicles account.</t>
        </is>
      </c>
    </row>
    <row r="148" ht="34" customHeight="1">
      <c r="A148" s="15" t="inlineStr">
        <is>
          <t xml:space="preserve">v0.2</t>
        </is>
      </c>
      <c r="B148" s="15" t="inlineStr">
        <is>
          <t xml:space="preserve">Bible_Journey_Canon_Map_v0_2_Chronicles_Psalms_Job_1Kings.xlsx</t>
        </is>
      </c>
      <c r="C148" s="15" t="inlineStr">
        <is>
          <t xml:space="preserve">BLK-1CH-015-01</t>
        </is>
      </c>
      <c r="D148" s="15" t="inlineStr">
        <is>
          <t xml:space="preserve">CRS-1CH-015</t>
        </is>
      </c>
      <c r="E148" s="15">
        <v>1</v>
      </c>
      <c r="F148" s="15" t="inlineStr">
        <is>
          <t xml:space="preserve">1 Chronicles</t>
        </is>
      </c>
      <c r="G148" s="15" t="inlineStr">
        <is>
          <t xml:space="preserve">19</t>
        </is>
      </c>
      <c r="H148" s="15" t="inlineStr">
        <is>
          <t xml:space="preserve">Parallel Account</t>
        </is>
      </c>
      <c r="I148" s="15" t="inlineStr">
        <is>
          <t xml:space="preserve">Yes</t>
        </is>
      </c>
      <c r="J148" s="15" t="inlineStr">
        <is>
          <t xml:space="preserve">Yes</t>
        </is>
      </c>
      <c r="K148" s="15" t="inlineStr">
        <is>
          <t xml:space="preserve">No</t>
        </is>
      </c>
      <c r="L148" s="15" t="inlineStr">
        <is>
          <t xml:space="preserve">High</t>
        </is>
      </c>
      <c r="M148" s="15" t="inlineStr">
        <is>
          <t xml:space="preserve">High</t>
        </is>
      </c>
      <c r="N148" s="15" t="inlineStr">
        <is>
          <t xml:space="preserve">Attach to v0.1 event</t>
        </is>
      </c>
      <c r="O148" s="15" t="inlineStr">
        <is>
          <t xml:space="preserve">CRS-2SA-008</t>
        </is>
      </c>
      <c r="P148" s="15" t="inlineStr">
        <is>
          <t xml:space="preserve">Parallel Account</t>
        </is>
      </c>
      <c r="Q148" s="15" t="inlineStr">
        <is>
          <t xml:space="preserve">SRC-TEXT-1CHR; SRC-CHRONICLES-OVERVIEW; SRC-CHRONICLES-BP</t>
        </is>
      </c>
      <c r="R148" s="11" t="inlineStr">
        <is>
          <t xml:space="preserve">Needs Review</t>
        </is>
      </c>
      <c r="S148" s="15" t="inlineStr">
        <is>
          <t xml:space="preserve">Canonical-scope block for War with Ammon and Aram: Chronicles account.</t>
        </is>
      </c>
    </row>
    <row r="149" ht="34" customHeight="1">
      <c r="A149" s="15" t="inlineStr">
        <is>
          <t xml:space="preserve">v0.2</t>
        </is>
      </c>
      <c r="B149" s="15" t="inlineStr">
        <is>
          <t xml:space="preserve">Bible_Journey_Canon_Map_v0_2_Chronicles_Psalms_Job_1Kings.xlsx</t>
        </is>
      </c>
      <c r="C149" s="15" t="inlineStr">
        <is>
          <t xml:space="preserve">BLK-1CH-016-01</t>
        </is>
      </c>
      <c r="D149" s="15" t="inlineStr">
        <is>
          <t xml:space="preserve">CRS-1CH-016</t>
        </is>
      </c>
      <c r="E149" s="15">
        <v>1</v>
      </c>
      <c r="F149" s="15" t="inlineStr">
        <is>
          <t xml:space="preserve">1 Chronicles</t>
        </is>
      </c>
      <c r="G149" s="15" t="inlineStr">
        <is>
          <t xml:space="preserve">20</t>
        </is>
      </c>
      <c r="H149" s="15" t="inlineStr">
        <is>
          <t xml:space="preserve">Complementary Account</t>
        </is>
      </c>
      <c r="I149" s="15" t="inlineStr">
        <is>
          <t xml:space="preserve">Yes</t>
        </is>
      </c>
      <c r="J149" s="15" t="inlineStr">
        <is>
          <t xml:space="preserve">Yes</t>
        </is>
      </c>
      <c r="K149" s="15" t="inlineStr">
        <is>
          <t xml:space="preserve">No</t>
        </is>
      </c>
      <c r="L149" s="15" t="inlineStr">
        <is>
          <t xml:space="preserve">High</t>
        </is>
      </c>
      <c r="M149" s="15" t="inlineStr">
        <is>
          <t xml:space="preserve">Debated</t>
        </is>
      </c>
      <c r="N149" s="15" t="inlineStr">
        <is>
          <t xml:space="preserve">Contextual composite / multi-event window</t>
        </is>
      </c>
      <c r="O149" s="15" t="inlineStr">
        <is>
          <t xml:space="preserve">CRS-2SA-010; CRS-2SA-018</t>
        </is>
      </c>
      <c r="P149" s="15" t="inlineStr">
        <is>
          <t xml:space="preserve">Complementary Account</t>
        </is>
      </c>
      <c r="Q149" s="15" t="inlineStr">
        <is>
          <t xml:space="preserve">SRC-TEXT-1CHR; SRC-CHRONICLES-OVERVIEW; SRC-CHRONICLES-BP</t>
        </is>
      </c>
      <c r="R149" s="11" t="inlineStr">
        <is>
          <t xml:space="preserve">Needs Review</t>
        </is>
      </c>
      <c r="S149" s="15" t="inlineStr">
        <is>
          <t xml:space="preserve">Canonical-scope block for Rabbah and Philistine giants: Chronicles accounts.</t>
        </is>
      </c>
    </row>
    <row r="150" ht="34" customHeight="1">
      <c r="A150" s="15" t="inlineStr">
        <is>
          <t xml:space="preserve">v0.2</t>
        </is>
      </c>
      <c r="B150" s="15" t="inlineStr">
        <is>
          <t xml:space="preserve">Bible_Journey_Canon_Map_v0_2_Chronicles_Psalms_Job_1Kings.xlsx</t>
        </is>
      </c>
      <c r="C150" s="15" t="inlineStr">
        <is>
          <t xml:space="preserve">BLK-1CH-017-01</t>
        </is>
      </c>
      <c r="D150" s="15" t="inlineStr">
        <is>
          <t xml:space="preserve">CRS-1CH-017</t>
        </is>
      </c>
      <c r="E150" s="15">
        <v>1</v>
      </c>
      <c r="F150" s="15" t="inlineStr">
        <is>
          <t xml:space="preserve">1 Chronicles</t>
        </is>
      </c>
      <c r="G150" s="15" t="inlineStr">
        <is>
          <t xml:space="preserve">21</t>
        </is>
      </c>
      <c r="H150" s="15" t="inlineStr">
        <is>
          <t xml:space="preserve">Parallel Account</t>
        </is>
      </c>
      <c r="I150" s="15" t="inlineStr">
        <is>
          <t xml:space="preserve">Yes</t>
        </is>
      </c>
      <c r="J150" s="15" t="inlineStr">
        <is>
          <t xml:space="preserve">Yes</t>
        </is>
      </c>
      <c r="K150" s="15" t="inlineStr">
        <is>
          <t xml:space="preserve">No</t>
        </is>
      </c>
      <c r="L150" s="15" t="inlineStr">
        <is>
          <t xml:space="preserve">High</t>
        </is>
      </c>
      <c r="M150" s="15" t="inlineStr">
        <is>
          <t xml:space="preserve">Debated</t>
        </is>
      </c>
      <c r="N150" s="15" t="inlineStr">
        <is>
          <t xml:space="preserve">Attach to v0.1 event</t>
        </is>
      </c>
      <c r="O150" s="15" t="inlineStr">
        <is>
          <t xml:space="preserve">CRS-2SA-021</t>
        </is>
      </c>
      <c r="P150" s="15" t="inlineStr">
        <is>
          <t xml:space="preserve">Parallel Account</t>
        </is>
      </c>
      <c r="Q150" s="15" t="inlineStr">
        <is>
          <t xml:space="preserve">SRC-TEXT-1CHR; SRC-CHRONICLES-OVERVIEW; SRC-CHRONICLES-BP</t>
        </is>
      </c>
      <c r="R150" s="11" t="inlineStr">
        <is>
          <t xml:space="preserve">Needs Review</t>
        </is>
      </c>
      <c r="S150" s="15" t="inlineStr">
        <is>
          <t xml:space="preserve">Canonical-scope block for David's census and altar site: Chronicles account.</t>
        </is>
      </c>
    </row>
    <row r="151" ht="34" customHeight="1">
      <c r="A151" s="15" t="inlineStr">
        <is>
          <t xml:space="preserve">v0.2</t>
        </is>
      </c>
      <c r="B151" s="15" t="inlineStr">
        <is>
          <t xml:space="preserve">Bible_Journey_Canon_Map_v0_2_Chronicles_Psalms_Job_1Kings.xlsx</t>
        </is>
      </c>
      <c r="C151" s="15" t="inlineStr">
        <is>
          <t xml:space="preserve">BLK-1CH-018-01</t>
        </is>
      </c>
      <c r="D151" s="15" t="inlineStr">
        <is>
          <t xml:space="preserve">CRS-1CH-018</t>
        </is>
      </c>
      <c r="E151" s="15">
        <v>1</v>
      </c>
      <c r="F151" s="15" t="inlineStr">
        <is>
          <t xml:space="preserve">1 Chronicles</t>
        </is>
      </c>
      <c r="G151" s="15" t="inlineStr">
        <is>
          <t xml:space="preserve">22</t>
        </is>
      </c>
      <c r="H151" s="15" t="inlineStr">
        <is>
          <t xml:space="preserve">Primary Account</t>
        </is>
      </c>
      <c r="I151" s="15" t="inlineStr">
        <is>
          <t xml:space="preserve">Yes</t>
        </is>
      </c>
      <c r="J151" s="15" t="inlineStr">
        <is>
          <t xml:space="preserve">Yes</t>
        </is>
      </c>
      <c r="K151" s="15" t="inlineStr">
        <is>
          <t xml:space="preserve">Yes</t>
        </is>
      </c>
      <c r="L151" s="15" t="inlineStr">
        <is>
          <t xml:space="preserve">High</t>
        </is>
      </c>
      <c r="M151" s="15" t="inlineStr">
        <is>
          <t xml:space="preserve">Probable</t>
        </is>
      </c>
      <c r="N151" s="15" t="inlineStr">
        <is>
          <t xml:space="preserve">New main-spine bridge</t>
        </is>
      </c>
      <c r="O151" s="15"/>
      <c r="P151" s="15" t="inlineStr">
        <is>
          <t xml:space="preserve">Primary account</t>
        </is>
      </c>
      <c r="Q151" s="15" t="inlineStr">
        <is>
          <t xml:space="preserve">SRC-TEXT-1CHR; SRC-CHRONICLES-OVERVIEW; SRC-CHRONICLES-BP</t>
        </is>
      </c>
      <c r="R151" s="11" t="inlineStr">
        <is>
          <t xml:space="preserve">Needs Review</t>
        </is>
      </c>
      <c r="S151" s="15" t="inlineStr">
        <is>
          <t xml:space="preserve">Canonical-scope block for David prepares for the temple.</t>
        </is>
      </c>
    </row>
    <row r="152" ht="34" customHeight="1">
      <c r="A152" s="15" t="inlineStr">
        <is>
          <t xml:space="preserve">v0.2</t>
        </is>
      </c>
      <c r="B152" s="15" t="inlineStr">
        <is>
          <t xml:space="preserve">Bible_Journey_Canon_Map_v0_2_Chronicles_Psalms_Job_1Kings.xlsx</t>
        </is>
      </c>
      <c r="C152" s="15" t="inlineStr">
        <is>
          <t xml:space="preserve">BLK-1CH-019-01</t>
        </is>
      </c>
      <c r="D152" s="15" t="inlineStr">
        <is>
          <t xml:space="preserve">CRS-1CH-019</t>
        </is>
      </c>
      <c r="E152" s="15">
        <v>1</v>
      </c>
      <c r="F152" s="15" t="inlineStr">
        <is>
          <t xml:space="preserve">1 Chronicles</t>
        </is>
      </c>
      <c r="G152" s="15" t="inlineStr">
        <is>
          <t xml:space="preserve">23-27</t>
        </is>
      </c>
      <c r="H152" s="15" t="inlineStr">
        <is>
          <t xml:space="preserve">Primary Account</t>
        </is>
      </c>
      <c r="I152" s="15" t="inlineStr">
        <is>
          <t xml:space="preserve">Yes</t>
        </is>
      </c>
      <c r="J152" s="15" t="inlineStr">
        <is>
          <t xml:space="preserve">Yes</t>
        </is>
      </c>
      <c r="K152" s="15" t="inlineStr">
        <is>
          <t xml:space="preserve">Yes</t>
        </is>
      </c>
      <c r="L152" s="15" t="inlineStr">
        <is>
          <t xml:space="preserve">High</t>
        </is>
      </c>
      <c r="M152" s="15" t="inlineStr">
        <is>
          <t xml:space="preserve">Probable</t>
        </is>
      </c>
      <c r="N152" s="15" t="inlineStr">
        <is>
          <t xml:space="preserve">New main-spine bridge</t>
        </is>
      </c>
      <c r="O152" s="15"/>
      <c r="P152" s="15" t="inlineStr">
        <is>
          <t xml:space="preserve">Primary account</t>
        </is>
      </c>
      <c r="Q152" s="15" t="inlineStr">
        <is>
          <t xml:space="preserve">SRC-TEXT-1CHR; SRC-CHRONICLES-OVERVIEW; SRC-CHRONICLES-BP</t>
        </is>
      </c>
      <c r="R152" s="11" t="inlineStr">
        <is>
          <t xml:space="preserve">Needs Review</t>
        </is>
      </c>
      <c r="S152" s="15" t="inlineStr">
        <is>
          <t xml:space="preserve">Canonical-scope block for Levites, priests, musicians, gatekeepers, officials, and military divisions.</t>
        </is>
      </c>
    </row>
    <row r="153" ht="34" customHeight="1">
      <c r="A153" s="15" t="inlineStr">
        <is>
          <t xml:space="preserve">v0.2</t>
        </is>
      </c>
      <c r="B153" s="15" t="inlineStr">
        <is>
          <t xml:space="preserve">Bible_Journey_Canon_Map_v0_2_Chronicles_Psalms_Job_1Kings.xlsx</t>
        </is>
      </c>
      <c r="C153" s="15" t="inlineStr">
        <is>
          <t xml:space="preserve">BLK-1CH-020-01</t>
        </is>
      </c>
      <c r="D153" s="15" t="inlineStr">
        <is>
          <t xml:space="preserve">CRS-1CH-020</t>
        </is>
      </c>
      <c r="E153" s="15">
        <v>1</v>
      </c>
      <c r="F153" s="15" t="inlineStr">
        <is>
          <t xml:space="preserve">1 Chronicles</t>
        </is>
      </c>
      <c r="G153" s="15" t="inlineStr">
        <is>
          <t xml:space="preserve">28-29</t>
        </is>
      </c>
      <c r="H153" s="15" t="inlineStr">
        <is>
          <t xml:space="preserve">Complementary Account</t>
        </is>
      </c>
      <c r="I153" s="15" t="inlineStr">
        <is>
          <t xml:space="preserve">Yes</t>
        </is>
      </c>
      <c r="J153" s="15" t="inlineStr">
        <is>
          <t xml:space="preserve">Yes</t>
        </is>
      </c>
      <c r="K153" s="15" t="inlineStr">
        <is>
          <t xml:space="preserve">Yes</t>
        </is>
      </c>
      <c r="L153" s="15" t="inlineStr">
        <is>
          <t xml:space="preserve">High</t>
        </is>
      </c>
      <c r="M153" s="15" t="inlineStr">
        <is>
          <t xml:space="preserve">Probable</t>
        </is>
      </c>
      <c r="N153" s="15" t="inlineStr">
        <is>
          <t xml:space="preserve">New main-spine bridge</t>
        </is>
      </c>
      <c r="O153" s="15" t="inlineStr">
        <is>
          <t xml:space="preserve">CRS-1KG-001; CRS-1KG-002</t>
        </is>
      </c>
      <c r="P153" s="15" t="inlineStr">
        <is>
          <t xml:space="preserve">Complementary Account</t>
        </is>
      </c>
      <c r="Q153" s="15" t="inlineStr">
        <is>
          <t xml:space="preserve">SRC-TEXT-1CHR; SRC-CHRONICLES-OVERVIEW; SRC-CHRONICLES-BP</t>
        </is>
      </c>
      <c r="R153" s="11" t="inlineStr">
        <is>
          <t xml:space="preserve">Needs Review</t>
        </is>
      </c>
      <c r="S153" s="15" t="inlineStr">
        <is>
          <t xml:space="preserve">Canonical-scope block for David's final assembly, temple charge, and Solomon's succession.</t>
        </is>
      </c>
    </row>
    <row r="154" ht="34" customHeight="1">
      <c r="A154" s="15" t="inlineStr">
        <is>
          <t xml:space="preserve">v0.2</t>
        </is>
      </c>
      <c r="B154" s="15" t="inlineStr">
        <is>
          <t xml:space="preserve">Bible_Journey_Canon_Map_v0_2_Chronicles_Psalms_Job_1Kings.xlsx</t>
        </is>
      </c>
      <c r="C154" s="15" t="inlineStr">
        <is>
          <t xml:space="preserve">BLK-1KG-001-01</t>
        </is>
      </c>
      <c r="D154" s="15" t="inlineStr">
        <is>
          <t xml:space="preserve">CRS-1KG-001</t>
        </is>
      </c>
      <c r="E154" s="15">
        <v>1</v>
      </c>
      <c r="F154" s="15" t="inlineStr">
        <is>
          <t xml:space="preserve">1 Kings</t>
        </is>
      </c>
      <c r="G154" s="15" t="inlineStr">
        <is>
          <t xml:space="preserve">1</t>
        </is>
      </c>
      <c r="H154" s="15" t="inlineStr">
        <is>
          <t xml:space="preserve">Primary Account</t>
        </is>
      </c>
      <c r="I154" s="15" t="inlineStr">
        <is>
          <t xml:space="preserve">Yes</t>
        </is>
      </c>
      <c r="J154" s="15" t="inlineStr">
        <is>
          <t xml:space="preserve">Yes</t>
        </is>
      </c>
      <c r="K154" s="15" t="inlineStr">
        <is>
          <t xml:space="preserve">Yes</t>
        </is>
      </c>
      <c r="L154" s="15" t="inlineStr">
        <is>
          <t xml:space="preserve">High</t>
        </is>
      </c>
      <c r="M154" s="15" t="inlineStr">
        <is>
          <t xml:space="preserve">High</t>
        </is>
      </c>
      <c r="N154" s="15" t="inlineStr">
        <is>
          <t xml:space="preserve">New main-spine continuation</t>
        </is>
      </c>
      <c r="O154" s="15"/>
      <c r="P154" s="15" t="inlineStr">
        <is>
          <t xml:space="preserve">Primary account</t>
        </is>
      </c>
      <c r="Q154" s="15" t="inlineStr">
        <is>
          <t xml:space="preserve">SRC-TEXT-1KGS; SRC-KINGS-OVERVIEW; SRC-KINGS-BP; SRC-SOLOMON-OVERVIEW; SRC-DIVIDED-MONARCHY</t>
        </is>
      </c>
      <c r="R154" s="11" t="inlineStr">
        <is>
          <t xml:space="preserve">Needs Review</t>
        </is>
      </c>
      <c r="S154" s="15" t="inlineStr">
        <is>
          <t xml:space="preserve">Canonical-scope block for Adonijah's bid and Solomon's accession.</t>
        </is>
      </c>
    </row>
    <row r="155" ht="34" customHeight="1">
      <c r="A155" s="15" t="inlineStr">
        <is>
          <t xml:space="preserve">v0.2</t>
        </is>
      </c>
      <c r="B155" s="15" t="inlineStr">
        <is>
          <t xml:space="preserve">Bible_Journey_Canon_Map_v0_2_Chronicles_Psalms_Job_1Kings.xlsx</t>
        </is>
      </c>
      <c r="C155" s="15" t="inlineStr">
        <is>
          <t xml:space="preserve">BLK-1KG-002-01</t>
        </is>
      </c>
      <c r="D155" s="15" t="inlineStr">
        <is>
          <t xml:space="preserve">CRS-1KG-002</t>
        </is>
      </c>
      <c r="E155" s="15">
        <v>1</v>
      </c>
      <c r="F155" s="15" t="inlineStr">
        <is>
          <t xml:space="preserve">1 Kings</t>
        </is>
      </c>
      <c r="G155" s="15" t="inlineStr">
        <is>
          <t xml:space="preserve">2</t>
        </is>
      </c>
      <c r="H155" s="15" t="inlineStr">
        <is>
          <t xml:space="preserve">Primary Account</t>
        </is>
      </c>
      <c r="I155" s="15" t="inlineStr">
        <is>
          <t xml:space="preserve">Yes</t>
        </is>
      </c>
      <c r="J155" s="15" t="inlineStr">
        <is>
          <t xml:space="preserve">Yes</t>
        </is>
      </c>
      <c r="K155" s="15" t="inlineStr">
        <is>
          <t xml:space="preserve">Yes</t>
        </is>
      </c>
      <c r="L155" s="15" t="inlineStr">
        <is>
          <t xml:space="preserve">High</t>
        </is>
      </c>
      <c r="M155" s="15" t="inlineStr">
        <is>
          <t xml:space="preserve">High</t>
        </is>
      </c>
      <c r="N155" s="15" t="inlineStr">
        <is>
          <t xml:space="preserve">New main-spine continuation</t>
        </is>
      </c>
      <c r="O155" s="15"/>
      <c r="P155" s="15" t="inlineStr">
        <is>
          <t xml:space="preserve">Primary account</t>
        </is>
      </c>
      <c r="Q155" s="15" t="inlineStr">
        <is>
          <t xml:space="preserve">SRC-TEXT-1KGS; SRC-KINGS-OVERVIEW; SRC-KINGS-BP; SRC-SOLOMON-OVERVIEW; SRC-DIVIDED-MONARCHY</t>
        </is>
      </c>
      <c r="R155" s="11" t="inlineStr">
        <is>
          <t xml:space="preserve">Needs Review</t>
        </is>
      </c>
      <c r="S155" s="15" t="inlineStr">
        <is>
          <t xml:space="preserve">Canonical-scope block for David's death and Solomon secures the throne.</t>
        </is>
      </c>
    </row>
    <row r="156" ht="34" customHeight="1">
      <c r="A156" s="15" t="inlineStr">
        <is>
          <t xml:space="preserve">v0.2</t>
        </is>
      </c>
      <c r="B156" s="15" t="inlineStr">
        <is>
          <t xml:space="preserve">Bible_Journey_Canon_Map_v0_2_Chronicles_Psalms_Job_1Kings.xlsx</t>
        </is>
      </c>
      <c r="C156" s="15" t="inlineStr">
        <is>
          <t xml:space="preserve">BLK-1KG-003-01</t>
        </is>
      </c>
      <c r="D156" s="15" t="inlineStr">
        <is>
          <t xml:space="preserve">CRS-1KG-003</t>
        </is>
      </c>
      <c r="E156" s="15">
        <v>1</v>
      </c>
      <c r="F156" s="15" t="inlineStr">
        <is>
          <t xml:space="preserve">1 Kings</t>
        </is>
      </c>
      <c r="G156" s="15" t="inlineStr">
        <is>
          <t xml:space="preserve">3</t>
        </is>
      </c>
      <c r="H156" s="15" t="inlineStr">
        <is>
          <t xml:space="preserve">Primary Account</t>
        </is>
      </c>
      <c r="I156" s="15" t="inlineStr">
        <is>
          <t xml:space="preserve">Yes</t>
        </is>
      </c>
      <c r="J156" s="15" t="inlineStr">
        <is>
          <t xml:space="preserve">Yes</t>
        </is>
      </c>
      <c r="K156" s="15" t="inlineStr">
        <is>
          <t xml:space="preserve">Yes</t>
        </is>
      </c>
      <c r="L156" s="15" t="inlineStr">
        <is>
          <t xml:space="preserve">High</t>
        </is>
      </c>
      <c r="M156" s="15" t="inlineStr">
        <is>
          <t xml:space="preserve">High</t>
        </is>
      </c>
      <c r="N156" s="15" t="inlineStr">
        <is>
          <t xml:space="preserve">New main-spine continuation</t>
        </is>
      </c>
      <c r="O156" s="15" t="inlineStr">
        <is>
          <t xml:space="preserve">Future: 2 Chronicles 1</t>
        </is>
      </c>
      <c r="P156" s="15" t="inlineStr">
        <is>
          <t xml:space="preserve">Primary account</t>
        </is>
      </c>
      <c r="Q156" s="15" t="inlineStr">
        <is>
          <t xml:space="preserve">SRC-TEXT-1KGS; SRC-KINGS-OVERVIEW; SRC-KINGS-BP; SRC-SOLOMON-OVERVIEW; SRC-DIVIDED-MONARCHY</t>
        </is>
      </c>
      <c r="R156" s="11" t="inlineStr">
        <is>
          <t xml:space="preserve">Needs Review</t>
        </is>
      </c>
      <c r="S156" s="15" t="inlineStr">
        <is>
          <t xml:space="preserve">Canonical-scope block for Solomon asks for wisdom at Gibeon.</t>
        </is>
      </c>
    </row>
    <row r="157" ht="34" customHeight="1">
      <c r="A157" s="15" t="inlineStr">
        <is>
          <t xml:space="preserve">v0.2</t>
        </is>
      </c>
      <c r="B157" s="15" t="inlineStr">
        <is>
          <t xml:space="preserve">Bible_Journey_Canon_Map_v0_2_Chronicles_Psalms_Job_1Kings.xlsx</t>
        </is>
      </c>
      <c r="C157" s="15" t="inlineStr">
        <is>
          <t xml:space="preserve">BLK-1KG-004-01</t>
        </is>
      </c>
      <c r="D157" s="15" t="inlineStr">
        <is>
          <t xml:space="preserve">CRS-1KG-004</t>
        </is>
      </c>
      <c r="E157" s="15">
        <v>1</v>
      </c>
      <c r="F157" s="15" t="inlineStr">
        <is>
          <t xml:space="preserve">1 Kings</t>
        </is>
      </c>
      <c r="G157" s="15" t="inlineStr">
        <is>
          <t xml:space="preserve">4</t>
        </is>
      </c>
      <c r="H157" s="15" t="inlineStr">
        <is>
          <t xml:space="preserve">Primary Account</t>
        </is>
      </c>
      <c r="I157" s="15" t="inlineStr">
        <is>
          <t xml:space="preserve">Yes</t>
        </is>
      </c>
      <c r="J157" s="15" t="inlineStr">
        <is>
          <t xml:space="preserve">Yes</t>
        </is>
      </c>
      <c r="K157" s="15" t="inlineStr">
        <is>
          <t xml:space="preserve">Yes</t>
        </is>
      </c>
      <c r="L157" s="15" t="inlineStr">
        <is>
          <t xml:space="preserve">High</t>
        </is>
      </c>
      <c r="M157" s="15" t="inlineStr">
        <is>
          <t xml:space="preserve">High</t>
        </is>
      </c>
      <c r="N157" s="15" t="inlineStr">
        <is>
          <t xml:space="preserve">New main-spine continuation</t>
        </is>
      </c>
      <c r="O157" s="15"/>
      <c r="P157" s="15" t="inlineStr">
        <is>
          <t xml:space="preserve">Primary account</t>
        </is>
      </c>
      <c r="Q157" s="15" t="inlineStr">
        <is>
          <t xml:space="preserve">SRC-TEXT-1KGS; SRC-KINGS-OVERVIEW; SRC-KINGS-BP; SRC-SOLOMON-OVERVIEW; SRC-DIVIDED-MONARCHY</t>
        </is>
      </c>
      <c r="R157" s="11" t="inlineStr">
        <is>
          <t xml:space="preserve">Needs Review</t>
        </is>
      </c>
      <c r="S157" s="15" t="inlineStr">
        <is>
          <t xml:space="preserve">Canonical-scope block for Solomon's administration, prosperity, and wisdom.</t>
        </is>
      </c>
    </row>
    <row r="158" ht="34" customHeight="1">
      <c r="A158" s="15" t="inlineStr">
        <is>
          <t xml:space="preserve">v0.2</t>
        </is>
      </c>
      <c r="B158" s="15" t="inlineStr">
        <is>
          <t xml:space="preserve">Bible_Journey_Canon_Map_v0_2_Chronicles_Psalms_Job_1Kings.xlsx</t>
        </is>
      </c>
      <c r="C158" s="15" t="inlineStr">
        <is>
          <t xml:space="preserve">BLK-1KG-005-01</t>
        </is>
      </c>
      <c r="D158" s="15" t="inlineStr">
        <is>
          <t xml:space="preserve">CRS-1KG-005</t>
        </is>
      </c>
      <c r="E158" s="15">
        <v>1</v>
      </c>
      <c r="F158" s="15" t="inlineStr">
        <is>
          <t xml:space="preserve">1 Kings</t>
        </is>
      </c>
      <c r="G158" s="15" t="inlineStr">
        <is>
          <t xml:space="preserve">5-6</t>
        </is>
      </c>
      <c r="H158" s="15" t="inlineStr">
        <is>
          <t xml:space="preserve">Primary Account</t>
        </is>
      </c>
      <c r="I158" s="15" t="inlineStr">
        <is>
          <t xml:space="preserve">Yes</t>
        </is>
      </c>
      <c r="J158" s="15" t="inlineStr">
        <is>
          <t xml:space="preserve">Yes</t>
        </is>
      </c>
      <c r="K158" s="15" t="inlineStr">
        <is>
          <t xml:space="preserve">Yes</t>
        </is>
      </c>
      <c r="L158" s="15" t="inlineStr">
        <is>
          <t xml:space="preserve">High</t>
        </is>
      </c>
      <c r="M158" s="15" t="inlineStr">
        <is>
          <t xml:space="preserve">High</t>
        </is>
      </c>
      <c r="N158" s="15" t="inlineStr">
        <is>
          <t xml:space="preserve">New main-spine continuation</t>
        </is>
      </c>
      <c r="O158" s="15" t="inlineStr">
        <is>
          <t xml:space="preserve">Future: 2 Chronicles 2-3</t>
        </is>
      </c>
      <c r="P158" s="15" t="inlineStr">
        <is>
          <t xml:space="preserve">Primary account</t>
        </is>
      </c>
      <c r="Q158" s="15" t="inlineStr">
        <is>
          <t xml:space="preserve">SRC-TEXT-1KGS; SRC-KINGS-OVERVIEW; SRC-KINGS-BP; SRC-SOLOMON-OVERVIEW; SRC-DIVIDED-MONARCHY</t>
        </is>
      </c>
      <c r="R158" s="11" t="inlineStr">
        <is>
          <t xml:space="preserve">Needs Review</t>
        </is>
      </c>
      <c r="S158" s="15" t="inlineStr">
        <is>
          <t xml:space="preserve">Canonical-scope block for Solomon builds the temple.</t>
        </is>
      </c>
    </row>
    <row r="159" ht="34" customHeight="1">
      <c r="A159" s="15" t="inlineStr">
        <is>
          <t xml:space="preserve">v0.2</t>
        </is>
      </c>
      <c r="B159" s="15" t="inlineStr">
        <is>
          <t xml:space="preserve">Bible_Journey_Canon_Map_v0_2_Chronicles_Psalms_Job_1Kings.xlsx</t>
        </is>
      </c>
      <c r="C159" s="15" t="inlineStr">
        <is>
          <t xml:space="preserve">BLK-1KG-006-01</t>
        </is>
      </c>
      <c r="D159" s="15" t="inlineStr">
        <is>
          <t xml:space="preserve">CRS-1KG-006</t>
        </is>
      </c>
      <c r="E159" s="15">
        <v>1</v>
      </c>
      <c r="F159" s="15" t="inlineStr">
        <is>
          <t xml:space="preserve">1 Kings</t>
        </is>
      </c>
      <c r="G159" s="15" t="inlineStr">
        <is>
          <t xml:space="preserve">7</t>
        </is>
      </c>
      <c r="H159" s="15" t="inlineStr">
        <is>
          <t xml:space="preserve">Primary Account</t>
        </is>
      </c>
      <c r="I159" s="15" t="inlineStr">
        <is>
          <t xml:space="preserve">Yes</t>
        </is>
      </c>
      <c r="J159" s="15" t="inlineStr">
        <is>
          <t xml:space="preserve">Yes</t>
        </is>
      </c>
      <c r="K159" s="15" t="inlineStr">
        <is>
          <t xml:space="preserve">Yes</t>
        </is>
      </c>
      <c r="L159" s="15" t="inlineStr">
        <is>
          <t xml:space="preserve">High</t>
        </is>
      </c>
      <c r="M159" s="15" t="inlineStr">
        <is>
          <t xml:space="preserve">High</t>
        </is>
      </c>
      <c r="N159" s="15" t="inlineStr">
        <is>
          <t xml:space="preserve">New main-spine continuation</t>
        </is>
      </c>
      <c r="O159" s="15"/>
      <c r="P159" s="15" t="inlineStr">
        <is>
          <t xml:space="preserve">Primary account</t>
        </is>
      </c>
      <c r="Q159" s="15" t="inlineStr">
        <is>
          <t xml:space="preserve">SRC-TEXT-1KGS; SRC-KINGS-OVERVIEW; SRC-KINGS-BP; SRC-SOLOMON-OVERVIEW; SRC-DIVIDED-MONARCHY</t>
        </is>
      </c>
      <c r="R159" s="11" t="inlineStr">
        <is>
          <t xml:space="preserve">Needs Review</t>
        </is>
      </c>
      <c r="S159" s="15" t="inlineStr">
        <is>
          <t xml:space="preserve">Canonical-scope block for Temple furnishings and Solomon's palace.</t>
        </is>
      </c>
    </row>
    <row r="160" ht="34" customHeight="1">
      <c r="A160" s="15" t="inlineStr">
        <is>
          <t xml:space="preserve">v0.2</t>
        </is>
      </c>
      <c r="B160" s="15" t="inlineStr">
        <is>
          <t xml:space="preserve">Bible_Journey_Canon_Map_v0_2_Chronicles_Psalms_Job_1Kings.xlsx</t>
        </is>
      </c>
      <c r="C160" s="15" t="inlineStr">
        <is>
          <t xml:space="preserve">BLK-1KG-007-01</t>
        </is>
      </c>
      <c r="D160" s="15" t="inlineStr">
        <is>
          <t xml:space="preserve">CRS-1KG-007</t>
        </is>
      </c>
      <c r="E160" s="15">
        <v>1</v>
      </c>
      <c r="F160" s="15" t="inlineStr">
        <is>
          <t xml:space="preserve">1 Kings</t>
        </is>
      </c>
      <c r="G160" s="15" t="inlineStr">
        <is>
          <t xml:space="preserve">8</t>
        </is>
      </c>
      <c r="H160" s="15" t="inlineStr">
        <is>
          <t xml:space="preserve">Primary Account</t>
        </is>
      </c>
      <c r="I160" s="15" t="inlineStr">
        <is>
          <t xml:space="preserve">Yes</t>
        </is>
      </c>
      <c r="J160" s="15" t="inlineStr">
        <is>
          <t xml:space="preserve">Yes</t>
        </is>
      </c>
      <c r="K160" s="15" t="inlineStr">
        <is>
          <t xml:space="preserve">Yes</t>
        </is>
      </c>
      <c r="L160" s="15" t="inlineStr">
        <is>
          <t xml:space="preserve">High</t>
        </is>
      </c>
      <c r="M160" s="15" t="inlineStr">
        <is>
          <t xml:space="preserve">High</t>
        </is>
      </c>
      <c r="N160" s="15" t="inlineStr">
        <is>
          <t xml:space="preserve">New main-spine continuation</t>
        </is>
      </c>
      <c r="O160" s="15" t="inlineStr">
        <is>
          <t xml:space="preserve">Future: 2 Chronicles 5-7</t>
        </is>
      </c>
      <c r="P160" s="15" t="inlineStr">
        <is>
          <t xml:space="preserve">Primary account</t>
        </is>
      </c>
      <c r="Q160" s="15" t="inlineStr">
        <is>
          <t xml:space="preserve">SRC-TEXT-1KGS; SRC-KINGS-OVERVIEW; SRC-KINGS-BP; SRC-SOLOMON-OVERVIEW; SRC-DIVIDED-MONARCHY</t>
        </is>
      </c>
      <c r="R160" s="11" t="inlineStr">
        <is>
          <t xml:space="preserve">Needs Review</t>
        </is>
      </c>
      <c r="S160" s="15" t="inlineStr">
        <is>
          <t xml:space="preserve">Canonical-scope block for Solomon dedicates the temple.</t>
        </is>
      </c>
    </row>
    <row r="161" ht="34" customHeight="1">
      <c r="A161" s="15" t="inlineStr">
        <is>
          <t xml:space="preserve">v0.2</t>
        </is>
      </c>
      <c r="B161" s="15" t="inlineStr">
        <is>
          <t xml:space="preserve">Bible_Journey_Canon_Map_v0_2_Chronicles_Psalms_Job_1Kings.xlsx</t>
        </is>
      </c>
      <c r="C161" s="15" t="inlineStr">
        <is>
          <t xml:space="preserve">BLK-1KG-008-01</t>
        </is>
      </c>
      <c r="D161" s="15" t="inlineStr">
        <is>
          <t xml:space="preserve">CRS-1KG-008</t>
        </is>
      </c>
      <c r="E161" s="15">
        <v>1</v>
      </c>
      <c r="F161" s="15" t="inlineStr">
        <is>
          <t xml:space="preserve">1 Kings</t>
        </is>
      </c>
      <c r="G161" s="15" t="inlineStr">
        <is>
          <t xml:space="preserve">9</t>
        </is>
      </c>
      <c r="H161" s="15" t="inlineStr">
        <is>
          <t xml:space="preserve">Primary Account</t>
        </is>
      </c>
      <c r="I161" s="15" t="inlineStr">
        <is>
          <t xml:space="preserve">Yes</t>
        </is>
      </c>
      <c r="J161" s="15" t="inlineStr">
        <is>
          <t xml:space="preserve">Yes</t>
        </is>
      </c>
      <c r="K161" s="15" t="inlineStr">
        <is>
          <t xml:space="preserve">Yes</t>
        </is>
      </c>
      <c r="L161" s="15" t="inlineStr">
        <is>
          <t xml:space="preserve">High</t>
        </is>
      </c>
      <c r="M161" s="15" t="inlineStr">
        <is>
          <t xml:space="preserve">High</t>
        </is>
      </c>
      <c r="N161" s="15" t="inlineStr">
        <is>
          <t xml:space="preserve">New main-spine continuation</t>
        </is>
      </c>
      <c r="O161" s="15"/>
      <c r="P161" s="15" t="inlineStr">
        <is>
          <t xml:space="preserve">Primary account</t>
        </is>
      </c>
      <c r="Q161" s="15" t="inlineStr">
        <is>
          <t xml:space="preserve">SRC-TEXT-1KGS; SRC-KINGS-OVERVIEW; SRC-KINGS-BP; SRC-SOLOMON-OVERVIEW; SRC-DIVIDED-MONARCHY</t>
        </is>
      </c>
      <c r="R161" s="11" t="inlineStr">
        <is>
          <t xml:space="preserve">Needs Review</t>
        </is>
      </c>
      <c r="S161" s="15" t="inlineStr">
        <is>
          <t xml:space="preserve">Canonical-scope block for Divine response, royal projects, and international trade.</t>
        </is>
      </c>
    </row>
    <row r="162" ht="34" customHeight="1">
      <c r="A162" s="15" t="inlineStr">
        <is>
          <t xml:space="preserve">v0.2</t>
        </is>
      </c>
      <c r="B162" s="15" t="inlineStr">
        <is>
          <t xml:space="preserve">Bible_Journey_Canon_Map_v0_2_Chronicles_Psalms_Job_1Kings.xlsx</t>
        </is>
      </c>
      <c r="C162" s="15" t="inlineStr">
        <is>
          <t xml:space="preserve">BLK-1KG-009-01</t>
        </is>
      </c>
      <c r="D162" s="15" t="inlineStr">
        <is>
          <t xml:space="preserve">CRS-1KG-009</t>
        </is>
      </c>
      <c r="E162" s="15">
        <v>1</v>
      </c>
      <c r="F162" s="15" t="inlineStr">
        <is>
          <t xml:space="preserve">1 Kings</t>
        </is>
      </c>
      <c r="G162" s="15" t="inlineStr">
        <is>
          <t xml:space="preserve">10</t>
        </is>
      </c>
      <c r="H162" s="15" t="inlineStr">
        <is>
          <t xml:space="preserve">Primary Account</t>
        </is>
      </c>
      <c r="I162" s="15" t="inlineStr">
        <is>
          <t xml:space="preserve">Yes</t>
        </is>
      </c>
      <c r="J162" s="15" t="inlineStr">
        <is>
          <t xml:space="preserve">Yes</t>
        </is>
      </c>
      <c r="K162" s="15" t="inlineStr">
        <is>
          <t xml:space="preserve">Yes</t>
        </is>
      </c>
      <c r="L162" s="15" t="inlineStr">
        <is>
          <t xml:space="preserve">High</t>
        </is>
      </c>
      <c r="M162" s="15" t="inlineStr">
        <is>
          <t xml:space="preserve">High</t>
        </is>
      </c>
      <c r="N162" s="15" t="inlineStr">
        <is>
          <t xml:space="preserve">New main-spine continuation</t>
        </is>
      </c>
      <c r="O162" s="15" t="inlineStr">
        <is>
          <t xml:space="preserve">Future: 2 Chronicles 9</t>
        </is>
      </c>
      <c r="P162" s="15" t="inlineStr">
        <is>
          <t xml:space="preserve">Primary account</t>
        </is>
      </c>
      <c r="Q162" s="15" t="inlineStr">
        <is>
          <t xml:space="preserve">SRC-TEXT-1KGS; SRC-KINGS-OVERVIEW; SRC-KINGS-BP; SRC-SOLOMON-OVERVIEW; SRC-DIVIDED-MONARCHY</t>
        </is>
      </c>
      <c r="R162" s="11" t="inlineStr">
        <is>
          <t xml:space="preserve">Needs Review</t>
        </is>
      </c>
      <c r="S162" s="15" t="inlineStr">
        <is>
          <t xml:space="preserve">Canonical-scope block for The queen of Sheba and Solomon's wealth.</t>
        </is>
      </c>
    </row>
    <row r="163" ht="34" customHeight="1">
      <c r="A163" s="15" t="inlineStr">
        <is>
          <t xml:space="preserve">v0.2</t>
        </is>
      </c>
      <c r="B163" s="15" t="inlineStr">
        <is>
          <t xml:space="preserve">Bible_Journey_Canon_Map_v0_2_Chronicles_Psalms_Job_1Kings.xlsx</t>
        </is>
      </c>
      <c r="C163" s="15" t="inlineStr">
        <is>
          <t xml:space="preserve">BLK-1KG-010-01</t>
        </is>
      </c>
      <c r="D163" s="15" t="inlineStr">
        <is>
          <t xml:space="preserve">CRS-1KG-010</t>
        </is>
      </c>
      <c r="E163" s="15">
        <v>1</v>
      </c>
      <c r="F163" s="15" t="inlineStr">
        <is>
          <t xml:space="preserve">1 Kings</t>
        </is>
      </c>
      <c r="G163" s="15" t="inlineStr">
        <is>
          <t xml:space="preserve">11</t>
        </is>
      </c>
      <c r="H163" s="15" t="inlineStr">
        <is>
          <t xml:space="preserve">Primary Account</t>
        </is>
      </c>
      <c r="I163" s="15" t="inlineStr">
        <is>
          <t xml:space="preserve">Yes</t>
        </is>
      </c>
      <c r="J163" s="15" t="inlineStr">
        <is>
          <t xml:space="preserve">Yes</t>
        </is>
      </c>
      <c r="K163" s="15" t="inlineStr">
        <is>
          <t xml:space="preserve">Yes</t>
        </is>
      </c>
      <c r="L163" s="15" t="inlineStr">
        <is>
          <t xml:space="preserve">High</t>
        </is>
      </c>
      <c r="M163" s="15" t="inlineStr">
        <is>
          <t xml:space="preserve">High</t>
        </is>
      </c>
      <c r="N163" s="15" t="inlineStr">
        <is>
          <t xml:space="preserve">New main-spine continuation</t>
        </is>
      </c>
      <c r="O163" s="15"/>
      <c r="P163" s="15" t="inlineStr">
        <is>
          <t xml:space="preserve">Primary account</t>
        </is>
      </c>
      <c r="Q163" s="15" t="inlineStr">
        <is>
          <t xml:space="preserve">SRC-TEXT-1KGS; SRC-KINGS-OVERVIEW; SRC-KINGS-BP; SRC-SOLOMON-OVERVIEW; SRC-DIVIDED-MONARCHY</t>
        </is>
      </c>
      <c r="R163" s="11" t="inlineStr">
        <is>
          <t xml:space="preserve">Needs Review</t>
        </is>
      </c>
      <c r="S163" s="15" t="inlineStr">
        <is>
          <t xml:space="preserve">Canonical-scope block for Solomon's decline and the division foretold.</t>
        </is>
      </c>
    </row>
    <row r="164" ht="34" customHeight="1">
      <c r="A164" s="15" t="inlineStr">
        <is>
          <t xml:space="preserve">v0.2</t>
        </is>
      </c>
      <c r="B164" s="15" t="inlineStr">
        <is>
          <t xml:space="preserve">Bible_Journey_Canon_Map_v0_2_Chronicles_Psalms_Job_1Kings.xlsx</t>
        </is>
      </c>
      <c r="C164" s="15" t="inlineStr">
        <is>
          <t xml:space="preserve">BLK-1KG-011-01</t>
        </is>
      </c>
      <c r="D164" s="15" t="inlineStr">
        <is>
          <t xml:space="preserve">CRS-1KG-011</t>
        </is>
      </c>
      <c r="E164" s="15">
        <v>1</v>
      </c>
      <c r="F164" s="15" t="inlineStr">
        <is>
          <t xml:space="preserve">1 Kings</t>
        </is>
      </c>
      <c r="G164" s="15" t="inlineStr">
        <is>
          <t xml:space="preserve">12</t>
        </is>
      </c>
      <c r="H164" s="15" t="inlineStr">
        <is>
          <t xml:space="preserve">Primary Account</t>
        </is>
      </c>
      <c r="I164" s="15" t="inlineStr">
        <is>
          <t xml:space="preserve">Yes</t>
        </is>
      </c>
      <c r="J164" s="15" t="inlineStr">
        <is>
          <t xml:space="preserve">Yes</t>
        </is>
      </c>
      <c r="K164" s="15" t="inlineStr">
        <is>
          <t xml:space="preserve">Yes</t>
        </is>
      </c>
      <c r="L164" s="15" t="inlineStr">
        <is>
          <t xml:space="preserve">High</t>
        </is>
      </c>
      <c r="M164" s="15" t="inlineStr">
        <is>
          <t xml:space="preserve">High</t>
        </is>
      </c>
      <c r="N164" s="15" t="inlineStr">
        <is>
          <t xml:space="preserve">New main-spine continuation</t>
        </is>
      </c>
      <c r="O164" s="15" t="inlineStr">
        <is>
          <t xml:space="preserve">Future: 2 Chronicles 10</t>
        </is>
      </c>
      <c r="P164" s="15" t="inlineStr">
        <is>
          <t xml:space="preserve">Primary account</t>
        </is>
      </c>
      <c r="Q164" s="15" t="inlineStr">
        <is>
          <t xml:space="preserve">SRC-TEXT-1KGS; SRC-KINGS-OVERVIEW; SRC-KINGS-BP; SRC-SOLOMON-OVERVIEW; SRC-DIVIDED-MONARCHY</t>
        </is>
      </c>
      <c r="R164" s="11" t="inlineStr">
        <is>
          <t xml:space="preserve">Needs Review</t>
        </is>
      </c>
      <c r="S164" s="15" t="inlineStr">
        <is>
          <t xml:space="preserve">Canonical-scope block for Rehoboam and Jeroboam: the kingdom divides.</t>
        </is>
      </c>
    </row>
    <row r="165" ht="34" customHeight="1">
      <c r="A165" s="15" t="inlineStr">
        <is>
          <t xml:space="preserve">v0.2</t>
        </is>
      </c>
      <c r="B165" s="15" t="inlineStr">
        <is>
          <t xml:space="preserve">Bible_Journey_Canon_Map_v0_2_Chronicles_Psalms_Job_1Kings.xlsx</t>
        </is>
      </c>
      <c r="C165" s="15" t="inlineStr">
        <is>
          <t xml:space="preserve">BLK-1KG-012-01</t>
        </is>
      </c>
      <c r="D165" s="15" t="inlineStr">
        <is>
          <t xml:space="preserve">CRS-1KG-012</t>
        </is>
      </c>
      <c r="E165" s="15">
        <v>1</v>
      </c>
      <c r="F165" s="15" t="inlineStr">
        <is>
          <t xml:space="preserve">1 Kings</t>
        </is>
      </c>
      <c r="G165" s="15" t="inlineStr">
        <is>
          <t xml:space="preserve">13</t>
        </is>
      </c>
      <c r="H165" s="15" t="inlineStr">
        <is>
          <t xml:space="preserve">Primary Account</t>
        </is>
      </c>
      <c r="I165" s="15" t="inlineStr">
        <is>
          <t xml:space="preserve">Yes</t>
        </is>
      </c>
      <c r="J165" s="15" t="inlineStr">
        <is>
          <t xml:space="preserve">Yes</t>
        </is>
      </c>
      <c r="K165" s="15" t="inlineStr">
        <is>
          <t xml:space="preserve">Yes</t>
        </is>
      </c>
      <c r="L165" s="15" t="inlineStr">
        <is>
          <t xml:space="preserve">High</t>
        </is>
      </c>
      <c r="M165" s="15" t="inlineStr">
        <is>
          <t xml:space="preserve">High</t>
        </is>
      </c>
      <c r="N165" s="15" t="inlineStr">
        <is>
          <t xml:space="preserve">New main-spine continuation</t>
        </is>
      </c>
      <c r="O165" s="15"/>
      <c r="P165" s="15" t="inlineStr">
        <is>
          <t xml:space="preserve">Primary account</t>
        </is>
      </c>
      <c r="Q165" s="15" t="inlineStr">
        <is>
          <t xml:space="preserve">SRC-TEXT-1KGS; SRC-KINGS-OVERVIEW; SRC-KINGS-BP; SRC-SOLOMON-OVERVIEW; SRC-DIVIDED-MONARCHY</t>
        </is>
      </c>
      <c r="R165" s="11" t="inlineStr">
        <is>
          <t xml:space="preserve">Needs Review</t>
        </is>
      </c>
      <c r="S165" s="15" t="inlineStr">
        <is>
          <t xml:space="preserve">Canonical-scope block for The man of God from Judah and Jeroboam's altar.</t>
        </is>
      </c>
    </row>
    <row r="166" ht="34" customHeight="1">
      <c r="A166" s="15" t="inlineStr">
        <is>
          <t xml:space="preserve">v0.2</t>
        </is>
      </c>
      <c r="B166" s="15" t="inlineStr">
        <is>
          <t xml:space="preserve">Bible_Journey_Canon_Map_v0_2_Chronicles_Psalms_Job_1Kings.xlsx</t>
        </is>
      </c>
      <c r="C166" s="15" t="inlineStr">
        <is>
          <t xml:space="preserve">BLK-1KG-013-01</t>
        </is>
      </c>
      <c r="D166" s="15" t="inlineStr">
        <is>
          <t xml:space="preserve">CRS-1KG-013</t>
        </is>
      </c>
      <c r="E166" s="15">
        <v>1</v>
      </c>
      <c r="F166" s="15" t="inlineStr">
        <is>
          <t xml:space="preserve">1 Kings</t>
        </is>
      </c>
      <c r="G166" s="15" t="inlineStr">
        <is>
          <t xml:space="preserve">14</t>
        </is>
      </c>
      <c r="H166" s="15" t="inlineStr">
        <is>
          <t xml:space="preserve">Primary Account</t>
        </is>
      </c>
      <c r="I166" s="15" t="inlineStr">
        <is>
          <t xml:space="preserve">Yes</t>
        </is>
      </c>
      <c r="J166" s="15" t="inlineStr">
        <is>
          <t xml:space="preserve">Yes</t>
        </is>
      </c>
      <c r="K166" s="15" t="inlineStr">
        <is>
          <t xml:space="preserve">Yes</t>
        </is>
      </c>
      <c r="L166" s="15" t="inlineStr">
        <is>
          <t xml:space="preserve">High</t>
        </is>
      </c>
      <c r="M166" s="15" t="inlineStr">
        <is>
          <t xml:space="preserve">High</t>
        </is>
      </c>
      <c r="N166" s="15" t="inlineStr">
        <is>
          <t xml:space="preserve">New main-spine continuation</t>
        </is>
      </c>
      <c r="O166" s="15" t="inlineStr">
        <is>
          <t xml:space="preserve">Future: 2 Chronicles 12</t>
        </is>
      </c>
      <c r="P166" s="15" t="inlineStr">
        <is>
          <t xml:space="preserve">Primary account</t>
        </is>
      </c>
      <c r="Q166" s="15" t="inlineStr">
        <is>
          <t xml:space="preserve">SRC-TEXT-1KGS; SRC-KINGS-OVERVIEW; SRC-KINGS-BP; SRC-SOLOMON-OVERVIEW; SRC-DIVIDED-MONARCHY</t>
        </is>
      </c>
      <c r="R166" s="11" t="inlineStr">
        <is>
          <t xml:space="preserve">Needs Review</t>
        </is>
      </c>
      <c r="S166" s="15" t="inlineStr">
        <is>
          <t xml:space="preserve">Canonical-scope block for Jeroboam's judgment and Rehoboam's reign.</t>
        </is>
      </c>
    </row>
    <row r="167" ht="34" customHeight="1">
      <c r="A167" s="15" t="inlineStr">
        <is>
          <t xml:space="preserve">v0.2</t>
        </is>
      </c>
      <c r="B167" s="15" t="inlineStr">
        <is>
          <t xml:space="preserve">Bible_Journey_Canon_Map_v0_2_Chronicles_Psalms_Job_1Kings.xlsx</t>
        </is>
      </c>
      <c r="C167" s="15" t="inlineStr">
        <is>
          <t xml:space="preserve">BLK-1KG-014-01</t>
        </is>
      </c>
      <c r="D167" s="15" t="inlineStr">
        <is>
          <t xml:space="preserve">CRS-1KG-014</t>
        </is>
      </c>
      <c r="E167" s="15">
        <v>1</v>
      </c>
      <c r="F167" s="15" t="inlineStr">
        <is>
          <t xml:space="preserve">1 Kings</t>
        </is>
      </c>
      <c r="G167" s="15" t="inlineStr">
        <is>
          <t xml:space="preserve">15</t>
        </is>
      </c>
      <c r="H167" s="15" t="inlineStr">
        <is>
          <t xml:space="preserve">Primary Account</t>
        </is>
      </c>
      <c r="I167" s="15" t="inlineStr">
        <is>
          <t xml:space="preserve">Yes</t>
        </is>
      </c>
      <c r="J167" s="15" t="inlineStr">
        <is>
          <t xml:space="preserve">Yes</t>
        </is>
      </c>
      <c r="K167" s="15" t="inlineStr">
        <is>
          <t xml:space="preserve">Yes</t>
        </is>
      </c>
      <c r="L167" s="15" t="inlineStr">
        <is>
          <t xml:space="preserve">High</t>
        </is>
      </c>
      <c r="M167" s="15" t="inlineStr">
        <is>
          <t xml:space="preserve">High</t>
        </is>
      </c>
      <c r="N167" s="15" t="inlineStr">
        <is>
          <t xml:space="preserve">New main-spine continuation</t>
        </is>
      </c>
      <c r="O167" s="15" t="inlineStr">
        <is>
          <t xml:space="preserve">Future: 2 Chronicles 13-16</t>
        </is>
      </c>
      <c r="P167" s="15" t="inlineStr">
        <is>
          <t xml:space="preserve">Primary account</t>
        </is>
      </c>
      <c r="Q167" s="15" t="inlineStr">
        <is>
          <t xml:space="preserve">SRC-TEXT-1KGS; SRC-KINGS-OVERVIEW; SRC-KINGS-BP; SRC-SOLOMON-OVERVIEW; SRC-DIVIDED-MONARCHY</t>
        </is>
      </c>
      <c r="R167" s="11" t="inlineStr">
        <is>
          <t xml:space="preserve">Needs Review</t>
        </is>
      </c>
      <c r="S167" s="15" t="inlineStr">
        <is>
          <t xml:space="preserve">Canonical-scope block for Abijam and Asa in Judah.</t>
        </is>
      </c>
    </row>
    <row r="168" ht="34" customHeight="1">
      <c r="A168" s="15" t="inlineStr">
        <is>
          <t xml:space="preserve">v0.2</t>
        </is>
      </c>
      <c r="B168" s="15" t="inlineStr">
        <is>
          <t xml:space="preserve">Bible_Journey_Canon_Map_v0_2_Chronicles_Psalms_Job_1Kings.xlsx</t>
        </is>
      </c>
      <c r="C168" s="15" t="inlineStr">
        <is>
          <t xml:space="preserve">BLK-1KG-015-01</t>
        </is>
      </c>
      <c r="D168" s="15" t="inlineStr">
        <is>
          <t xml:space="preserve">CRS-1KG-015</t>
        </is>
      </c>
      <c r="E168" s="15">
        <v>1</v>
      </c>
      <c r="F168" s="15" t="inlineStr">
        <is>
          <t xml:space="preserve">1 Kings</t>
        </is>
      </c>
      <c r="G168" s="15" t="inlineStr">
        <is>
          <t xml:space="preserve">16</t>
        </is>
      </c>
      <c r="H168" s="15" t="inlineStr">
        <is>
          <t xml:space="preserve">Primary Account</t>
        </is>
      </c>
      <c r="I168" s="15" t="inlineStr">
        <is>
          <t xml:space="preserve">Yes</t>
        </is>
      </c>
      <c r="J168" s="15" t="inlineStr">
        <is>
          <t xml:space="preserve">Yes</t>
        </is>
      </c>
      <c r="K168" s="15" t="inlineStr">
        <is>
          <t xml:space="preserve">Yes</t>
        </is>
      </c>
      <c r="L168" s="15" t="inlineStr">
        <is>
          <t xml:space="preserve">High</t>
        </is>
      </c>
      <c r="M168" s="15" t="inlineStr">
        <is>
          <t xml:space="preserve">High</t>
        </is>
      </c>
      <c r="N168" s="15" t="inlineStr">
        <is>
          <t xml:space="preserve">New main-spine continuation</t>
        </is>
      </c>
      <c r="O168" s="15"/>
      <c r="P168" s="15" t="inlineStr">
        <is>
          <t xml:space="preserve">Primary account</t>
        </is>
      </c>
      <c r="Q168" s="15" t="inlineStr">
        <is>
          <t xml:space="preserve">SRC-TEXT-1KGS; SRC-KINGS-OVERVIEW; SRC-KINGS-BP; SRC-SOLOMON-OVERVIEW; SRC-DIVIDED-MONARCHY</t>
        </is>
      </c>
      <c r="R168" s="11" t="inlineStr">
        <is>
          <t xml:space="preserve">Needs Review</t>
        </is>
      </c>
      <c r="S168" s="15" t="inlineStr">
        <is>
          <t xml:space="preserve">Canonical-scope block for Baasha, Elah, Zimri, Omri, and Ahab's rise.</t>
        </is>
      </c>
    </row>
    <row r="169" ht="34" customHeight="1">
      <c r="A169" s="15" t="inlineStr">
        <is>
          <t xml:space="preserve">v0.2</t>
        </is>
      </c>
      <c r="B169" s="15" t="inlineStr">
        <is>
          <t xml:space="preserve">Bible_Journey_Canon_Map_v0_2_Chronicles_Psalms_Job_1Kings.xlsx</t>
        </is>
      </c>
      <c r="C169" s="15" t="inlineStr">
        <is>
          <t xml:space="preserve">BLK-1KG-016-01</t>
        </is>
      </c>
      <c r="D169" s="15" t="inlineStr">
        <is>
          <t xml:space="preserve">CRS-1KG-016</t>
        </is>
      </c>
      <c r="E169" s="15">
        <v>1</v>
      </c>
      <c r="F169" s="15" t="inlineStr">
        <is>
          <t xml:space="preserve">1 Kings</t>
        </is>
      </c>
      <c r="G169" s="15" t="inlineStr">
        <is>
          <t xml:space="preserve">17</t>
        </is>
      </c>
      <c r="H169" s="15" t="inlineStr">
        <is>
          <t xml:space="preserve">Primary Account</t>
        </is>
      </c>
      <c r="I169" s="15" t="inlineStr">
        <is>
          <t xml:space="preserve">Yes</t>
        </is>
      </c>
      <c r="J169" s="15" t="inlineStr">
        <is>
          <t xml:space="preserve">Yes</t>
        </is>
      </c>
      <c r="K169" s="15" t="inlineStr">
        <is>
          <t xml:space="preserve">Yes</t>
        </is>
      </c>
      <c r="L169" s="15" t="inlineStr">
        <is>
          <t xml:space="preserve">High</t>
        </is>
      </c>
      <c r="M169" s="15" t="inlineStr">
        <is>
          <t xml:space="preserve">High</t>
        </is>
      </c>
      <c r="N169" s="15" t="inlineStr">
        <is>
          <t xml:space="preserve">New main-spine continuation</t>
        </is>
      </c>
      <c r="O169" s="15"/>
      <c r="P169" s="15" t="inlineStr">
        <is>
          <t xml:space="preserve">Primary account</t>
        </is>
      </c>
      <c r="Q169" s="15" t="inlineStr">
        <is>
          <t xml:space="preserve">SRC-TEXT-1KGS; SRC-KINGS-OVERVIEW; SRC-KINGS-BP; SRC-SOLOMON-OVERVIEW; SRC-DIVIDED-MONARCHY</t>
        </is>
      </c>
      <c r="R169" s="11" t="inlineStr">
        <is>
          <t xml:space="preserve">Needs Review</t>
        </is>
      </c>
      <c r="S169" s="15" t="inlineStr">
        <is>
          <t xml:space="preserve">Canonical-scope block for Elijah announces drought and is sustained.</t>
        </is>
      </c>
    </row>
    <row r="170" ht="34" customHeight="1">
      <c r="A170" s="15" t="inlineStr">
        <is>
          <t xml:space="preserve">v0.2</t>
        </is>
      </c>
      <c r="B170" s="15" t="inlineStr">
        <is>
          <t xml:space="preserve">Bible_Journey_Canon_Map_v0_2_Chronicles_Psalms_Job_1Kings.xlsx</t>
        </is>
      </c>
      <c r="C170" s="15" t="inlineStr">
        <is>
          <t xml:space="preserve">BLK-1KG-017-01</t>
        </is>
      </c>
      <c r="D170" s="15" t="inlineStr">
        <is>
          <t xml:space="preserve">CRS-1KG-017</t>
        </is>
      </c>
      <c r="E170" s="15">
        <v>1</v>
      </c>
      <c r="F170" s="15" t="inlineStr">
        <is>
          <t xml:space="preserve">1 Kings</t>
        </is>
      </c>
      <c r="G170" s="15" t="inlineStr">
        <is>
          <t xml:space="preserve">18</t>
        </is>
      </c>
      <c r="H170" s="15" t="inlineStr">
        <is>
          <t xml:space="preserve">Primary Account</t>
        </is>
      </c>
      <c r="I170" s="15" t="inlineStr">
        <is>
          <t xml:space="preserve">Yes</t>
        </is>
      </c>
      <c r="J170" s="15" t="inlineStr">
        <is>
          <t xml:space="preserve">Yes</t>
        </is>
      </c>
      <c r="K170" s="15" t="inlineStr">
        <is>
          <t xml:space="preserve">Yes</t>
        </is>
      </c>
      <c r="L170" s="15" t="inlineStr">
        <is>
          <t xml:space="preserve">High</t>
        </is>
      </c>
      <c r="M170" s="15" t="inlineStr">
        <is>
          <t xml:space="preserve">High</t>
        </is>
      </c>
      <c r="N170" s="15" t="inlineStr">
        <is>
          <t xml:space="preserve">New main-spine continuation</t>
        </is>
      </c>
      <c r="O170" s="15"/>
      <c r="P170" s="15" t="inlineStr">
        <is>
          <t xml:space="preserve">Primary account</t>
        </is>
      </c>
      <c r="Q170" s="15" t="inlineStr">
        <is>
          <t xml:space="preserve">SRC-TEXT-1KGS; SRC-KINGS-OVERVIEW; SRC-KINGS-BP; SRC-SOLOMON-OVERVIEW; SRC-DIVIDED-MONARCHY</t>
        </is>
      </c>
      <c r="R170" s="11" t="inlineStr">
        <is>
          <t xml:space="preserve">Needs Review</t>
        </is>
      </c>
      <c r="S170" s="15" t="inlineStr">
        <is>
          <t xml:space="preserve">Canonical-scope block for Elijah on Carmel.</t>
        </is>
      </c>
    </row>
    <row r="171" ht="34" customHeight="1">
      <c r="A171" s="15" t="inlineStr">
        <is>
          <t xml:space="preserve">v0.2</t>
        </is>
      </c>
      <c r="B171" s="15" t="inlineStr">
        <is>
          <t xml:space="preserve">Bible_Journey_Canon_Map_v0_2_Chronicles_Psalms_Job_1Kings.xlsx</t>
        </is>
      </c>
      <c r="C171" s="15" t="inlineStr">
        <is>
          <t xml:space="preserve">BLK-1KG-018-01</t>
        </is>
      </c>
      <c r="D171" s="15" t="inlineStr">
        <is>
          <t xml:space="preserve">CRS-1KG-018</t>
        </is>
      </c>
      <c r="E171" s="15">
        <v>1</v>
      </c>
      <c r="F171" s="15" t="inlineStr">
        <is>
          <t xml:space="preserve">1 Kings</t>
        </is>
      </c>
      <c r="G171" s="15" t="inlineStr">
        <is>
          <t xml:space="preserve">19</t>
        </is>
      </c>
      <c r="H171" s="15" t="inlineStr">
        <is>
          <t xml:space="preserve">Primary Account</t>
        </is>
      </c>
      <c r="I171" s="15" t="inlineStr">
        <is>
          <t xml:space="preserve">Yes</t>
        </is>
      </c>
      <c r="J171" s="15" t="inlineStr">
        <is>
          <t xml:space="preserve">Yes</t>
        </is>
      </c>
      <c r="K171" s="15" t="inlineStr">
        <is>
          <t xml:space="preserve">Yes</t>
        </is>
      </c>
      <c r="L171" s="15" t="inlineStr">
        <is>
          <t xml:space="preserve">High</t>
        </is>
      </c>
      <c r="M171" s="15" t="inlineStr">
        <is>
          <t xml:space="preserve">High</t>
        </is>
      </c>
      <c r="N171" s="15" t="inlineStr">
        <is>
          <t xml:space="preserve">New main-spine continuation</t>
        </is>
      </c>
      <c r="O171" s="15"/>
      <c r="P171" s="15" t="inlineStr">
        <is>
          <t xml:space="preserve">Primary account</t>
        </is>
      </c>
      <c r="Q171" s="15" t="inlineStr">
        <is>
          <t xml:space="preserve">SRC-TEXT-1KGS; SRC-KINGS-OVERVIEW; SRC-KINGS-BP; SRC-SOLOMON-OVERVIEW; SRC-DIVIDED-MONARCHY</t>
        </is>
      </c>
      <c r="R171" s="11" t="inlineStr">
        <is>
          <t xml:space="preserve">Needs Review</t>
        </is>
      </c>
      <c r="S171" s="15" t="inlineStr">
        <is>
          <t xml:space="preserve">Canonical-scope block for Elijah at Horeb and Elisha's call.</t>
        </is>
      </c>
    </row>
    <row r="172" ht="34" customHeight="1">
      <c r="A172" s="15" t="inlineStr">
        <is>
          <t xml:space="preserve">v0.2</t>
        </is>
      </c>
      <c r="B172" s="15" t="inlineStr">
        <is>
          <t xml:space="preserve">Bible_Journey_Canon_Map_v0_2_Chronicles_Psalms_Job_1Kings.xlsx</t>
        </is>
      </c>
      <c r="C172" s="15" t="inlineStr">
        <is>
          <t xml:space="preserve">BLK-1KG-019-01</t>
        </is>
      </c>
      <c r="D172" s="15" t="inlineStr">
        <is>
          <t xml:space="preserve">CRS-1KG-019</t>
        </is>
      </c>
      <c r="E172" s="15">
        <v>1</v>
      </c>
      <c r="F172" s="15" t="inlineStr">
        <is>
          <t xml:space="preserve">1 Kings</t>
        </is>
      </c>
      <c r="G172" s="15" t="inlineStr">
        <is>
          <t xml:space="preserve">20</t>
        </is>
      </c>
      <c r="H172" s="15" t="inlineStr">
        <is>
          <t xml:space="preserve">Primary Account</t>
        </is>
      </c>
      <c r="I172" s="15" t="inlineStr">
        <is>
          <t xml:space="preserve">Yes</t>
        </is>
      </c>
      <c r="J172" s="15" t="inlineStr">
        <is>
          <t xml:space="preserve">Yes</t>
        </is>
      </c>
      <c r="K172" s="15" t="inlineStr">
        <is>
          <t xml:space="preserve">Yes</t>
        </is>
      </c>
      <c r="L172" s="15" t="inlineStr">
        <is>
          <t xml:space="preserve">High</t>
        </is>
      </c>
      <c r="M172" s="15" t="inlineStr">
        <is>
          <t xml:space="preserve">High</t>
        </is>
      </c>
      <c r="N172" s="15" t="inlineStr">
        <is>
          <t xml:space="preserve">New main-spine continuation</t>
        </is>
      </c>
      <c r="O172" s="15"/>
      <c r="P172" s="15" t="inlineStr">
        <is>
          <t xml:space="preserve">Primary account</t>
        </is>
      </c>
      <c r="Q172" s="15" t="inlineStr">
        <is>
          <t xml:space="preserve">SRC-TEXT-1KGS; SRC-KINGS-OVERVIEW; SRC-KINGS-BP; SRC-SOLOMON-OVERVIEW; SRC-DIVIDED-MONARCHY</t>
        </is>
      </c>
      <c r="R172" s="11" t="inlineStr">
        <is>
          <t xml:space="preserve">Needs Review</t>
        </is>
      </c>
      <c r="S172" s="15" t="inlineStr">
        <is>
          <t xml:space="preserve">Canonical-scope block for Ahab's wars with Aram.</t>
        </is>
      </c>
    </row>
    <row r="173" ht="34" customHeight="1">
      <c r="A173" s="15" t="inlineStr">
        <is>
          <t xml:space="preserve">v0.2</t>
        </is>
      </c>
      <c r="B173" s="15" t="inlineStr">
        <is>
          <t xml:space="preserve">Bible_Journey_Canon_Map_v0_2_Chronicles_Psalms_Job_1Kings.xlsx</t>
        </is>
      </c>
      <c r="C173" s="15" t="inlineStr">
        <is>
          <t xml:space="preserve">BLK-1KG-020-01</t>
        </is>
      </c>
      <c r="D173" s="15" t="inlineStr">
        <is>
          <t xml:space="preserve">CRS-1KG-020</t>
        </is>
      </c>
      <c r="E173" s="15">
        <v>1</v>
      </c>
      <c r="F173" s="15" t="inlineStr">
        <is>
          <t xml:space="preserve">1 Kings</t>
        </is>
      </c>
      <c r="G173" s="15" t="inlineStr">
        <is>
          <t xml:space="preserve">21</t>
        </is>
      </c>
      <c r="H173" s="15" t="inlineStr">
        <is>
          <t xml:space="preserve">Primary Account</t>
        </is>
      </c>
      <c r="I173" s="15" t="inlineStr">
        <is>
          <t xml:space="preserve">Yes</t>
        </is>
      </c>
      <c r="J173" s="15" t="inlineStr">
        <is>
          <t xml:space="preserve">Yes</t>
        </is>
      </c>
      <c r="K173" s="15" t="inlineStr">
        <is>
          <t xml:space="preserve">Yes</t>
        </is>
      </c>
      <c r="L173" s="15" t="inlineStr">
        <is>
          <t xml:space="preserve">High</t>
        </is>
      </c>
      <c r="M173" s="15" t="inlineStr">
        <is>
          <t xml:space="preserve">High</t>
        </is>
      </c>
      <c r="N173" s="15" t="inlineStr">
        <is>
          <t xml:space="preserve">New main-spine continuation</t>
        </is>
      </c>
      <c r="O173" s="15"/>
      <c r="P173" s="15" t="inlineStr">
        <is>
          <t xml:space="preserve">Primary account</t>
        </is>
      </c>
      <c r="Q173" s="15" t="inlineStr">
        <is>
          <t xml:space="preserve">SRC-TEXT-1KGS; SRC-KINGS-OVERVIEW; SRC-KINGS-BP; SRC-SOLOMON-OVERVIEW; SRC-DIVIDED-MONARCHY</t>
        </is>
      </c>
      <c r="R173" s="11" t="inlineStr">
        <is>
          <t xml:space="preserve">Needs Review</t>
        </is>
      </c>
      <c r="S173" s="15" t="inlineStr">
        <is>
          <t xml:space="preserve">Canonical-scope block for Naboth's vineyard and Elijah's judgment.</t>
        </is>
      </c>
    </row>
    <row r="174" ht="34" customHeight="1">
      <c r="A174" s="15" t="inlineStr">
        <is>
          <t xml:space="preserve">v0.2</t>
        </is>
      </c>
      <c r="B174" s="15" t="inlineStr">
        <is>
          <t xml:space="preserve">Bible_Journey_Canon_Map_v0_2_Chronicles_Psalms_Job_1Kings.xlsx</t>
        </is>
      </c>
      <c r="C174" s="15" t="inlineStr">
        <is>
          <t xml:space="preserve">BLK-1KG-021-01</t>
        </is>
      </c>
      <c r="D174" s="15" t="inlineStr">
        <is>
          <t xml:space="preserve">CRS-1KG-021</t>
        </is>
      </c>
      <c r="E174" s="15">
        <v>1</v>
      </c>
      <c r="F174" s="15" t="inlineStr">
        <is>
          <t xml:space="preserve">1 Kings</t>
        </is>
      </c>
      <c r="G174" s="15" t="inlineStr">
        <is>
          <t xml:space="preserve">22</t>
        </is>
      </c>
      <c r="H174" s="15" t="inlineStr">
        <is>
          <t xml:space="preserve">Primary Account</t>
        </is>
      </c>
      <c r="I174" s="15" t="inlineStr">
        <is>
          <t xml:space="preserve">Yes</t>
        </is>
      </c>
      <c r="J174" s="15" t="inlineStr">
        <is>
          <t xml:space="preserve">Yes</t>
        </is>
      </c>
      <c r="K174" s="15" t="inlineStr">
        <is>
          <t xml:space="preserve">Yes</t>
        </is>
      </c>
      <c r="L174" s="15" t="inlineStr">
        <is>
          <t xml:space="preserve">High</t>
        </is>
      </c>
      <c r="M174" s="15" t="inlineStr">
        <is>
          <t xml:space="preserve">High</t>
        </is>
      </c>
      <c r="N174" s="15" t="inlineStr">
        <is>
          <t xml:space="preserve">New main-spine continuation</t>
        </is>
      </c>
      <c r="O174" s="15" t="inlineStr">
        <is>
          <t xml:space="preserve">Future: 2 Chronicles 18</t>
        </is>
      </c>
      <c r="P174" s="15" t="inlineStr">
        <is>
          <t xml:space="preserve">Primary account</t>
        </is>
      </c>
      <c r="Q174" s="15" t="inlineStr">
        <is>
          <t xml:space="preserve">SRC-TEXT-1KGS; SRC-KINGS-OVERVIEW; SRC-KINGS-BP; SRC-SOLOMON-OVERVIEW; SRC-DIVIDED-MONARCHY</t>
        </is>
      </c>
      <c r="R174" s="11" t="inlineStr">
        <is>
          <t xml:space="preserve">Needs Review</t>
        </is>
      </c>
      <c r="S174" s="15" t="inlineStr">
        <is>
          <t xml:space="preserve">Canonical-scope block for Micaiah, Ahab's death, and Jehoshaphat.</t>
        </is>
      </c>
    </row>
    <row r="175" ht="34" customHeight="1">
      <c r="A175" s="15" t="inlineStr">
        <is>
          <t xml:space="preserve">v0.2</t>
        </is>
      </c>
      <c r="B175" s="15" t="inlineStr">
        <is>
          <t xml:space="preserve">Bible_Journey_Canon_Map_v0_2_Chronicles_Psalms_Job_1Kings.xlsx</t>
        </is>
      </c>
      <c r="C175" s="15" t="inlineStr">
        <is>
          <t xml:space="preserve">BLK-1CH-001-01</t>
        </is>
      </c>
      <c r="D175" s="15" t="inlineStr">
        <is>
          <t xml:space="preserve">CRS-1CH-001</t>
        </is>
      </c>
      <c r="E175" s="15">
        <v>1</v>
      </c>
      <c r="F175" s="15" t="inlineStr">
        <is>
          <t xml:space="preserve">1 Chronicles</t>
        </is>
      </c>
      <c r="G175" s="15" t="inlineStr">
        <is>
          <t xml:space="preserve">1-2</t>
        </is>
      </c>
      <c r="H175" s="15" t="inlineStr">
        <is>
          <t xml:space="preserve">Genealogical Context</t>
        </is>
      </c>
      <c r="I175" s="15" t="inlineStr">
        <is>
          <t xml:space="preserve">Yes</t>
        </is>
      </c>
      <c r="J175" s="15" t="inlineStr">
        <is>
          <t xml:space="preserve">Yes</t>
        </is>
      </c>
      <c r="K175" s="15" t="inlineStr">
        <is>
          <t xml:space="preserve">No</t>
        </is>
      </c>
      <c r="L175" s="15" t="inlineStr">
        <is>
          <t xml:space="preserve">High</t>
        </is>
      </c>
      <c r="M175" s="13" t="inlineStr">
        <is>
          <t xml:space="preserve">Unresolved</t>
        </is>
      </c>
      <c r="N175" s="15" t="inlineStr">
        <is>
          <t xml:space="preserve">Auxiliary collection / no fixed event placement</t>
        </is>
      </c>
      <c r="O175" s="15"/>
      <c r="P175" s="15" t="inlineStr">
        <is>
          <t xml:space="preserve">Genealogical Context</t>
        </is>
      </c>
      <c r="Q175" s="15" t="inlineStr">
        <is>
          <t xml:space="preserve">SRC-TEXT-1CHR; SRC-CHRONICLES-OVERVIEW; SRC-CHRONICLES-BP</t>
        </is>
      </c>
      <c r="R175" s="11" t="inlineStr">
        <is>
          <t xml:space="preserve">Needs Review</t>
        </is>
      </c>
      <c r="S175" s="15" t="inlineStr">
        <is>
          <t xml:space="preserve">Canonical-scope block for Genealogies from Adam to Judah.</t>
        </is>
      </c>
    </row>
    <row r="176" ht="34" customHeight="1">
      <c r="A176" s="15" t="inlineStr">
        <is>
          <t xml:space="preserve">v0.2</t>
        </is>
      </c>
      <c r="B176" s="15" t="inlineStr">
        <is>
          <t xml:space="preserve">Bible_Journey_Canon_Map_v0_2_Chronicles_Psalms_Job_1Kings.xlsx</t>
        </is>
      </c>
      <c r="C176" s="15" t="inlineStr">
        <is>
          <t xml:space="preserve">BLK-1CH-002-01</t>
        </is>
      </c>
      <c r="D176" s="15" t="inlineStr">
        <is>
          <t xml:space="preserve">CRS-1CH-002</t>
        </is>
      </c>
      <c r="E176" s="15">
        <v>1</v>
      </c>
      <c r="F176" s="15" t="inlineStr">
        <is>
          <t xml:space="preserve">1 Chronicles</t>
        </is>
      </c>
      <c r="G176" s="15" t="inlineStr">
        <is>
          <t xml:space="preserve">3-4</t>
        </is>
      </c>
      <c r="H176" s="15" t="inlineStr">
        <is>
          <t xml:space="preserve">Genealogical Context</t>
        </is>
      </c>
      <c r="I176" s="15" t="inlineStr">
        <is>
          <t xml:space="preserve">Yes</t>
        </is>
      </c>
      <c r="J176" s="15" t="inlineStr">
        <is>
          <t xml:space="preserve">Yes</t>
        </is>
      </c>
      <c r="K176" s="15" t="inlineStr">
        <is>
          <t xml:space="preserve">No</t>
        </is>
      </c>
      <c r="L176" s="15" t="inlineStr">
        <is>
          <t xml:space="preserve">High</t>
        </is>
      </c>
      <c r="M176" s="13" t="inlineStr">
        <is>
          <t xml:space="preserve">Unresolved</t>
        </is>
      </c>
      <c r="N176" s="15" t="inlineStr">
        <is>
          <t xml:space="preserve">Auxiliary collection / no fixed event placement</t>
        </is>
      </c>
      <c r="O176" s="15"/>
      <c r="P176" s="15" t="inlineStr">
        <is>
          <t xml:space="preserve">Genealogical Context</t>
        </is>
      </c>
      <c r="Q176" s="15" t="inlineStr">
        <is>
          <t xml:space="preserve">SRC-TEXT-1CHR; SRC-CHRONICLES-OVERVIEW; SRC-CHRONICLES-BP</t>
        </is>
      </c>
      <c r="R176" s="11" t="inlineStr">
        <is>
          <t xml:space="preserve">Needs Review</t>
        </is>
      </c>
      <c r="S176" s="15" t="inlineStr">
        <is>
          <t xml:space="preserve">Canonical-scope block for Davidic line and clans of Judah.</t>
        </is>
      </c>
    </row>
    <row r="177" ht="34" customHeight="1">
      <c r="A177" s="15" t="inlineStr">
        <is>
          <t xml:space="preserve">v0.2</t>
        </is>
      </c>
      <c r="B177" s="15" t="inlineStr">
        <is>
          <t xml:space="preserve">Bible_Journey_Canon_Map_v0_2_Chronicles_Psalms_Job_1Kings.xlsx</t>
        </is>
      </c>
      <c r="C177" s="15" t="inlineStr">
        <is>
          <t xml:space="preserve">BLK-1CH-003-01</t>
        </is>
      </c>
      <c r="D177" s="15" t="inlineStr">
        <is>
          <t xml:space="preserve">CRS-1CH-003</t>
        </is>
      </c>
      <c r="E177" s="15">
        <v>1</v>
      </c>
      <c r="F177" s="15" t="inlineStr">
        <is>
          <t xml:space="preserve">1 Chronicles</t>
        </is>
      </c>
      <c r="G177" s="15" t="inlineStr">
        <is>
          <t xml:space="preserve">5</t>
        </is>
      </c>
      <c r="H177" s="15" t="inlineStr">
        <is>
          <t xml:space="preserve">Genealogical Context</t>
        </is>
      </c>
      <c r="I177" s="15" t="inlineStr">
        <is>
          <t xml:space="preserve">Yes</t>
        </is>
      </c>
      <c r="J177" s="15" t="inlineStr">
        <is>
          <t xml:space="preserve">Yes</t>
        </is>
      </c>
      <c r="K177" s="15" t="inlineStr">
        <is>
          <t xml:space="preserve">No</t>
        </is>
      </c>
      <c r="L177" s="15" t="inlineStr">
        <is>
          <t xml:space="preserve">High</t>
        </is>
      </c>
      <c r="M177" s="13" t="inlineStr">
        <is>
          <t xml:space="preserve">Unresolved</t>
        </is>
      </c>
      <c r="N177" s="15" t="inlineStr">
        <is>
          <t xml:space="preserve">Auxiliary collection / no fixed event placement</t>
        </is>
      </c>
      <c r="O177" s="15"/>
      <c r="P177" s="15" t="inlineStr">
        <is>
          <t xml:space="preserve">Genealogical Context</t>
        </is>
      </c>
      <c r="Q177" s="15" t="inlineStr">
        <is>
          <t xml:space="preserve">SRC-TEXT-1CHR; SRC-CHRONICLES-OVERVIEW; SRC-CHRONICLES-BP</t>
        </is>
      </c>
      <c r="R177" s="11" t="inlineStr">
        <is>
          <t xml:space="preserve">Needs Review</t>
        </is>
      </c>
      <c r="S177" s="15" t="inlineStr">
        <is>
          <t xml:space="preserve">Canonical-scope block for Transjordanian tribal lines.</t>
        </is>
      </c>
    </row>
    <row r="178" ht="34" customHeight="1">
      <c r="A178" s="15" t="inlineStr">
        <is>
          <t xml:space="preserve">v0.2</t>
        </is>
      </c>
      <c r="B178" s="15" t="inlineStr">
        <is>
          <t xml:space="preserve">Bible_Journey_Canon_Map_v0_2_Chronicles_Psalms_Job_1Kings.xlsx</t>
        </is>
      </c>
      <c r="C178" s="15" t="inlineStr">
        <is>
          <t xml:space="preserve">BLK-1CH-004-01</t>
        </is>
      </c>
      <c r="D178" s="15" t="inlineStr">
        <is>
          <t xml:space="preserve">CRS-1CH-004</t>
        </is>
      </c>
      <c r="E178" s="15">
        <v>1</v>
      </c>
      <c r="F178" s="15" t="inlineStr">
        <is>
          <t xml:space="preserve">1 Chronicles</t>
        </is>
      </c>
      <c r="G178" s="15" t="inlineStr">
        <is>
          <t xml:space="preserve">6</t>
        </is>
      </c>
      <c r="H178" s="15" t="inlineStr">
        <is>
          <t xml:space="preserve">Genealogical Context</t>
        </is>
      </c>
      <c r="I178" s="15" t="inlineStr">
        <is>
          <t xml:space="preserve">Yes</t>
        </is>
      </c>
      <c r="J178" s="15" t="inlineStr">
        <is>
          <t xml:space="preserve">Yes</t>
        </is>
      </c>
      <c r="K178" s="15" t="inlineStr">
        <is>
          <t xml:space="preserve">No</t>
        </is>
      </c>
      <c r="L178" s="15" t="inlineStr">
        <is>
          <t xml:space="preserve">High</t>
        </is>
      </c>
      <c r="M178" s="13" t="inlineStr">
        <is>
          <t xml:space="preserve">Unresolved</t>
        </is>
      </c>
      <c r="N178" s="15" t="inlineStr">
        <is>
          <t xml:space="preserve">Auxiliary collection / no fixed event placement</t>
        </is>
      </c>
      <c r="O178" s="15"/>
      <c r="P178" s="15" t="inlineStr">
        <is>
          <t xml:space="preserve">Genealogical Context</t>
        </is>
      </c>
      <c r="Q178" s="15" t="inlineStr">
        <is>
          <t xml:space="preserve">SRC-TEXT-1CHR; SRC-CHRONICLES-OVERVIEW; SRC-CHRONICLES-BP</t>
        </is>
      </c>
      <c r="R178" s="11" t="inlineStr">
        <is>
          <t xml:space="preserve">Needs Review</t>
        </is>
      </c>
      <c r="S178" s="15" t="inlineStr">
        <is>
          <t xml:space="preserve">Canonical-scope block for Levi, priests, and temple line.</t>
        </is>
      </c>
    </row>
    <row r="179" ht="34" customHeight="1">
      <c r="A179" s="15" t="inlineStr">
        <is>
          <t xml:space="preserve">v0.2</t>
        </is>
      </c>
      <c r="B179" s="15" t="inlineStr">
        <is>
          <t xml:space="preserve">Bible_Journey_Canon_Map_v0_2_Chronicles_Psalms_Job_1Kings.xlsx</t>
        </is>
      </c>
      <c r="C179" s="15" t="inlineStr">
        <is>
          <t xml:space="preserve">BLK-1CH-005-01</t>
        </is>
      </c>
      <c r="D179" s="15" t="inlineStr">
        <is>
          <t xml:space="preserve">CRS-1CH-005</t>
        </is>
      </c>
      <c r="E179" s="15">
        <v>1</v>
      </c>
      <c r="F179" s="15" t="inlineStr">
        <is>
          <t xml:space="preserve">1 Chronicles</t>
        </is>
      </c>
      <c r="G179" s="15" t="inlineStr">
        <is>
          <t xml:space="preserve">7-8</t>
        </is>
      </c>
      <c r="H179" s="15" t="inlineStr">
        <is>
          <t xml:space="preserve">Genealogical Context</t>
        </is>
      </c>
      <c r="I179" s="15" t="inlineStr">
        <is>
          <t xml:space="preserve">Yes</t>
        </is>
      </c>
      <c r="J179" s="15" t="inlineStr">
        <is>
          <t xml:space="preserve">Yes</t>
        </is>
      </c>
      <c r="K179" s="15" t="inlineStr">
        <is>
          <t xml:space="preserve">No</t>
        </is>
      </c>
      <c r="L179" s="15" t="inlineStr">
        <is>
          <t xml:space="preserve">High</t>
        </is>
      </c>
      <c r="M179" s="13" t="inlineStr">
        <is>
          <t xml:space="preserve">Unresolved</t>
        </is>
      </c>
      <c r="N179" s="15" t="inlineStr">
        <is>
          <t xml:space="preserve">Auxiliary collection / no fixed event placement</t>
        </is>
      </c>
      <c r="O179" s="15"/>
      <c r="P179" s="15" t="inlineStr">
        <is>
          <t xml:space="preserve">Genealogical Context</t>
        </is>
      </c>
      <c r="Q179" s="15" t="inlineStr">
        <is>
          <t xml:space="preserve">SRC-TEXT-1CHR; SRC-CHRONICLES-OVERVIEW; SRC-CHRONICLES-BP</t>
        </is>
      </c>
      <c r="R179" s="11" t="inlineStr">
        <is>
          <t xml:space="preserve">Needs Review</t>
        </is>
      </c>
      <c r="S179" s="15" t="inlineStr">
        <is>
          <t xml:space="preserve">Canonical-scope block for Tribal lines and Benjamin.</t>
        </is>
      </c>
    </row>
    <row r="180" ht="34" customHeight="1">
      <c r="A180" s="15" t="inlineStr">
        <is>
          <t xml:space="preserve">v0.2</t>
        </is>
      </c>
      <c r="B180" s="15" t="inlineStr">
        <is>
          <t xml:space="preserve">Bible_Journey_Canon_Map_v0_2_Chronicles_Psalms_Job_1Kings.xlsx</t>
        </is>
      </c>
      <c r="C180" s="15" t="inlineStr">
        <is>
          <t xml:space="preserve">BLK-1CH-006-01</t>
        </is>
      </c>
      <c r="D180" s="15" t="inlineStr">
        <is>
          <t xml:space="preserve">CRS-1CH-006</t>
        </is>
      </c>
      <c r="E180" s="15">
        <v>1</v>
      </c>
      <c r="F180" s="15" t="inlineStr">
        <is>
          <t xml:space="preserve">1 Chronicles</t>
        </is>
      </c>
      <c r="G180" s="15" t="inlineStr">
        <is>
          <t xml:space="preserve">9</t>
        </is>
      </c>
      <c r="H180" s="15" t="inlineStr">
        <is>
          <t xml:space="preserve">Genealogical Context</t>
        </is>
      </c>
      <c r="I180" s="15" t="inlineStr">
        <is>
          <t xml:space="preserve">Yes</t>
        </is>
      </c>
      <c r="J180" s="15" t="inlineStr">
        <is>
          <t xml:space="preserve">Yes</t>
        </is>
      </c>
      <c r="K180" s="15" t="inlineStr">
        <is>
          <t xml:space="preserve">No</t>
        </is>
      </c>
      <c r="L180" s="15" t="inlineStr">
        <is>
          <t xml:space="preserve">High</t>
        </is>
      </c>
      <c r="M180" s="13" t="inlineStr">
        <is>
          <t xml:space="preserve">Unresolved</t>
        </is>
      </c>
      <c r="N180" s="15" t="inlineStr">
        <is>
          <t xml:space="preserve">Auxiliary collection / postexilic retrospective</t>
        </is>
      </c>
      <c r="O180" s="15"/>
      <c r="P180" s="15" t="inlineStr">
        <is>
          <t xml:space="preserve">Genealogical Context</t>
        </is>
      </c>
      <c r="Q180" s="15" t="inlineStr">
        <is>
          <t xml:space="preserve">SRC-TEXT-1CHR; SRC-CHRONICLES-OVERVIEW; SRC-CHRONICLES-BP</t>
        </is>
      </c>
      <c r="R180" s="11" t="inlineStr">
        <is>
          <t xml:space="preserve">Needs Review</t>
        </is>
      </c>
      <c r="S180" s="15" t="inlineStr">
        <is>
          <t xml:space="preserve">Canonical-scope block for Postexilic Jerusalem and temple personnel.</t>
        </is>
      </c>
    </row>
    <row r="181" ht="34" customHeight="1">
      <c r="A181" s="15" t="inlineStr">
        <is>
          <t xml:space="preserve">v0.2</t>
        </is>
      </c>
      <c r="B181" s="15" t="inlineStr">
        <is>
          <t xml:space="preserve">Bible_Journey_Canon_Map_v0_2_Chronicles_Psalms_Job_1Kings.xlsx</t>
        </is>
      </c>
      <c r="C181" s="15" t="inlineStr">
        <is>
          <t xml:space="preserve">BLK-JOB-001-01</t>
        </is>
      </c>
      <c r="D181" s="15" t="inlineStr">
        <is>
          <t xml:space="preserve">CRS-JOB-001</t>
        </is>
      </c>
      <c r="E181" s="15">
        <v>1</v>
      </c>
      <c r="F181" s="15" t="inlineStr">
        <is>
          <t xml:space="preserve">Job</t>
        </is>
      </c>
      <c r="G181" s="15" t="inlineStr">
        <is>
          <t xml:space="preserve">1-2</t>
        </is>
      </c>
      <c r="H181" s="15" t="inlineStr">
        <is>
          <t xml:space="preserve">Primary Account</t>
        </is>
      </c>
      <c r="I181" s="15" t="inlineStr">
        <is>
          <t xml:space="preserve">Yes</t>
        </is>
      </c>
      <c r="J181" s="15" t="inlineStr">
        <is>
          <t xml:space="preserve">Yes</t>
        </is>
      </c>
      <c r="K181" s="15" t="inlineStr">
        <is>
          <t xml:space="preserve">Yes</t>
        </is>
      </c>
      <c r="L181" s="15" t="inlineStr">
        <is>
          <t xml:space="preserve">High</t>
        </is>
      </c>
      <c r="M181" s="13" t="inlineStr">
        <is>
          <t xml:space="preserve">Unresolved</t>
        </is>
      </c>
      <c r="N181" s="15" t="inlineStr">
        <is>
          <t xml:space="preserve">Auxiliary collection / chronology unresolved</t>
        </is>
      </c>
      <c r="O181" s="15"/>
      <c r="P181" s="15" t="inlineStr">
        <is>
          <t xml:space="preserve">Primary account</t>
        </is>
      </c>
      <c r="Q181" s="15" t="inlineStr">
        <is>
          <t xml:space="preserve">SRC-TEXT-JOB; SRC-JOB-AUTHORSHIP; SRC-JOB-OVERVIEW</t>
        </is>
      </c>
      <c r="R181" s="11" t="inlineStr">
        <is>
          <t xml:space="preserve">Needs Review</t>
        </is>
      </c>
      <c r="S181" s="15" t="inlineStr">
        <is>
          <t xml:space="preserve">Canonical-scope block for Job's integrity, losses, and the heavenly challenge.</t>
        </is>
      </c>
    </row>
    <row r="182" ht="34" customHeight="1">
      <c r="A182" s="15" t="inlineStr">
        <is>
          <t xml:space="preserve">v0.2</t>
        </is>
      </c>
      <c r="B182" s="15" t="inlineStr">
        <is>
          <t xml:space="preserve">Bible_Journey_Canon_Map_v0_2_Chronicles_Psalms_Job_1Kings.xlsx</t>
        </is>
      </c>
      <c r="C182" s="15" t="inlineStr">
        <is>
          <t xml:space="preserve">BLK-JOB-002-01</t>
        </is>
      </c>
      <c r="D182" s="15" t="inlineStr">
        <is>
          <t xml:space="preserve">CRS-JOB-002</t>
        </is>
      </c>
      <c r="E182" s="15">
        <v>1</v>
      </c>
      <c r="F182" s="15" t="inlineStr">
        <is>
          <t xml:space="preserve">Job</t>
        </is>
      </c>
      <c r="G182" s="15" t="inlineStr">
        <is>
          <t xml:space="preserve">3</t>
        </is>
      </c>
      <c r="H182" s="15" t="inlineStr">
        <is>
          <t xml:space="preserve">Primary Account</t>
        </is>
      </c>
      <c r="I182" s="15" t="inlineStr">
        <is>
          <t xml:space="preserve">Yes</t>
        </is>
      </c>
      <c r="J182" s="15" t="inlineStr">
        <is>
          <t xml:space="preserve">Yes</t>
        </is>
      </c>
      <c r="K182" s="15" t="inlineStr">
        <is>
          <t xml:space="preserve">Yes</t>
        </is>
      </c>
      <c r="L182" s="15" t="inlineStr">
        <is>
          <t xml:space="preserve">High</t>
        </is>
      </c>
      <c r="M182" s="13" t="inlineStr">
        <is>
          <t xml:space="preserve">Unresolved</t>
        </is>
      </c>
      <c r="N182" s="15" t="inlineStr">
        <is>
          <t xml:space="preserve">Auxiliary collection / chronology unresolved</t>
        </is>
      </c>
      <c r="O182" s="15"/>
      <c r="P182" s="15" t="inlineStr">
        <is>
          <t xml:space="preserve">Primary account</t>
        </is>
      </c>
      <c r="Q182" s="15" t="inlineStr">
        <is>
          <t xml:space="preserve">SRC-TEXT-JOB; SRC-JOB-AUTHORSHIP; SRC-JOB-OVERVIEW</t>
        </is>
      </c>
      <c r="R182" s="11" t="inlineStr">
        <is>
          <t xml:space="preserve">Needs Review</t>
        </is>
      </c>
      <c r="S182" s="15" t="inlineStr">
        <is>
          <t xml:space="preserve">Canonical-scope block for Job curses the day of his birth.</t>
        </is>
      </c>
    </row>
    <row r="183" ht="34" customHeight="1">
      <c r="A183" s="15" t="inlineStr">
        <is>
          <t xml:space="preserve">v0.2</t>
        </is>
      </c>
      <c r="B183" s="15" t="inlineStr">
        <is>
          <t xml:space="preserve">Bible_Journey_Canon_Map_v0_2_Chronicles_Psalms_Job_1Kings.xlsx</t>
        </is>
      </c>
      <c r="C183" s="15" t="inlineStr">
        <is>
          <t xml:space="preserve">BLK-JOB-003-01</t>
        </is>
      </c>
      <c r="D183" s="15" t="inlineStr">
        <is>
          <t xml:space="preserve">CRS-JOB-003</t>
        </is>
      </c>
      <c r="E183" s="15">
        <v>1</v>
      </c>
      <c r="F183" s="15" t="inlineStr">
        <is>
          <t xml:space="preserve">Job</t>
        </is>
      </c>
      <c r="G183" s="15" t="inlineStr">
        <is>
          <t xml:space="preserve">4-14</t>
        </is>
      </c>
      <c r="H183" s="15" t="inlineStr">
        <is>
          <t xml:space="preserve">Primary Account</t>
        </is>
      </c>
      <c r="I183" s="15" t="inlineStr">
        <is>
          <t xml:space="preserve">Yes</t>
        </is>
      </c>
      <c r="J183" s="15" t="inlineStr">
        <is>
          <t xml:space="preserve">Yes</t>
        </is>
      </c>
      <c r="K183" s="15" t="inlineStr">
        <is>
          <t xml:space="preserve">Yes</t>
        </is>
      </c>
      <c r="L183" s="15" t="inlineStr">
        <is>
          <t xml:space="preserve">High</t>
        </is>
      </c>
      <c r="M183" s="13" t="inlineStr">
        <is>
          <t xml:space="preserve">Unresolved</t>
        </is>
      </c>
      <c r="N183" s="15" t="inlineStr">
        <is>
          <t xml:space="preserve">Auxiliary collection / chronology unresolved</t>
        </is>
      </c>
      <c r="O183" s="15"/>
      <c r="P183" s="15" t="inlineStr">
        <is>
          <t xml:space="preserve">Primary account</t>
        </is>
      </c>
      <c r="Q183" s="15" t="inlineStr">
        <is>
          <t xml:space="preserve">SRC-TEXT-JOB; SRC-JOB-AUTHORSHIP; SRC-JOB-OVERVIEW</t>
        </is>
      </c>
      <c r="R183" s="11" t="inlineStr">
        <is>
          <t xml:space="preserve">Needs Review</t>
        </is>
      </c>
      <c r="S183" s="15" t="inlineStr">
        <is>
          <t xml:space="preserve">Canonical-scope block for First cycle of speeches: Job and his friends.</t>
        </is>
      </c>
    </row>
    <row r="184" ht="34" customHeight="1">
      <c r="A184" s="15" t="inlineStr">
        <is>
          <t xml:space="preserve">v0.2</t>
        </is>
      </c>
      <c r="B184" s="15" t="inlineStr">
        <is>
          <t xml:space="preserve">Bible_Journey_Canon_Map_v0_2_Chronicles_Psalms_Job_1Kings.xlsx</t>
        </is>
      </c>
      <c r="C184" s="15" t="inlineStr">
        <is>
          <t xml:space="preserve">BLK-JOB-004-01</t>
        </is>
      </c>
      <c r="D184" s="15" t="inlineStr">
        <is>
          <t xml:space="preserve">CRS-JOB-004</t>
        </is>
      </c>
      <c r="E184" s="15">
        <v>1</v>
      </c>
      <c r="F184" s="15" t="inlineStr">
        <is>
          <t xml:space="preserve">Job</t>
        </is>
      </c>
      <c r="G184" s="15" t="inlineStr">
        <is>
          <t xml:space="preserve">15-21</t>
        </is>
      </c>
      <c r="H184" s="15" t="inlineStr">
        <is>
          <t xml:space="preserve">Primary Account</t>
        </is>
      </c>
      <c r="I184" s="15" t="inlineStr">
        <is>
          <t xml:space="preserve">Yes</t>
        </is>
      </c>
      <c r="J184" s="15" t="inlineStr">
        <is>
          <t xml:space="preserve">Yes</t>
        </is>
      </c>
      <c r="K184" s="15" t="inlineStr">
        <is>
          <t xml:space="preserve">Yes</t>
        </is>
      </c>
      <c r="L184" s="15" t="inlineStr">
        <is>
          <t xml:space="preserve">High</t>
        </is>
      </c>
      <c r="M184" s="13" t="inlineStr">
        <is>
          <t xml:space="preserve">Unresolved</t>
        </is>
      </c>
      <c r="N184" s="15" t="inlineStr">
        <is>
          <t xml:space="preserve">Auxiliary collection / chronology unresolved</t>
        </is>
      </c>
      <c r="O184" s="15"/>
      <c r="P184" s="15" t="inlineStr">
        <is>
          <t xml:space="preserve">Primary account</t>
        </is>
      </c>
      <c r="Q184" s="15" t="inlineStr">
        <is>
          <t xml:space="preserve">SRC-TEXT-JOB; SRC-JOB-AUTHORSHIP; SRC-JOB-OVERVIEW</t>
        </is>
      </c>
      <c r="R184" s="11" t="inlineStr">
        <is>
          <t xml:space="preserve">Needs Review</t>
        </is>
      </c>
      <c r="S184" s="15" t="inlineStr">
        <is>
          <t xml:space="preserve">Canonical-scope block for Second cycle of speeches: Job and his friends.</t>
        </is>
      </c>
    </row>
    <row r="185" ht="34" customHeight="1">
      <c r="A185" s="15" t="inlineStr">
        <is>
          <t xml:space="preserve">v0.2</t>
        </is>
      </c>
      <c r="B185" s="15" t="inlineStr">
        <is>
          <t xml:space="preserve">Bible_Journey_Canon_Map_v0_2_Chronicles_Psalms_Job_1Kings.xlsx</t>
        </is>
      </c>
      <c r="C185" s="15" t="inlineStr">
        <is>
          <t xml:space="preserve">BLK-JOB-005-01</t>
        </is>
      </c>
      <c r="D185" s="15" t="inlineStr">
        <is>
          <t xml:space="preserve">CRS-JOB-005</t>
        </is>
      </c>
      <c r="E185" s="15">
        <v>1</v>
      </c>
      <c r="F185" s="15" t="inlineStr">
        <is>
          <t xml:space="preserve">Job</t>
        </is>
      </c>
      <c r="G185" s="15" t="inlineStr">
        <is>
          <t xml:space="preserve">22-27</t>
        </is>
      </c>
      <c r="H185" s="15" t="inlineStr">
        <is>
          <t xml:space="preserve">Primary Account</t>
        </is>
      </c>
      <c r="I185" s="15" t="inlineStr">
        <is>
          <t xml:space="preserve">Yes</t>
        </is>
      </c>
      <c r="J185" s="15" t="inlineStr">
        <is>
          <t xml:space="preserve">Yes</t>
        </is>
      </c>
      <c r="K185" s="15" t="inlineStr">
        <is>
          <t xml:space="preserve">Yes</t>
        </is>
      </c>
      <c r="L185" s="15" t="inlineStr">
        <is>
          <t xml:space="preserve">High</t>
        </is>
      </c>
      <c r="M185" s="13" t="inlineStr">
        <is>
          <t xml:space="preserve">Unresolved</t>
        </is>
      </c>
      <c r="N185" s="15" t="inlineStr">
        <is>
          <t xml:space="preserve">Auxiliary collection / chronology unresolved</t>
        </is>
      </c>
      <c r="O185" s="15"/>
      <c r="P185" s="15" t="inlineStr">
        <is>
          <t xml:space="preserve">Primary account</t>
        </is>
      </c>
      <c r="Q185" s="15" t="inlineStr">
        <is>
          <t xml:space="preserve">SRC-TEXT-JOB; SRC-JOB-AUTHORSHIP; SRC-JOB-OVERVIEW</t>
        </is>
      </c>
      <c r="R185" s="11" t="inlineStr">
        <is>
          <t xml:space="preserve">Needs Review</t>
        </is>
      </c>
      <c r="S185" s="15" t="inlineStr">
        <is>
          <t xml:space="preserve">Canonical-scope block for Third cycle of speeches and Job's response.</t>
        </is>
      </c>
    </row>
    <row r="186" ht="34" customHeight="1">
      <c r="A186" s="15" t="inlineStr">
        <is>
          <t xml:space="preserve">v0.2</t>
        </is>
      </c>
      <c r="B186" s="15" t="inlineStr">
        <is>
          <t xml:space="preserve">Bible_Journey_Canon_Map_v0_2_Chronicles_Psalms_Job_1Kings.xlsx</t>
        </is>
      </c>
      <c r="C186" s="15" t="inlineStr">
        <is>
          <t xml:space="preserve">BLK-JOB-006-01</t>
        </is>
      </c>
      <c r="D186" s="15" t="inlineStr">
        <is>
          <t xml:space="preserve">CRS-JOB-006</t>
        </is>
      </c>
      <c r="E186" s="15">
        <v>1</v>
      </c>
      <c r="F186" s="15" t="inlineStr">
        <is>
          <t xml:space="preserve">Job</t>
        </is>
      </c>
      <c r="G186" s="15" t="inlineStr">
        <is>
          <t xml:space="preserve">28</t>
        </is>
      </c>
      <c r="H186" s="15" t="inlineStr">
        <is>
          <t xml:space="preserve">Primary Account</t>
        </is>
      </c>
      <c r="I186" s="15" t="inlineStr">
        <is>
          <t xml:space="preserve">Yes</t>
        </is>
      </c>
      <c r="J186" s="15" t="inlineStr">
        <is>
          <t xml:space="preserve">Yes</t>
        </is>
      </c>
      <c r="K186" s="15" t="inlineStr">
        <is>
          <t xml:space="preserve">Yes</t>
        </is>
      </c>
      <c r="L186" s="15" t="inlineStr">
        <is>
          <t xml:space="preserve">High</t>
        </is>
      </c>
      <c r="M186" s="13" t="inlineStr">
        <is>
          <t xml:space="preserve">Unresolved</t>
        </is>
      </c>
      <c r="N186" s="15" t="inlineStr">
        <is>
          <t xml:space="preserve">Auxiliary collection / chronology unresolved</t>
        </is>
      </c>
      <c r="O186" s="15"/>
      <c r="P186" s="15" t="inlineStr">
        <is>
          <t xml:space="preserve">Primary account</t>
        </is>
      </c>
      <c r="Q186" s="15" t="inlineStr">
        <is>
          <t xml:space="preserve">SRC-TEXT-JOB; SRC-JOB-AUTHORSHIP; SRC-JOB-OVERVIEW</t>
        </is>
      </c>
      <c r="R186" s="11" t="inlineStr">
        <is>
          <t xml:space="preserve">Needs Review</t>
        </is>
      </c>
      <c r="S186" s="15" t="inlineStr">
        <is>
          <t xml:space="preserve">Canonical-scope block for The hymn to wisdom.</t>
        </is>
      </c>
    </row>
    <row r="187" ht="34" customHeight="1">
      <c r="A187" s="15" t="inlineStr">
        <is>
          <t xml:space="preserve">v0.2</t>
        </is>
      </c>
      <c r="B187" s="15" t="inlineStr">
        <is>
          <t xml:space="preserve">Bible_Journey_Canon_Map_v0_2_Chronicles_Psalms_Job_1Kings.xlsx</t>
        </is>
      </c>
      <c r="C187" s="15" t="inlineStr">
        <is>
          <t xml:space="preserve">BLK-JOB-007-01</t>
        </is>
      </c>
      <c r="D187" s="15" t="inlineStr">
        <is>
          <t xml:space="preserve">CRS-JOB-007</t>
        </is>
      </c>
      <c r="E187" s="15">
        <v>1</v>
      </c>
      <c r="F187" s="15" t="inlineStr">
        <is>
          <t xml:space="preserve">Job</t>
        </is>
      </c>
      <c r="G187" s="15" t="inlineStr">
        <is>
          <t xml:space="preserve">29-31</t>
        </is>
      </c>
      <c r="H187" s="15" t="inlineStr">
        <is>
          <t xml:space="preserve">Primary Account</t>
        </is>
      </c>
      <c r="I187" s="15" t="inlineStr">
        <is>
          <t xml:space="preserve">Yes</t>
        </is>
      </c>
      <c r="J187" s="15" t="inlineStr">
        <is>
          <t xml:space="preserve">Yes</t>
        </is>
      </c>
      <c r="K187" s="15" t="inlineStr">
        <is>
          <t xml:space="preserve">Yes</t>
        </is>
      </c>
      <c r="L187" s="15" t="inlineStr">
        <is>
          <t xml:space="preserve">High</t>
        </is>
      </c>
      <c r="M187" s="13" t="inlineStr">
        <is>
          <t xml:space="preserve">Unresolved</t>
        </is>
      </c>
      <c r="N187" s="15" t="inlineStr">
        <is>
          <t xml:space="preserve">Auxiliary collection / chronology unresolved</t>
        </is>
      </c>
      <c r="O187" s="15"/>
      <c r="P187" s="15" t="inlineStr">
        <is>
          <t xml:space="preserve">Primary account</t>
        </is>
      </c>
      <c r="Q187" s="15" t="inlineStr">
        <is>
          <t xml:space="preserve">SRC-TEXT-JOB; SRC-JOB-AUTHORSHIP; SRC-JOB-OVERVIEW</t>
        </is>
      </c>
      <c r="R187" s="11" t="inlineStr">
        <is>
          <t xml:space="preserve">Needs Review</t>
        </is>
      </c>
      <c r="S187" s="15" t="inlineStr">
        <is>
          <t xml:space="preserve">Canonical-scope block for Job's remembrance, protest, and oath of innocence.</t>
        </is>
      </c>
    </row>
    <row r="188" ht="34" customHeight="1">
      <c r="A188" s="15" t="inlineStr">
        <is>
          <t xml:space="preserve">v0.2</t>
        </is>
      </c>
      <c r="B188" s="15" t="inlineStr">
        <is>
          <t xml:space="preserve">Bible_Journey_Canon_Map_v0_2_Chronicles_Psalms_Job_1Kings.xlsx</t>
        </is>
      </c>
      <c r="C188" s="15" t="inlineStr">
        <is>
          <t xml:space="preserve">BLK-JOB-008-01</t>
        </is>
      </c>
      <c r="D188" s="15" t="inlineStr">
        <is>
          <t xml:space="preserve">CRS-JOB-008</t>
        </is>
      </c>
      <c r="E188" s="15">
        <v>1</v>
      </c>
      <c r="F188" s="15" t="inlineStr">
        <is>
          <t xml:space="preserve">Job</t>
        </is>
      </c>
      <c r="G188" s="15" t="inlineStr">
        <is>
          <t xml:space="preserve">32-37</t>
        </is>
      </c>
      <c r="H188" s="15" t="inlineStr">
        <is>
          <t xml:space="preserve">Primary Account</t>
        </is>
      </c>
      <c r="I188" s="15" t="inlineStr">
        <is>
          <t xml:space="preserve">Yes</t>
        </is>
      </c>
      <c r="J188" s="15" t="inlineStr">
        <is>
          <t xml:space="preserve">Yes</t>
        </is>
      </c>
      <c r="K188" s="15" t="inlineStr">
        <is>
          <t xml:space="preserve">Yes</t>
        </is>
      </c>
      <c r="L188" s="15" t="inlineStr">
        <is>
          <t xml:space="preserve">High</t>
        </is>
      </c>
      <c r="M188" s="13" t="inlineStr">
        <is>
          <t xml:space="preserve">Unresolved</t>
        </is>
      </c>
      <c r="N188" s="15" t="inlineStr">
        <is>
          <t xml:space="preserve">Auxiliary collection / chronology unresolved</t>
        </is>
      </c>
      <c r="O188" s="15"/>
      <c r="P188" s="15" t="inlineStr">
        <is>
          <t xml:space="preserve">Primary account</t>
        </is>
      </c>
      <c r="Q188" s="15" t="inlineStr">
        <is>
          <t xml:space="preserve">SRC-TEXT-JOB; SRC-JOB-AUTHORSHIP; SRC-JOB-OVERVIEW</t>
        </is>
      </c>
      <c r="R188" s="11" t="inlineStr">
        <is>
          <t xml:space="preserve">Needs Review</t>
        </is>
      </c>
      <c r="S188" s="15" t="inlineStr">
        <is>
          <t xml:space="preserve">Canonical-scope block for Elihu's speeches.</t>
        </is>
      </c>
    </row>
    <row r="189" ht="34" customHeight="1">
      <c r="A189" s="15" t="inlineStr">
        <is>
          <t xml:space="preserve">v0.2</t>
        </is>
      </c>
      <c r="B189" s="15" t="inlineStr">
        <is>
          <t xml:space="preserve">Bible_Journey_Canon_Map_v0_2_Chronicles_Psalms_Job_1Kings.xlsx</t>
        </is>
      </c>
      <c r="C189" s="15" t="inlineStr">
        <is>
          <t xml:space="preserve">BLK-JOB-009-01</t>
        </is>
      </c>
      <c r="D189" s="15" t="inlineStr">
        <is>
          <t xml:space="preserve">CRS-JOB-009</t>
        </is>
      </c>
      <c r="E189" s="15">
        <v>1</v>
      </c>
      <c r="F189" s="15" t="inlineStr">
        <is>
          <t xml:space="preserve">Job</t>
        </is>
      </c>
      <c r="G189" s="15" t="inlineStr">
        <is>
          <t xml:space="preserve">38-41</t>
        </is>
      </c>
      <c r="H189" s="15" t="inlineStr">
        <is>
          <t xml:space="preserve">Primary Account</t>
        </is>
      </c>
      <c r="I189" s="15" t="inlineStr">
        <is>
          <t xml:space="preserve">Yes</t>
        </is>
      </c>
      <c r="J189" s="15" t="inlineStr">
        <is>
          <t xml:space="preserve">Yes</t>
        </is>
      </c>
      <c r="K189" s="15" t="inlineStr">
        <is>
          <t xml:space="preserve">Yes</t>
        </is>
      </c>
      <c r="L189" s="15" t="inlineStr">
        <is>
          <t xml:space="preserve">High</t>
        </is>
      </c>
      <c r="M189" s="13" t="inlineStr">
        <is>
          <t xml:space="preserve">Unresolved</t>
        </is>
      </c>
      <c r="N189" s="15" t="inlineStr">
        <is>
          <t xml:space="preserve">Auxiliary collection / chronology unresolved</t>
        </is>
      </c>
      <c r="O189" s="15"/>
      <c r="P189" s="15" t="inlineStr">
        <is>
          <t xml:space="preserve">Primary account</t>
        </is>
      </c>
      <c r="Q189" s="15" t="inlineStr">
        <is>
          <t xml:space="preserve">SRC-TEXT-JOB; SRC-JOB-AUTHORSHIP; SRC-JOB-OVERVIEW</t>
        </is>
      </c>
      <c r="R189" s="11" t="inlineStr">
        <is>
          <t xml:space="preserve">Needs Review</t>
        </is>
      </c>
      <c r="S189" s="15" t="inlineStr">
        <is>
          <t xml:space="preserve">Canonical-scope block for The LORD answers Job from the whirlwind.</t>
        </is>
      </c>
    </row>
    <row r="190" ht="34" customHeight="1">
      <c r="A190" s="15" t="inlineStr">
        <is>
          <t xml:space="preserve">v0.2</t>
        </is>
      </c>
      <c r="B190" s="15" t="inlineStr">
        <is>
          <t xml:space="preserve">Bible_Journey_Canon_Map_v0_2_Chronicles_Psalms_Job_1Kings.xlsx</t>
        </is>
      </c>
      <c r="C190" s="15" t="inlineStr">
        <is>
          <t xml:space="preserve">BLK-JOB-010-01</t>
        </is>
      </c>
      <c r="D190" s="15" t="inlineStr">
        <is>
          <t xml:space="preserve">CRS-JOB-010</t>
        </is>
      </c>
      <c r="E190" s="15">
        <v>1</v>
      </c>
      <c r="F190" s="15" t="inlineStr">
        <is>
          <t xml:space="preserve">Job</t>
        </is>
      </c>
      <c r="G190" s="15" t="inlineStr">
        <is>
          <t xml:space="preserve">42</t>
        </is>
      </c>
      <c r="H190" s="15" t="inlineStr">
        <is>
          <t xml:space="preserve">Primary Account</t>
        </is>
      </c>
      <c r="I190" s="15" t="inlineStr">
        <is>
          <t xml:space="preserve">Yes</t>
        </is>
      </c>
      <c r="J190" s="15" t="inlineStr">
        <is>
          <t xml:space="preserve">Yes</t>
        </is>
      </c>
      <c r="K190" s="15" t="inlineStr">
        <is>
          <t xml:space="preserve">Yes</t>
        </is>
      </c>
      <c r="L190" s="15" t="inlineStr">
        <is>
          <t xml:space="preserve">High</t>
        </is>
      </c>
      <c r="M190" s="13" t="inlineStr">
        <is>
          <t xml:space="preserve">Unresolved</t>
        </is>
      </c>
      <c r="N190" s="15" t="inlineStr">
        <is>
          <t xml:space="preserve">Auxiliary collection / chronology unresolved</t>
        </is>
      </c>
      <c r="O190" s="15"/>
      <c r="P190" s="15" t="inlineStr">
        <is>
          <t xml:space="preserve">Primary account</t>
        </is>
      </c>
      <c r="Q190" s="15" t="inlineStr">
        <is>
          <t xml:space="preserve">SRC-TEXT-JOB; SRC-JOB-AUTHORSHIP; SRC-JOB-OVERVIEW</t>
        </is>
      </c>
      <c r="R190" s="11" t="inlineStr">
        <is>
          <t xml:space="preserve">Needs Review</t>
        </is>
      </c>
      <c r="S190" s="15" t="inlineStr">
        <is>
          <t xml:space="preserve">Canonical-scope block for Job's restoration and final years.</t>
        </is>
      </c>
    </row>
    <row r="191" ht="34" customHeight="1">
      <c r="A191" s="15" t="inlineStr">
        <is>
          <t xml:space="preserve">v0.2</t>
        </is>
      </c>
      <c r="B191" s="15" t="inlineStr">
        <is>
          <t xml:space="preserve">Bible_Journey_Canon_Map_v0_2_Chronicles_Psalms_Job_1Kings.xlsx</t>
        </is>
      </c>
      <c r="C191" s="15" t="inlineStr">
        <is>
          <t xml:space="preserve">BLK-PSA-001-01</t>
        </is>
      </c>
      <c r="D191" s="15" t="inlineStr">
        <is>
          <t xml:space="preserve">CRS-PSA-001</t>
        </is>
      </c>
      <c r="E191" s="15">
        <v>1</v>
      </c>
      <c r="F191" s="15" t="inlineStr">
        <is>
          <t xml:space="preserve">Psalms</t>
        </is>
      </c>
      <c r="G191" s="15" t="inlineStr">
        <is>
          <t xml:space="preserve">1-2</t>
        </is>
      </c>
      <c r="H191" s="15" t="inlineStr">
        <is>
          <t xml:space="preserve">Poetic Connection</t>
        </is>
      </c>
      <c r="I191" s="15" t="inlineStr">
        <is>
          <t xml:space="preserve">Yes</t>
        </is>
      </c>
      <c r="J191" s="15" t="inlineStr">
        <is>
          <t xml:space="preserve">Yes</t>
        </is>
      </c>
      <c r="K191" s="15" t="inlineStr">
        <is>
          <t xml:space="preserve">No</t>
        </is>
      </c>
      <c r="L191" s="15" t="inlineStr">
        <is>
          <t xml:space="preserve">High</t>
        </is>
      </c>
      <c r="M191" s="13" t="inlineStr">
        <is>
          <t xml:space="preserve">Unresolved</t>
        </is>
      </c>
      <c r="N191" s="15" t="inlineStr">
        <is>
          <t xml:space="preserve">Poetry collection / no fixed event placement</t>
        </is>
      </c>
      <c r="O191" s="15"/>
      <c r="P191" s="15" t="inlineStr">
        <is>
          <t xml:space="preserve">Poetic Connection</t>
        </is>
      </c>
      <c r="Q191" s="15" t="inlineStr">
        <is>
          <t xml:space="preserve">SRC-TEXT-PSALMS; SRC-PSALMS-OVERVIEW; SRC-PSALM-SUPERSCRIPTIONS</t>
        </is>
      </c>
      <c r="R191" s="11" t="inlineStr">
        <is>
          <t xml:space="preserve">Needs Review</t>
        </is>
      </c>
      <c r="S191" s="15" t="inlineStr">
        <is>
          <t xml:space="preserve">Canonical-scope block for Psalms 1-2: opening wisdom and royal framing.</t>
        </is>
      </c>
    </row>
    <row r="192" ht="34" customHeight="1">
      <c r="A192" s="15" t="inlineStr">
        <is>
          <t xml:space="preserve">v0.2</t>
        </is>
      </c>
      <c r="B192" s="15" t="inlineStr">
        <is>
          <t xml:space="preserve">Bible_Journey_Canon_Map_v0_2_Chronicles_Psalms_Job_1Kings.xlsx</t>
        </is>
      </c>
      <c r="C192" s="15" t="inlineStr">
        <is>
          <t xml:space="preserve">BLK-PSA-002-01</t>
        </is>
      </c>
      <c r="D192" s="15" t="inlineStr">
        <is>
          <t xml:space="preserve">CRS-PSA-002</t>
        </is>
      </c>
      <c r="E192" s="15">
        <v>1</v>
      </c>
      <c r="F192" s="15" t="inlineStr">
        <is>
          <t xml:space="preserve">Psalms</t>
        </is>
      </c>
      <c r="G192" s="15" t="inlineStr">
        <is>
          <t xml:space="preserve">3</t>
        </is>
      </c>
      <c r="H192" s="15" t="inlineStr">
        <is>
          <t xml:space="preserve">Poetic Connection</t>
        </is>
      </c>
      <c r="I192" s="15" t="inlineStr">
        <is>
          <t xml:space="preserve">Yes</t>
        </is>
      </c>
      <c r="J192" s="15" t="inlineStr">
        <is>
          <t xml:space="preserve">Yes</t>
        </is>
      </c>
      <c r="K192" s="15" t="inlineStr">
        <is>
          <t xml:space="preserve">No</t>
        </is>
      </c>
      <c r="L192" s="15" t="inlineStr">
        <is>
          <t xml:space="preserve">High</t>
        </is>
      </c>
      <c r="M192" s="15" t="inlineStr">
        <is>
          <t xml:space="preserve">Probable</t>
        </is>
      </c>
      <c r="N192" s="15" t="inlineStr">
        <is>
          <t xml:space="preserve">Attach to v0.1 event</t>
        </is>
      </c>
      <c r="O192" s="15" t="inlineStr">
        <is>
          <t xml:space="preserve">CRS-2SA-013</t>
        </is>
      </c>
      <c r="P192" s="15" t="inlineStr">
        <is>
          <t xml:space="preserve">Poetic Connection</t>
        </is>
      </c>
      <c r="Q192" s="15" t="inlineStr">
        <is>
          <t xml:space="preserve">SRC-TEXT-PSALMS; SRC-PSALMS-OVERVIEW; SRC-PSALM-SUPERSCRIPTIONS</t>
        </is>
      </c>
      <c r="R192" s="11" t="inlineStr">
        <is>
          <t xml:space="preserve">Needs Review</t>
        </is>
      </c>
      <c r="S192" s="15" t="inlineStr">
        <is>
          <t xml:space="preserve">Canonical-scope block for Psalm 3: David flees Absalom.</t>
        </is>
      </c>
    </row>
    <row r="193" ht="34" customHeight="1">
      <c r="A193" s="15" t="inlineStr">
        <is>
          <t xml:space="preserve">v0.2</t>
        </is>
      </c>
      <c r="B193" s="15" t="inlineStr">
        <is>
          <t xml:space="preserve">Bible_Journey_Canon_Map_v0_2_Chronicles_Psalms_Job_1Kings.xlsx</t>
        </is>
      </c>
      <c r="C193" s="15" t="inlineStr">
        <is>
          <t xml:space="preserve">BLK-PSA-003-01</t>
        </is>
      </c>
      <c r="D193" s="15" t="inlineStr">
        <is>
          <t xml:space="preserve">CRS-PSA-003</t>
        </is>
      </c>
      <c r="E193" s="15">
        <v>1</v>
      </c>
      <c r="F193" s="15" t="inlineStr">
        <is>
          <t xml:space="preserve">Psalms</t>
        </is>
      </c>
      <c r="G193" s="15" t="inlineStr">
        <is>
          <t xml:space="preserve">4-6</t>
        </is>
      </c>
      <c r="H193" s="15" t="inlineStr">
        <is>
          <t xml:space="preserve">Poetic Connection</t>
        </is>
      </c>
      <c r="I193" s="15" t="inlineStr">
        <is>
          <t xml:space="preserve">Yes</t>
        </is>
      </c>
      <c r="J193" s="15" t="inlineStr">
        <is>
          <t xml:space="preserve">Yes</t>
        </is>
      </c>
      <c r="K193" s="15" t="inlineStr">
        <is>
          <t xml:space="preserve">No</t>
        </is>
      </c>
      <c r="L193" s="15" t="inlineStr">
        <is>
          <t xml:space="preserve">High</t>
        </is>
      </c>
      <c r="M193" s="13" t="inlineStr">
        <is>
          <t xml:space="preserve">Unresolved</t>
        </is>
      </c>
      <c r="N193" s="15" t="inlineStr">
        <is>
          <t xml:space="preserve">Poetry collection / broad Davidic window</t>
        </is>
      </c>
      <c r="O193" s="15"/>
      <c r="P193" s="15" t="inlineStr">
        <is>
          <t xml:space="preserve">Poetic Connection</t>
        </is>
      </c>
      <c r="Q193" s="15" t="inlineStr">
        <is>
          <t xml:space="preserve">SRC-TEXT-PSALMS; SRC-PSALMS-OVERVIEW; SRC-PSALM-SUPERSCRIPTIONS</t>
        </is>
      </c>
      <c r="R193" s="11" t="inlineStr">
        <is>
          <t xml:space="preserve">Needs Review</t>
        </is>
      </c>
      <c r="S193" s="15" t="inlineStr">
        <is>
          <t xml:space="preserve">Canonical-scope block for Psalms 4-6: Davidic prayers without an identified event.</t>
        </is>
      </c>
    </row>
    <row r="194" ht="34" customHeight="1">
      <c r="A194" s="15" t="inlineStr">
        <is>
          <t xml:space="preserve">v0.2</t>
        </is>
      </c>
      <c r="B194" s="15" t="inlineStr">
        <is>
          <t xml:space="preserve">Bible_Journey_Canon_Map_v0_2_Chronicles_Psalms_Job_1Kings.xlsx</t>
        </is>
      </c>
      <c r="C194" s="15" t="inlineStr">
        <is>
          <t xml:space="preserve">BLK-PSA-004-01</t>
        </is>
      </c>
      <c r="D194" s="15" t="inlineStr">
        <is>
          <t xml:space="preserve">CRS-PSA-004</t>
        </is>
      </c>
      <c r="E194" s="15">
        <v>1</v>
      </c>
      <c r="F194" s="15" t="inlineStr">
        <is>
          <t xml:space="preserve">Psalms</t>
        </is>
      </c>
      <c r="G194" s="15" t="inlineStr">
        <is>
          <t xml:space="preserve">7</t>
        </is>
      </c>
      <c r="H194" s="15" t="inlineStr">
        <is>
          <t xml:space="preserve">Poetic Connection</t>
        </is>
      </c>
      <c r="I194" s="15" t="inlineStr">
        <is>
          <t xml:space="preserve">Yes</t>
        </is>
      </c>
      <c r="J194" s="15" t="inlineStr">
        <is>
          <t xml:space="preserve">Yes</t>
        </is>
      </c>
      <c r="K194" s="15" t="inlineStr">
        <is>
          <t xml:space="preserve">No</t>
        </is>
      </c>
      <c r="L194" s="15" t="inlineStr">
        <is>
          <t xml:space="preserve">High</t>
        </is>
      </c>
      <c r="M194" s="15" t="inlineStr">
        <is>
          <t xml:space="preserve">Debated</t>
        </is>
      </c>
      <c r="N194" s="15" t="inlineStr">
        <is>
          <t xml:space="preserve">Poetry connection / debated historical link</t>
        </is>
      </c>
      <c r="O194" s="15"/>
      <c r="P194" s="15" t="inlineStr">
        <is>
          <t xml:space="preserve">Poetic Connection</t>
        </is>
      </c>
      <c r="Q194" s="15" t="inlineStr">
        <is>
          <t xml:space="preserve">SRC-TEXT-PSALMS; SRC-PSALMS-OVERVIEW; SRC-PSALM-SUPERSCRIPTIONS</t>
        </is>
      </c>
      <c r="R194" s="11" t="inlineStr">
        <is>
          <t xml:space="preserve">Needs Review</t>
        </is>
      </c>
      <c r="S194" s="15" t="inlineStr">
        <is>
          <t xml:space="preserve">Canonical-scope block for Psalm 7: Cush the Benjaminite.</t>
        </is>
      </c>
    </row>
    <row r="195" ht="34" customHeight="1">
      <c r="A195" s="15" t="inlineStr">
        <is>
          <t xml:space="preserve">v0.2</t>
        </is>
      </c>
      <c r="B195" s="15" t="inlineStr">
        <is>
          <t xml:space="preserve">Bible_Journey_Canon_Map_v0_2_Chronicles_Psalms_Job_1Kings.xlsx</t>
        </is>
      </c>
      <c r="C195" s="15" t="inlineStr">
        <is>
          <t xml:space="preserve">BLK-PSA-005-01</t>
        </is>
      </c>
      <c r="D195" s="15" t="inlineStr">
        <is>
          <t xml:space="preserve">CRS-PSA-005</t>
        </is>
      </c>
      <c r="E195" s="15">
        <v>1</v>
      </c>
      <c r="F195" s="15" t="inlineStr">
        <is>
          <t xml:space="preserve">Psalms</t>
        </is>
      </c>
      <c r="G195" s="15" t="inlineStr">
        <is>
          <t xml:space="preserve">8-17</t>
        </is>
      </c>
      <c r="H195" s="15" t="inlineStr">
        <is>
          <t xml:space="preserve">Poetic Connection</t>
        </is>
      </c>
      <c r="I195" s="15" t="inlineStr">
        <is>
          <t xml:space="preserve">Yes</t>
        </is>
      </c>
      <c r="J195" s="15" t="inlineStr">
        <is>
          <t xml:space="preserve">Yes</t>
        </is>
      </c>
      <c r="K195" s="15" t="inlineStr">
        <is>
          <t xml:space="preserve">No</t>
        </is>
      </c>
      <c r="L195" s="15" t="inlineStr">
        <is>
          <t xml:space="preserve">High</t>
        </is>
      </c>
      <c r="M195" s="13" t="inlineStr">
        <is>
          <t xml:space="preserve">Unresolved</t>
        </is>
      </c>
      <c r="N195" s="15" t="inlineStr">
        <is>
          <t xml:space="preserve">Poetry collection / broad Davidic window</t>
        </is>
      </c>
      <c r="O195" s="15"/>
      <c r="P195" s="15" t="inlineStr">
        <is>
          <t xml:space="preserve">Poetic Connection</t>
        </is>
      </c>
      <c r="Q195" s="15" t="inlineStr">
        <is>
          <t xml:space="preserve">SRC-TEXT-PSALMS; SRC-PSALMS-OVERVIEW; SRC-PSALM-SUPERSCRIPTIONS</t>
        </is>
      </c>
      <c r="R195" s="11" t="inlineStr">
        <is>
          <t xml:space="preserve">Needs Review</t>
        </is>
      </c>
      <c r="S195" s="15" t="inlineStr">
        <is>
          <t xml:space="preserve">Canonical-scope block for Psalms 8-17: Davidic prayers and royal language.</t>
        </is>
      </c>
    </row>
    <row r="196" ht="34" customHeight="1">
      <c r="A196" s="15" t="inlineStr">
        <is>
          <t xml:space="preserve">v0.2</t>
        </is>
      </c>
      <c r="B196" s="15" t="inlineStr">
        <is>
          <t xml:space="preserve">Bible_Journey_Canon_Map_v0_2_Chronicles_Psalms_Job_1Kings.xlsx</t>
        </is>
      </c>
      <c r="C196" s="15" t="inlineStr">
        <is>
          <t xml:space="preserve">BLK-PSA-006-01</t>
        </is>
      </c>
      <c r="D196" s="15" t="inlineStr">
        <is>
          <t xml:space="preserve">CRS-PSA-006</t>
        </is>
      </c>
      <c r="E196" s="15">
        <v>1</v>
      </c>
      <c r="F196" s="15" t="inlineStr">
        <is>
          <t xml:space="preserve">Psalms</t>
        </is>
      </c>
      <c r="G196" s="15" t="inlineStr">
        <is>
          <t xml:space="preserve">18</t>
        </is>
      </c>
      <c r="H196" s="15" t="inlineStr">
        <is>
          <t xml:space="preserve">Poetic Connection</t>
        </is>
      </c>
      <c r="I196" s="15" t="inlineStr">
        <is>
          <t xml:space="preserve">Yes</t>
        </is>
      </c>
      <c r="J196" s="15" t="inlineStr">
        <is>
          <t xml:space="preserve">Yes</t>
        </is>
      </c>
      <c r="K196" s="15" t="inlineStr">
        <is>
          <t xml:space="preserve">No</t>
        </is>
      </c>
      <c r="L196" s="15" t="inlineStr">
        <is>
          <t xml:space="preserve">High</t>
        </is>
      </c>
      <c r="M196" s="15" t="inlineStr">
        <is>
          <t xml:space="preserve">Debated</t>
        </is>
      </c>
      <c r="N196" s="15" t="inlineStr">
        <is>
          <t xml:space="preserve">Attach to v0.1 event</t>
        </is>
      </c>
      <c r="O196" s="15" t="inlineStr">
        <is>
          <t xml:space="preserve">CRS-2SA-019</t>
        </is>
      </c>
      <c r="P196" s="15" t="inlineStr">
        <is>
          <t xml:space="preserve">Poetic Connection</t>
        </is>
      </c>
      <c r="Q196" s="15" t="inlineStr">
        <is>
          <t xml:space="preserve">SRC-TEXT-PSALMS; SRC-PSALMS-OVERVIEW; SRC-PSALM-SUPERSCRIPTIONS</t>
        </is>
      </c>
      <c r="R196" s="11" t="inlineStr">
        <is>
          <t xml:space="preserve">Needs Review</t>
        </is>
      </c>
      <c r="S196" s="15" t="inlineStr">
        <is>
          <t xml:space="preserve">Canonical-scope block for Psalm 18: David's song of deliverance.</t>
        </is>
      </c>
    </row>
    <row r="197" ht="34" customHeight="1">
      <c r="A197" s="15" t="inlineStr">
        <is>
          <t xml:space="preserve">v0.2</t>
        </is>
      </c>
      <c r="B197" s="15" t="inlineStr">
        <is>
          <t xml:space="preserve">Bible_Journey_Canon_Map_v0_2_Chronicles_Psalms_Job_1Kings.xlsx</t>
        </is>
      </c>
      <c r="C197" s="15" t="inlineStr">
        <is>
          <t xml:space="preserve">BLK-PSA-007-01</t>
        </is>
      </c>
      <c r="D197" s="15" t="inlineStr">
        <is>
          <t xml:space="preserve">CRS-PSA-007</t>
        </is>
      </c>
      <c r="E197" s="15">
        <v>1</v>
      </c>
      <c r="F197" s="15" t="inlineStr">
        <is>
          <t xml:space="preserve">Psalms</t>
        </is>
      </c>
      <c r="G197" s="15" t="inlineStr">
        <is>
          <t xml:space="preserve">19-29</t>
        </is>
      </c>
      <c r="H197" s="15" t="inlineStr">
        <is>
          <t xml:space="preserve">Poetic Connection</t>
        </is>
      </c>
      <c r="I197" s="15" t="inlineStr">
        <is>
          <t xml:space="preserve">Yes</t>
        </is>
      </c>
      <c r="J197" s="15" t="inlineStr">
        <is>
          <t xml:space="preserve">Yes</t>
        </is>
      </c>
      <c r="K197" s="15" t="inlineStr">
        <is>
          <t xml:space="preserve">No</t>
        </is>
      </c>
      <c r="L197" s="15" t="inlineStr">
        <is>
          <t xml:space="preserve">High</t>
        </is>
      </c>
      <c r="M197" s="13" t="inlineStr">
        <is>
          <t xml:space="preserve">Unresolved</t>
        </is>
      </c>
      <c r="N197" s="15" t="inlineStr">
        <is>
          <t xml:space="preserve">Poetry collection / broad Davidic window</t>
        </is>
      </c>
      <c r="O197" s="15"/>
      <c r="P197" s="15" t="inlineStr">
        <is>
          <t xml:space="preserve">Poetic Connection</t>
        </is>
      </c>
      <c r="Q197" s="15" t="inlineStr">
        <is>
          <t xml:space="preserve">SRC-TEXT-PSALMS; SRC-PSALMS-OVERVIEW; SRC-PSALM-SUPERSCRIPTIONS</t>
        </is>
      </c>
      <c r="R197" s="11" t="inlineStr">
        <is>
          <t xml:space="preserve">Needs Review</t>
        </is>
      </c>
      <c r="S197" s="15" t="inlineStr">
        <is>
          <t xml:space="preserve">Canonical-scope block for Psalms 19-29: Davidic prayers and royal psalms.</t>
        </is>
      </c>
    </row>
    <row r="198" ht="34" customHeight="1">
      <c r="A198" s="15" t="inlineStr">
        <is>
          <t xml:space="preserve">v0.2</t>
        </is>
      </c>
      <c r="B198" s="15" t="inlineStr">
        <is>
          <t xml:space="preserve">Bible_Journey_Canon_Map_v0_2_Chronicles_Psalms_Job_1Kings.xlsx</t>
        </is>
      </c>
      <c r="C198" s="15" t="inlineStr">
        <is>
          <t xml:space="preserve">BLK-PSA-008-01</t>
        </is>
      </c>
      <c r="D198" s="15" t="inlineStr">
        <is>
          <t xml:space="preserve">CRS-PSA-008</t>
        </is>
      </c>
      <c r="E198" s="15">
        <v>1</v>
      </c>
      <c r="F198" s="15" t="inlineStr">
        <is>
          <t xml:space="preserve">Psalms</t>
        </is>
      </c>
      <c r="G198" s="15" t="inlineStr">
        <is>
          <t xml:space="preserve">30</t>
        </is>
      </c>
      <c r="H198" s="15" t="inlineStr">
        <is>
          <t xml:space="preserve">Poetic Connection</t>
        </is>
      </c>
      <c r="I198" s="15" t="inlineStr">
        <is>
          <t xml:space="preserve">Yes</t>
        </is>
      </c>
      <c r="J198" s="15" t="inlineStr">
        <is>
          <t xml:space="preserve">Yes</t>
        </is>
      </c>
      <c r="K198" s="15" t="inlineStr">
        <is>
          <t xml:space="preserve">No</t>
        </is>
      </c>
      <c r="L198" s="15" t="inlineStr">
        <is>
          <t xml:space="preserve">High</t>
        </is>
      </c>
      <c r="M198" s="15" t="inlineStr">
        <is>
          <t xml:space="preserve">Debated</t>
        </is>
      </c>
      <c r="N198" s="15" t="inlineStr">
        <is>
          <t xml:space="preserve">Poetry connection / debated historical link</t>
        </is>
      </c>
      <c r="O198" s="15"/>
      <c r="P198" s="15" t="inlineStr">
        <is>
          <t xml:space="preserve">Poetic Connection</t>
        </is>
      </c>
      <c r="Q198" s="15" t="inlineStr">
        <is>
          <t xml:space="preserve">SRC-TEXT-PSALMS; SRC-PSALMS-OVERVIEW; SRC-PSALM-SUPERSCRIPTIONS</t>
        </is>
      </c>
      <c r="R198" s="11" t="inlineStr">
        <is>
          <t xml:space="preserve">Needs Review</t>
        </is>
      </c>
      <c r="S198" s="15" t="inlineStr">
        <is>
          <t xml:space="preserve">Canonical-scope block for Psalm 30: dedication of a house.</t>
        </is>
      </c>
    </row>
    <row r="199" ht="34" customHeight="1">
      <c r="A199" s="15" t="inlineStr">
        <is>
          <t xml:space="preserve">v0.2</t>
        </is>
      </c>
      <c r="B199" s="15" t="inlineStr">
        <is>
          <t xml:space="preserve">Bible_Journey_Canon_Map_v0_2_Chronicles_Psalms_Job_1Kings.xlsx</t>
        </is>
      </c>
      <c r="C199" s="15" t="inlineStr">
        <is>
          <t xml:space="preserve">BLK-PSA-009-01</t>
        </is>
      </c>
      <c r="D199" s="15" t="inlineStr">
        <is>
          <t xml:space="preserve">CRS-PSA-009</t>
        </is>
      </c>
      <c r="E199" s="15">
        <v>1</v>
      </c>
      <c r="F199" s="15" t="inlineStr">
        <is>
          <t xml:space="preserve">Psalms</t>
        </is>
      </c>
      <c r="G199" s="15" t="inlineStr">
        <is>
          <t xml:space="preserve">31-33</t>
        </is>
      </c>
      <c r="H199" s="15" t="inlineStr">
        <is>
          <t xml:space="preserve">Poetic Connection</t>
        </is>
      </c>
      <c r="I199" s="15" t="inlineStr">
        <is>
          <t xml:space="preserve">Yes</t>
        </is>
      </c>
      <c r="J199" s="15" t="inlineStr">
        <is>
          <t xml:space="preserve">Yes</t>
        </is>
      </c>
      <c r="K199" s="15" t="inlineStr">
        <is>
          <t xml:space="preserve">No</t>
        </is>
      </c>
      <c r="L199" s="15" t="inlineStr">
        <is>
          <t xml:space="preserve">High</t>
        </is>
      </c>
      <c r="M199" s="13" t="inlineStr">
        <is>
          <t xml:space="preserve">Unresolved</t>
        </is>
      </c>
      <c r="N199" s="15" t="inlineStr">
        <is>
          <t xml:space="preserve">Poetry collection / broad Davidic window</t>
        </is>
      </c>
      <c r="O199" s="15"/>
      <c r="P199" s="15" t="inlineStr">
        <is>
          <t xml:space="preserve">Poetic Connection</t>
        </is>
      </c>
      <c r="Q199" s="15" t="inlineStr">
        <is>
          <t xml:space="preserve">SRC-TEXT-PSALMS; SRC-PSALMS-OVERVIEW; SRC-PSALM-SUPERSCRIPTIONS</t>
        </is>
      </c>
      <c r="R199" s="11" t="inlineStr">
        <is>
          <t xml:space="preserve">Needs Review</t>
        </is>
      </c>
      <c r="S199" s="15" t="inlineStr">
        <is>
          <t xml:space="preserve">Canonical-scope block for Psalms 31-33: Davidic and communal prayers.</t>
        </is>
      </c>
    </row>
    <row r="200" ht="34" customHeight="1">
      <c r="A200" s="15" t="inlineStr">
        <is>
          <t xml:space="preserve">v0.2</t>
        </is>
      </c>
      <c r="B200" s="15" t="inlineStr">
        <is>
          <t xml:space="preserve">Bible_Journey_Canon_Map_v0_2_Chronicles_Psalms_Job_1Kings.xlsx</t>
        </is>
      </c>
      <c r="C200" s="15" t="inlineStr">
        <is>
          <t xml:space="preserve">BLK-PSA-010-01</t>
        </is>
      </c>
      <c r="D200" s="15" t="inlineStr">
        <is>
          <t xml:space="preserve">CRS-PSA-010</t>
        </is>
      </c>
      <c r="E200" s="15">
        <v>1</v>
      </c>
      <c r="F200" s="15" t="inlineStr">
        <is>
          <t xml:space="preserve">Psalms</t>
        </is>
      </c>
      <c r="G200" s="15" t="inlineStr">
        <is>
          <t xml:space="preserve">34</t>
        </is>
      </c>
      <c r="H200" s="15" t="inlineStr">
        <is>
          <t xml:space="preserve">Poetic Connection</t>
        </is>
      </c>
      <c r="I200" s="15" t="inlineStr">
        <is>
          <t xml:space="preserve">Yes</t>
        </is>
      </c>
      <c r="J200" s="15" t="inlineStr">
        <is>
          <t xml:space="preserve">Yes</t>
        </is>
      </c>
      <c r="K200" s="15" t="inlineStr">
        <is>
          <t xml:space="preserve">No</t>
        </is>
      </c>
      <c r="L200" s="15" t="inlineStr">
        <is>
          <t xml:space="preserve">High</t>
        </is>
      </c>
      <c r="M200" s="15" t="inlineStr">
        <is>
          <t xml:space="preserve">Probable</t>
        </is>
      </c>
      <c r="N200" s="15" t="inlineStr">
        <is>
          <t xml:space="preserve">Attach to v0.1 event</t>
        </is>
      </c>
      <c r="O200" s="15" t="inlineStr">
        <is>
          <t xml:space="preserve">CRS-1SA-011</t>
        </is>
      </c>
      <c r="P200" s="15" t="inlineStr">
        <is>
          <t xml:space="preserve">Poetic Connection</t>
        </is>
      </c>
      <c r="Q200" s="15" t="inlineStr">
        <is>
          <t xml:space="preserve">SRC-TEXT-PSALMS; SRC-PSALMS-OVERVIEW; SRC-PSALM-SUPERSCRIPTIONS</t>
        </is>
      </c>
      <c r="R200" s="11" t="inlineStr">
        <is>
          <t xml:space="preserve">Needs Review</t>
        </is>
      </c>
      <c r="S200" s="15" t="inlineStr">
        <is>
          <t xml:space="preserve">Canonical-scope block for Psalm 34: David before Abimelech.</t>
        </is>
      </c>
    </row>
    <row r="201" ht="34" customHeight="1">
      <c r="A201" s="15" t="inlineStr">
        <is>
          <t xml:space="preserve">v0.2</t>
        </is>
      </c>
      <c r="B201" s="15" t="inlineStr">
        <is>
          <t xml:space="preserve">Bible_Journey_Canon_Map_v0_2_Chronicles_Psalms_Job_1Kings.xlsx</t>
        </is>
      </c>
      <c r="C201" s="15" t="inlineStr">
        <is>
          <t xml:space="preserve">BLK-PSA-011-01</t>
        </is>
      </c>
      <c r="D201" s="15" t="inlineStr">
        <is>
          <t xml:space="preserve">CRS-PSA-011</t>
        </is>
      </c>
      <c r="E201" s="15">
        <v>1</v>
      </c>
      <c r="F201" s="15" t="inlineStr">
        <is>
          <t xml:space="preserve">Psalms</t>
        </is>
      </c>
      <c r="G201" s="15" t="inlineStr">
        <is>
          <t xml:space="preserve">35-50</t>
        </is>
      </c>
      <c r="H201" s="15" t="inlineStr">
        <is>
          <t xml:space="preserve">Poetic Connection</t>
        </is>
      </c>
      <c r="I201" s="15" t="inlineStr">
        <is>
          <t xml:space="preserve">Yes</t>
        </is>
      </c>
      <c r="J201" s="15" t="inlineStr">
        <is>
          <t xml:space="preserve">Yes</t>
        </is>
      </c>
      <c r="K201" s="15" t="inlineStr">
        <is>
          <t xml:space="preserve">No</t>
        </is>
      </c>
      <c r="L201" s="15" t="inlineStr">
        <is>
          <t xml:space="preserve">High</t>
        </is>
      </c>
      <c r="M201" s="13" t="inlineStr">
        <is>
          <t xml:space="preserve">Unresolved</t>
        </is>
      </c>
      <c r="N201" s="15" t="inlineStr">
        <is>
          <t xml:space="preserve">Poetry collection / no fixed event placement</t>
        </is>
      </c>
      <c r="O201" s="15"/>
      <c r="P201" s="15" t="inlineStr">
        <is>
          <t xml:space="preserve">Poetic Connection</t>
        </is>
      </c>
      <c r="Q201" s="15" t="inlineStr">
        <is>
          <t xml:space="preserve">SRC-TEXT-PSALMS; SRC-PSALMS-OVERVIEW; SRC-PSALM-SUPERSCRIPTIONS</t>
        </is>
      </c>
      <c r="R201" s="11" t="inlineStr">
        <is>
          <t xml:space="preserve">Needs Review</t>
        </is>
      </c>
      <c r="S201" s="15" t="inlineStr">
        <is>
          <t xml:space="preserve">Canonical-scope block for Psalms 35-50: prayers, royal psalms, and Asaph material.</t>
        </is>
      </c>
    </row>
    <row r="202" ht="34" customHeight="1">
      <c r="A202" s="15" t="inlineStr">
        <is>
          <t xml:space="preserve">v0.2</t>
        </is>
      </c>
      <c r="B202" s="15" t="inlineStr">
        <is>
          <t xml:space="preserve">Bible_Journey_Canon_Map_v0_2_Chronicles_Psalms_Job_1Kings.xlsx</t>
        </is>
      </c>
      <c r="C202" s="15" t="inlineStr">
        <is>
          <t xml:space="preserve">BLK-PSA-012-01</t>
        </is>
      </c>
      <c r="D202" s="15" t="inlineStr">
        <is>
          <t xml:space="preserve">CRS-PSA-012</t>
        </is>
      </c>
      <c r="E202" s="15">
        <v>1</v>
      </c>
      <c r="F202" s="15" t="inlineStr">
        <is>
          <t xml:space="preserve">Psalms</t>
        </is>
      </c>
      <c r="G202" s="15" t="inlineStr">
        <is>
          <t xml:space="preserve">51</t>
        </is>
      </c>
      <c r="H202" s="15" t="inlineStr">
        <is>
          <t xml:space="preserve">Poetic Connection</t>
        </is>
      </c>
      <c r="I202" s="15" t="inlineStr">
        <is>
          <t xml:space="preserve">Yes</t>
        </is>
      </c>
      <c r="J202" s="15" t="inlineStr">
        <is>
          <t xml:space="preserve">Yes</t>
        </is>
      </c>
      <c r="K202" s="15" t="inlineStr">
        <is>
          <t xml:space="preserve">No</t>
        </is>
      </c>
      <c r="L202" s="15" t="inlineStr">
        <is>
          <t xml:space="preserve">High</t>
        </is>
      </c>
      <c r="M202" s="15" t="inlineStr">
        <is>
          <t xml:space="preserve">Probable</t>
        </is>
      </c>
      <c r="N202" s="15" t="inlineStr">
        <is>
          <t xml:space="preserve">Attach to v0.1 event</t>
        </is>
      </c>
      <c r="O202" s="15" t="inlineStr">
        <is>
          <t xml:space="preserve">CRS-2SA-010</t>
        </is>
      </c>
      <c r="P202" s="15" t="inlineStr">
        <is>
          <t xml:space="preserve">Poetic Connection</t>
        </is>
      </c>
      <c r="Q202" s="15" t="inlineStr">
        <is>
          <t xml:space="preserve">SRC-TEXT-PSALMS; SRC-PSALMS-OVERVIEW; SRC-PSALM-SUPERSCRIPTIONS</t>
        </is>
      </c>
      <c r="R202" s="11" t="inlineStr">
        <is>
          <t xml:space="preserve">Needs Review</t>
        </is>
      </c>
      <c r="S202" s="15" t="inlineStr">
        <is>
          <t xml:space="preserve">Canonical-scope block for Psalm 51: David after Nathan's confrontation.</t>
        </is>
      </c>
    </row>
    <row r="203" ht="34" customHeight="1">
      <c r="A203" s="15" t="inlineStr">
        <is>
          <t xml:space="preserve">v0.2</t>
        </is>
      </c>
      <c r="B203" s="15" t="inlineStr">
        <is>
          <t xml:space="preserve">Bible_Journey_Canon_Map_v0_2_Chronicles_Psalms_Job_1Kings.xlsx</t>
        </is>
      </c>
      <c r="C203" s="15" t="inlineStr">
        <is>
          <t xml:space="preserve">BLK-PSA-013-01</t>
        </is>
      </c>
      <c r="D203" s="15" t="inlineStr">
        <is>
          <t xml:space="preserve">CRS-PSA-013</t>
        </is>
      </c>
      <c r="E203" s="15">
        <v>1</v>
      </c>
      <c r="F203" s="15" t="inlineStr">
        <is>
          <t xml:space="preserve">Psalms</t>
        </is>
      </c>
      <c r="G203" s="15" t="inlineStr">
        <is>
          <t xml:space="preserve">52</t>
        </is>
      </c>
      <c r="H203" s="15" t="inlineStr">
        <is>
          <t xml:space="preserve">Poetic Connection</t>
        </is>
      </c>
      <c r="I203" s="15" t="inlineStr">
        <is>
          <t xml:space="preserve">Yes</t>
        </is>
      </c>
      <c r="J203" s="15" t="inlineStr">
        <is>
          <t xml:space="preserve">Yes</t>
        </is>
      </c>
      <c r="K203" s="15" t="inlineStr">
        <is>
          <t xml:space="preserve">No</t>
        </is>
      </c>
      <c r="L203" s="15" t="inlineStr">
        <is>
          <t xml:space="preserve">High</t>
        </is>
      </c>
      <c r="M203" s="15" t="inlineStr">
        <is>
          <t xml:space="preserve">Probable</t>
        </is>
      </c>
      <c r="N203" s="15" t="inlineStr">
        <is>
          <t xml:space="preserve">Attach to v0.1 event</t>
        </is>
      </c>
      <c r="O203" s="15" t="inlineStr">
        <is>
          <t xml:space="preserve">CRS-1SA-012</t>
        </is>
      </c>
      <c r="P203" s="15" t="inlineStr">
        <is>
          <t xml:space="preserve">Poetic Connection</t>
        </is>
      </c>
      <c r="Q203" s="15" t="inlineStr">
        <is>
          <t xml:space="preserve">SRC-TEXT-PSALMS; SRC-PSALMS-OVERVIEW; SRC-PSALM-SUPERSCRIPTIONS</t>
        </is>
      </c>
      <c r="R203" s="11" t="inlineStr">
        <is>
          <t xml:space="preserve">Needs Review</t>
        </is>
      </c>
      <c r="S203" s="15" t="inlineStr">
        <is>
          <t xml:space="preserve">Canonical-scope block for Psalm 52: Doeg the Edomite.</t>
        </is>
      </c>
    </row>
    <row r="204" ht="34" customHeight="1">
      <c r="A204" s="15" t="inlineStr">
        <is>
          <t xml:space="preserve">v0.2</t>
        </is>
      </c>
      <c r="B204" s="15" t="inlineStr">
        <is>
          <t xml:space="preserve">Bible_Journey_Canon_Map_v0_2_Chronicles_Psalms_Job_1Kings.xlsx</t>
        </is>
      </c>
      <c r="C204" s="15" t="inlineStr">
        <is>
          <t xml:space="preserve">BLK-PSA-014-01</t>
        </is>
      </c>
      <c r="D204" s="15" t="inlineStr">
        <is>
          <t xml:space="preserve">CRS-PSA-014</t>
        </is>
      </c>
      <c r="E204" s="15">
        <v>1</v>
      </c>
      <c r="F204" s="15" t="inlineStr">
        <is>
          <t xml:space="preserve">Psalms</t>
        </is>
      </c>
      <c r="G204" s="15" t="inlineStr">
        <is>
          <t xml:space="preserve">53</t>
        </is>
      </c>
      <c r="H204" s="15" t="inlineStr">
        <is>
          <t xml:space="preserve">Poetic Connection</t>
        </is>
      </c>
      <c r="I204" s="15" t="inlineStr">
        <is>
          <t xml:space="preserve">Yes</t>
        </is>
      </c>
      <c r="J204" s="15" t="inlineStr">
        <is>
          <t xml:space="preserve">Yes</t>
        </is>
      </c>
      <c r="K204" s="15" t="inlineStr">
        <is>
          <t xml:space="preserve">No</t>
        </is>
      </c>
      <c r="L204" s="15" t="inlineStr">
        <is>
          <t xml:space="preserve">High</t>
        </is>
      </c>
      <c r="M204" s="13" t="inlineStr">
        <is>
          <t xml:space="preserve">Unresolved</t>
        </is>
      </c>
      <c r="N204" s="15" t="inlineStr">
        <is>
          <t xml:space="preserve">Poetry collection / broad Davidic window</t>
        </is>
      </c>
      <c r="O204" s="15"/>
      <c r="P204" s="15" t="inlineStr">
        <is>
          <t xml:space="preserve">Poetic Connection</t>
        </is>
      </c>
      <c r="Q204" s="15" t="inlineStr">
        <is>
          <t xml:space="preserve">SRC-TEXT-PSALMS; SRC-PSALMS-OVERVIEW; SRC-PSALM-SUPERSCRIPTIONS</t>
        </is>
      </c>
      <c r="R204" s="11" t="inlineStr">
        <is>
          <t xml:space="preserve">Needs Review</t>
        </is>
      </c>
      <c r="S204" s="15" t="inlineStr">
        <is>
          <t xml:space="preserve">Canonical-scope block for Psalm 53: Davidic prayer without identified event.</t>
        </is>
      </c>
    </row>
    <row r="205" ht="34" customHeight="1">
      <c r="A205" s="15" t="inlineStr">
        <is>
          <t xml:space="preserve">v0.2</t>
        </is>
      </c>
      <c r="B205" s="15" t="inlineStr">
        <is>
          <t xml:space="preserve">Bible_Journey_Canon_Map_v0_2_Chronicles_Psalms_Job_1Kings.xlsx</t>
        </is>
      </c>
      <c r="C205" s="15" t="inlineStr">
        <is>
          <t xml:space="preserve">BLK-PSA-015-01</t>
        </is>
      </c>
      <c r="D205" s="15" t="inlineStr">
        <is>
          <t xml:space="preserve">CRS-PSA-015</t>
        </is>
      </c>
      <c r="E205" s="15">
        <v>1</v>
      </c>
      <c r="F205" s="15" t="inlineStr">
        <is>
          <t xml:space="preserve">Psalms</t>
        </is>
      </c>
      <c r="G205" s="15" t="inlineStr">
        <is>
          <t xml:space="preserve">54</t>
        </is>
      </c>
      <c r="H205" s="15" t="inlineStr">
        <is>
          <t xml:space="preserve">Poetic Connection</t>
        </is>
      </c>
      <c r="I205" s="15" t="inlineStr">
        <is>
          <t xml:space="preserve">Yes</t>
        </is>
      </c>
      <c r="J205" s="15" t="inlineStr">
        <is>
          <t xml:space="preserve">Yes</t>
        </is>
      </c>
      <c r="K205" s="15" t="inlineStr">
        <is>
          <t xml:space="preserve">No</t>
        </is>
      </c>
      <c r="L205" s="15" t="inlineStr">
        <is>
          <t xml:space="preserve">High</t>
        </is>
      </c>
      <c r="M205" s="15" t="inlineStr">
        <is>
          <t xml:space="preserve">Probable</t>
        </is>
      </c>
      <c r="N205" s="15" t="inlineStr">
        <is>
          <t xml:space="preserve">Attach to v0.1 event</t>
        </is>
      </c>
      <c r="O205" s="15" t="inlineStr">
        <is>
          <t xml:space="preserve">CRS-1SA-013</t>
        </is>
      </c>
      <c r="P205" s="15" t="inlineStr">
        <is>
          <t xml:space="preserve">Poetic Connection</t>
        </is>
      </c>
      <c r="Q205" s="15" t="inlineStr">
        <is>
          <t xml:space="preserve">SRC-TEXT-PSALMS; SRC-PSALMS-OVERVIEW; SRC-PSALM-SUPERSCRIPTIONS</t>
        </is>
      </c>
      <c r="R205" s="11" t="inlineStr">
        <is>
          <t xml:space="preserve">Needs Review</t>
        </is>
      </c>
      <c r="S205" s="15" t="inlineStr">
        <is>
          <t xml:space="preserve">Canonical-scope block for Psalm 54: the Ziphites' report.</t>
        </is>
      </c>
    </row>
    <row r="206" ht="34" customHeight="1">
      <c r="A206" s="15" t="inlineStr">
        <is>
          <t xml:space="preserve">v0.2</t>
        </is>
      </c>
      <c r="B206" s="15" t="inlineStr">
        <is>
          <t xml:space="preserve">Bible_Journey_Canon_Map_v0_2_Chronicles_Psalms_Job_1Kings.xlsx</t>
        </is>
      </c>
      <c r="C206" s="15" t="inlineStr">
        <is>
          <t xml:space="preserve">BLK-PSA-016-01</t>
        </is>
      </c>
      <c r="D206" s="15" t="inlineStr">
        <is>
          <t xml:space="preserve">CRS-PSA-016</t>
        </is>
      </c>
      <c r="E206" s="15">
        <v>1</v>
      </c>
      <c r="F206" s="15" t="inlineStr">
        <is>
          <t xml:space="preserve">Psalms</t>
        </is>
      </c>
      <c r="G206" s="15" t="inlineStr">
        <is>
          <t xml:space="preserve">55</t>
        </is>
      </c>
      <c r="H206" s="15" t="inlineStr">
        <is>
          <t xml:space="preserve">Poetic Connection</t>
        </is>
      </c>
      <c r="I206" s="15" t="inlineStr">
        <is>
          <t xml:space="preserve">Yes</t>
        </is>
      </c>
      <c r="J206" s="15" t="inlineStr">
        <is>
          <t xml:space="preserve">Yes</t>
        </is>
      </c>
      <c r="K206" s="15" t="inlineStr">
        <is>
          <t xml:space="preserve">No</t>
        </is>
      </c>
      <c r="L206" s="15" t="inlineStr">
        <is>
          <t xml:space="preserve">High</t>
        </is>
      </c>
      <c r="M206" s="13" t="inlineStr">
        <is>
          <t xml:space="preserve">Unresolved</t>
        </is>
      </c>
      <c r="N206" s="15" t="inlineStr">
        <is>
          <t xml:space="preserve">Poetry collection / broad Davidic window</t>
        </is>
      </c>
      <c r="O206" s="15"/>
      <c r="P206" s="15" t="inlineStr">
        <is>
          <t xml:space="preserve">Poetic Connection</t>
        </is>
      </c>
      <c r="Q206" s="15" t="inlineStr">
        <is>
          <t xml:space="preserve">SRC-TEXT-PSALMS; SRC-PSALMS-OVERVIEW; SRC-PSALM-SUPERSCRIPTIONS</t>
        </is>
      </c>
      <c r="R206" s="11" t="inlineStr">
        <is>
          <t xml:space="preserve">Needs Review</t>
        </is>
      </c>
      <c r="S206" s="15" t="inlineStr">
        <is>
          <t xml:space="preserve">Canonical-scope block for Psalm 55: Davidic prayer without identified event.</t>
        </is>
      </c>
    </row>
    <row r="207" ht="34" customHeight="1">
      <c r="A207" s="15" t="inlineStr">
        <is>
          <t xml:space="preserve">v0.2</t>
        </is>
      </c>
      <c r="B207" s="15" t="inlineStr">
        <is>
          <t xml:space="preserve">Bible_Journey_Canon_Map_v0_2_Chronicles_Psalms_Job_1Kings.xlsx</t>
        </is>
      </c>
      <c r="C207" s="15" t="inlineStr">
        <is>
          <t xml:space="preserve">BLK-PSA-017-01</t>
        </is>
      </c>
      <c r="D207" s="15" t="inlineStr">
        <is>
          <t xml:space="preserve">CRS-PSA-017</t>
        </is>
      </c>
      <c r="E207" s="15">
        <v>1</v>
      </c>
      <c r="F207" s="15" t="inlineStr">
        <is>
          <t xml:space="preserve">Psalms</t>
        </is>
      </c>
      <c r="G207" s="15" t="inlineStr">
        <is>
          <t xml:space="preserve">56</t>
        </is>
      </c>
      <c r="H207" s="15" t="inlineStr">
        <is>
          <t xml:space="preserve">Poetic Connection</t>
        </is>
      </c>
      <c r="I207" s="15" t="inlineStr">
        <is>
          <t xml:space="preserve">Yes</t>
        </is>
      </c>
      <c r="J207" s="15" t="inlineStr">
        <is>
          <t xml:space="preserve">Yes</t>
        </is>
      </c>
      <c r="K207" s="15" t="inlineStr">
        <is>
          <t xml:space="preserve">No</t>
        </is>
      </c>
      <c r="L207" s="15" t="inlineStr">
        <is>
          <t xml:space="preserve">High</t>
        </is>
      </c>
      <c r="M207" s="15" t="inlineStr">
        <is>
          <t xml:space="preserve">Probable</t>
        </is>
      </c>
      <c r="N207" s="15" t="inlineStr">
        <is>
          <t xml:space="preserve">Attach to v0.1 event</t>
        </is>
      </c>
      <c r="O207" s="15" t="inlineStr">
        <is>
          <t xml:space="preserve">CRS-1SA-011</t>
        </is>
      </c>
      <c r="P207" s="15" t="inlineStr">
        <is>
          <t xml:space="preserve">Poetic Connection</t>
        </is>
      </c>
      <c r="Q207" s="15" t="inlineStr">
        <is>
          <t xml:space="preserve">SRC-TEXT-PSALMS; SRC-PSALMS-OVERVIEW; SRC-PSALM-SUPERSCRIPTIONS</t>
        </is>
      </c>
      <c r="R207" s="11" t="inlineStr">
        <is>
          <t xml:space="preserve">Needs Review</t>
        </is>
      </c>
      <c r="S207" s="15" t="inlineStr">
        <is>
          <t xml:space="preserve">Canonical-scope block for Psalm 56: David among the Philistines at Gath.</t>
        </is>
      </c>
    </row>
    <row r="208" ht="34" customHeight="1">
      <c r="A208" s="15" t="inlineStr">
        <is>
          <t xml:space="preserve">v0.2</t>
        </is>
      </c>
      <c r="B208" s="15" t="inlineStr">
        <is>
          <t xml:space="preserve">Bible_Journey_Canon_Map_v0_2_Chronicles_Psalms_Job_1Kings.xlsx</t>
        </is>
      </c>
      <c r="C208" s="15" t="inlineStr">
        <is>
          <t xml:space="preserve">BLK-PSA-018-01</t>
        </is>
      </c>
      <c r="D208" s="15" t="inlineStr">
        <is>
          <t xml:space="preserve">CRS-PSA-018</t>
        </is>
      </c>
      <c r="E208" s="15">
        <v>1</v>
      </c>
      <c r="F208" s="15" t="inlineStr">
        <is>
          <t xml:space="preserve">Psalms</t>
        </is>
      </c>
      <c r="G208" s="15" t="inlineStr">
        <is>
          <t xml:space="preserve">57</t>
        </is>
      </c>
      <c r="H208" s="15" t="inlineStr">
        <is>
          <t xml:space="preserve">Poetic Connection</t>
        </is>
      </c>
      <c r="I208" s="15" t="inlineStr">
        <is>
          <t xml:space="preserve">Yes</t>
        </is>
      </c>
      <c r="J208" s="15" t="inlineStr">
        <is>
          <t xml:space="preserve">Yes</t>
        </is>
      </c>
      <c r="K208" s="15" t="inlineStr">
        <is>
          <t xml:space="preserve">No</t>
        </is>
      </c>
      <c r="L208" s="15" t="inlineStr">
        <is>
          <t xml:space="preserve">High</t>
        </is>
      </c>
      <c r="M208" s="15" t="inlineStr">
        <is>
          <t xml:space="preserve">Debated</t>
        </is>
      </c>
      <c r="N208" s="15" t="inlineStr">
        <is>
          <t xml:space="preserve">Poetry connection / debated historical link</t>
        </is>
      </c>
      <c r="O208" s="15"/>
      <c r="P208" s="15" t="inlineStr">
        <is>
          <t xml:space="preserve">Poetic Connection</t>
        </is>
      </c>
      <c r="Q208" s="15" t="inlineStr">
        <is>
          <t xml:space="preserve">SRC-TEXT-PSALMS; SRC-PSALMS-OVERVIEW; SRC-PSALM-SUPERSCRIPTIONS</t>
        </is>
      </c>
      <c r="R208" s="11" t="inlineStr">
        <is>
          <t xml:space="preserve">Needs Review</t>
        </is>
      </c>
      <c r="S208" s="15" t="inlineStr">
        <is>
          <t xml:space="preserve">Canonical-scope block for Psalm 57: David in the cave.</t>
        </is>
      </c>
    </row>
    <row r="209" ht="34" customHeight="1">
      <c r="A209" s="15" t="inlineStr">
        <is>
          <t xml:space="preserve">v0.2</t>
        </is>
      </c>
      <c r="B209" s="15" t="inlineStr">
        <is>
          <t xml:space="preserve">Bible_Journey_Canon_Map_v0_2_Chronicles_Psalms_Job_1Kings.xlsx</t>
        </is>
      </c>
      <c r="C209" s="15" t="inlineStr">
        <is>
          <t xml:space="preserve">BLK-PSA-019-01</t>
        </is>
      </c>
      <c r="D209" s="15" t="inlineStr">
        <is>
          <t xml:space="preserve">CRS-PSA-019</t>
        </is>
      </c>
      <c r="E209" s="15">
        <v>1</v>
      </c>
      <c r="F209" s="15" t="inlineStr">
        <is>
          <t xml:space="preserve">Psalms</t>
        </is>
      </c>
      <c r="G209" s="15" t="inlineStr">
        <is>
          <t xml:space="preserve">58</t>
        </is>
      </c>
      <c r="H209" s="15" t="inlineStr">
        <is>
          <t xml:space="preserve">Poetic Connection</t>
        </is>
      </c>
      <c r="I209" s="15" t="inlineStr">
        <is>
          <t xml:space="preserve">Yes</t>
        </is>
      </c>
      <c r="J209" s="15" t="inlineStr">
        <is>
          <t xml:space="preserve">Yes</t>
        </is>
      </c>
      <c r="K209" s="15" t="inlineStr">
        <is>
          <t xml:space="preserve">No</t>
        </is>
      </c>
      <c r="L209" s="15" t="inlineStr">
        <is>
          <t xml:space="preserve">High</t>
        </is>
      </c>
      <c r="M209" s="13" t="inlineStr">
        <is>
          <t xml:space="preserve">Unresolved</t>
        </is>
      </c>
      <c r="N209" s="15" t="inlineStr">
        <is>
          <t xml:space="preserve">Poetry collection / broad Davidic window</t>
        </is>
      </c>
      <c r="O209" s="15"/>
      <c r="P209" s="15" t="inlineStr">
        <is>
          <t xml:space="preserve">Poetic Connection</t>
        </is>
      </c>
      <c r="Q209" s="15" t="inlineStr">
        <is>
          <t xml:space="preserve">SRC-TEXT-PSALMS; SRC-PSALMS-OVERVIEW; SRC-PSALM-SUPERSCRIPTIONS</t>
        </is>
      </c>
      <c r="R209" s="11" t="inlineStr">
        <is>
          <t xml:space="preserve">Needs Review</t>
        </is>
      </c>
      <c r="S209" s="15" t="inlineStr">
        <is>
          <t xml:space="preserve">Canonical-scope block for Psalm 58: Davidic prayer without identified event.</t>
        </is>
      </c>
    </row>
    <row r="210" ht="34" customHeight="1">
      <c r="A210" s="15" t="inlineStr">
        <is>
          <t xml:space="preserve">v0.2</t>
        </is>
      </c>
      <c r="B210" s="15" t="inlineStr">
        <is>
          <t xml:space="preserve">Bible_Journey_Canon_Map_v0_2_Chronicles_Psalms_Job_1Kings.xlsx</t>
        </is>
      </c>
      <c r="C210" s="15" t="inlineStr">
        <is>
          <t xml:space="preserve">BLK-PSA-020-01</t>
        </is>
      </c>
      <c r="D210" s="15" t="inlineStr">
        <is>
          <t xml:space="preserve">CRS-PSA-020</t>
        </is>
      </c>
      <c r="E210" s="15">
        <v>1</v>
      </c>
      <c r="F210" s="15" t="inlineStr">
        <is>
          <t xml:space="preserve">Psalms</t>
        </is>
      </c>
      <c r="G210" s="15" t="inlineStr">
        <is>
          <t xml:space="preserve">59</t>
        </is>
      </c>
      <c r="H210" s="15" t="inlineStr">
        <is>
          <t xml:space="preserve">Poetic Connection</t>
        </is>
      </c>
      <c r="I210" s="15" t="inlineStr">
        <is>
          <t xml:space="preserve">Yes</t>
        </is>
      </c>
      <c r="J210" s="15" t="inlineStr">
        <is>
          <t xml:space="preserve">Yes</t>
        </is>
      </c>
      <c r="K210" s="15" t="inlineStr">
        <is>
          <t xml:space="preserve">No</t>
        </is>
      </c>
      <c r="L210" s="15" t="inlineStr">
        <is>
          <t xml:space="preserve">High</t>
        </is>
      </c>
      <c r="M210" s="15" t="inlineStr">
        <is>
          <t xml:space="preserve">Probable</t>
        </is>
      </c>
      <c r="N210" s="15" t="inlineStr">
        <is>
          <t xml:space="preserve">Attach to v0.1 event</t>
        </is>
      </c>
      <c r="O210" s="15" t="inlineStr">
        <is>
          <t xml:space="preserve">CRS-1SA-009</t>
        </is>
      </c>
      <c r="P210" s="15" t="inlineStr">
        <is>
          <t xml:space="preserve">Poetic Connection</t>
        </is>
      </c>
      <c r="Q210" s="15" t="inlineStr">
        <is>
          <t xml:space="preserve">SRC-TEXT-PSALMS; SRC-PSALMS-OVERVIEW; SRC-PSALM-SUPERSCRIPTIONS</t>
        </is>
      </c>
      <c r="R210" s="11" t="inlineStr">
        <is>
          <t xml:space="preserve">Needs Review</t>
        </is>
      </c>
      <c r="S210" s="15" t="inlineStr">
        <is>
          <t xml:space="preserve">Canonical-scope block for Psalm 59: escape from Saul's agents.</t>
        </is>
      </c>
    </row>
    <row r="211" ht="34" customHeight="1">
      <c r="A211" s="15" t="inlineStr">
        <is>
          <t xml:space="preserve">v0.2</t>
        </is>
      </c>
      <c r="B211" s="15" t="inlineStr">
        <is>
          <t xml:space="preserve">Bible_Journey_Canon_Map_v0_2_Chronicles_Psalms_Job_1Kings.xlsx</t>
        </is>
      </c>
      <c r="C211" s="15" t="inlineStr">
        <is>
          <t xml:space="preserve">BLK-PSA-021-01</t>
        </is>
      </c>
      <c r="D211" s="15" t="inlineStr">
        <is>
          <t xml:space="preserve">CRS-PSA-021</t>
        </is>
      </c>
      <c r="E211" s="15">
        <v>1</v>
      </c>
      <c r="F211" s="15" t="inlineStr">
        <is>
          <t xml:space="preserve">Psalms</t>
        </is>
      </c>
      <c r="G211" s="15" t="inlineStr">
        <is>
          <t xml:space="preserve">60</t>
        </is>
      </c>
      <c r="H211" s="15" t="inlineStr">
        <is>
          <t xml:space="preserve">Poetic Connection</t>
        </is>
      </c>
      <c r="I211" s="15" t="inlineStr">
        <is>
          <t xml:space="preserve">Yes</t>
        </is>
      </c>
      <c r="J211" s="15" t="inlineStr">
        <is>
          <t xml:space="preserve">Yes</t>
        </is>
      </c>
      <c r="K211" s="15" t="inlineStr">
        <is>
          <t xml:space="preserve">No</t>
        </is>
      </c>
      <c r="L211" s="15" t="inlineStr">
        <is>
          <t xml:space="preserve">High</t>
        </is>
      </c>
      <c r="M211" s="15" t="inlineStr">
        <is>
          <t xml:space="preserve">Probable</t>
        </is>
      </c>
      <c r="N211" s="15" t="inlineStr">
        <is>
          <t xml:space="preserve">Attach to v0.1 event</t>
        </is>
      </c>
      <c r="O211" s="15" t="inlineStr">
        <is>
          <t xml:space="preserve">CRS-2SA-006</t>
        </is>
      </c>
      <c r="P211" s="15" t="inlineStr">
        <is>
          <t xml:space="preserve">Poetic Connection</t>
        </is>
      </c>
      <c r="Q211" s="15" t="inlineStr">
        <is>
          <t xml:space="preserve">SRC-TEXT-PSALMS; SRC-PSALMS-OVERVIEW; SRC-PSALM-SUPERSCRIPTIONS</t>
        </is>
      </c>
      <c r="R211" s="11" t="inlineStr">
        <is>
          <t xml:space="preserve">Needs Review</t>
        </is>
      </c>
      <c r="S211" s="15" t="inlineStr">
        <is>
          <t xml:space="preserve">Canonical-scope block for Psalm 60: David's victories over Aram and Edom.</t>
        </is>
      </c>
    </row>
    <row r="212" ht="34" customHeight="1">
      <c r="A212" s="15" t="inlineStr">
        <is>
          <t xml:space="preserve">v0.2</t>
        </is>
      </c>
      <c r="B212" s="15" t="inlineStr">
        <is>
          <t xml:space="preserve">Bible_Journey_Canon_Map_v0_2_Chronicles_Psalms_Job_1Kings.xlsx</t>
        </is>
      </c>
      <c r="C212" s="15" t="inlineStr">
        <is>
          <t xml:space="preserve">BLK-PSA-022-01</t>
        </is>
      </c>
      <c r="D212" s="15" t="inlineStr">
        <is>
          <t xml:space="preserve">CRS-PSA-022</t>
        </is>
      </c>
      <c r="E212" s="15">
        <v>1</v>
      </c>
      <c r="F212" s="15" t="inlineStr">
        <is>
          <t xml:space="preserve">Psalms</t>
        </is>
      </c>
      <c r="G212" s="15" t="inlineStr">
        <is>
          <t xml:space="preserve">61-62</t>
        </is>
      </c>
      <c r="H212" s="15" t="inlineStr">
        <is>
          <t xml:space="preserve">Poetic Connection</t>
        </is>
      </c>
      <c r="I212" s="15" t="inlineStr">
        <is>
          <t xml:space="preserve">Yes</t>
        </is>
      </c>
      <c r="J212" s="15" t="inlineStr">
        <is>
          <t xml:space="preserve">Yes</t>
        </is>
      </c>
      <c r="K212" s="15" t="inlineStr">
        <is>
          <t xml:space="preserve">No</t>
        </is>
      </c>
      <c r="L212" s="15" t="inlineStr">
        <is>
          <t xml:space="preserve">High</t>
        </is>
      </c>
      <c r="M212" s="13" t="inlineStr">
        <is>
          <t xml:space="preserve">Unresolved</t>
        </is>
      </c>
      <c r="N212" s="15" t="inlineStr">
        <is>
          <t xml:space="preserve">Poetry collection / broad Davidic window</t>
        </is>
      </c>
      <c r="O212" s="15"/>
      <c r="P212" s="15" t="inlineStr">
        <is>
          <t xml:space="preserve">Poetic Connection</t>
        </is>
      </c>
      <c r="Q212" s="15" t="inlineStr">
        <is>
          <t xml:space="preserve">SRC-TEXT-PSALMS; SRC-PSALMS-OVERVIEW; SRC-PSALM-SUPERSCRIPTIONS</t>
        </is>
      </c>
      <c r="R212" s="11" t="inlineStr">
        <is>
          <t xml:space="preserve">Needs Review</t>
        </is>
      </c>
      <c r="S212" s="15" t="inlineStr">
        <is>
          <t xml:space="preserve">Canonical-scope block for Psalms 61-62: Davidic prayers without identified event.</t>
        </is>
      </c>
    </row>
    <row r="213" ht="34" customHeight="1">
      <c r="A213" s="15" t="inlineStr">
        <is>
          <t xml:space="preserve">v0.2</t>
        </is>
      </c>
      <c r="B213" s="15" t="inlineStr">
        <is>
          <t xml:space="preserve">Bible_Journey_Canon_Map_v0_2_Chronicles_Psalms_Job_1Kings.xlsx</t>
        </is>
      </c>
      <c r="C213" s="15" t="inlineStr">
        <is>
          <t xml:space="preserve">BLK-PSA-023-01</t>
        </is>
      </c>
      <c r="D213" s="15" t="inlineStr">
        <is>
          <t xml:space="preserve">CRS-PSA-023</t>
        </is>
      </c>
      <c r="E213" s="15">
        <v>1</v>
      </c>
      <c r="F213" s="15" t="inlineStr">
        <is>
          <t xml:space="preserve">Psalms</t>
        </is>
      </c>
      <c r="G213" s="15" t="inlineStr">
        <is>
          <t xml:space="preserve">63</t>
        </is>
      </c>
      <c r="H213" s="15" t="inlineStr">
        <is>
          <t xml:space="preserve">Poetic Connection</t>
        </is>
      </c>
      <c r="I213" s="15" t="inlineStr">
        <is>
          <t xml:space="preserve">Yes</t>
        </is>
      </c>
      <c r="J213" s="15" t="inlineStr">
        <is>
          <t xml:space="preserve">Yes</t>
        </is>
      </c>
      <c r="K213" s="15" t="inlineStr">
        <is>
          <t xml:space="preserve">No</t>
        </is>
      </c>
      <c r="L213" s="15" t="inlineStr">
        <is>
          <t xml:space="preserve">High</t>
        </is>
      </c>
      <c r="M213" s="15" t="inlineStr">
        <is>
          <t xml:space="preserve">Debated</t>
        </is>
      </c>
      <c r="N213" s="15" t="inlineStr">
        <is>
          <t xml:space="preserve">Poetry connection / debated historical link</t>
        </is>
      </c>
      <c r="O213" s="15"/>
      <c r="P213" s="15" t="inlineStr">
        <is>
          <t xml:space="preserve">Poetic Connection</t>
        </is>
      </c>
      <c r="Q213" s="15" t="inlineStr">
        <is>
          <t xml:space="preserve">SRC-TEXT-PSALMS; SRC-PSALMS-OVERVIEW; SRC-PSALM-SUPERSCRIPTIONS</t>
        </is>
      </c>
      <c r="R213" s="11" t="inlineStr">
        <is>
          <t xml:space="preserve">Needs Review</t>
        </is>
      </c>
      <c r="S213" s="15" t="inlineStr">
        <is>
          <t xml:space="preserve">Canonical-scope block for Psalm 63: David in the wilderness of Judah.</t>
        </is>
      </c>
    </row>
    <row r="214" ht="34" customHeight="1">
      <c r="A214" s="15" t="inlineStr">
        <is>
          <t xml:space="preserve">v0.2</t>
        </is>
      </c>
      <c r="B214" s="15" t="inlineStr">
        <is>
          <t xml:space="preserve">Bible_Journey_Canon_Map_v0_2_Chronicles_Psalms_Job_1Kings.xlsx</t>
        </is>
      </c>
      <c r="C214" s="15" t="inlineStr">
        <is>
          <t xml:space="preserve">BLK-PSA-024-01</t>
        </is>
      </c>
      <c r="D214" s="15" t="inlineStr">
        <is>
          <t xml:space="preserve">CRS-PSA-024</t>
        </is>
      </c>
      <c r="E214" s="15">
        <v>1</v>
      </c>
      <c r="F214" s="15" t="inlineStr">
        <is>
          <t xml:space="preserve">Psalms</t>
        </is>
      </c>
      <c r="G214" s="15" t="inlineStr">
        <is>
          <t xml:space="preserve">64-71</t>
        </is>
      </c>
      <c r="H214" s="15" t="inlineStr">
        <is>
          <t xml:space="preserve">Poetic Connection</t>
        </is>
      </c>
      <c r="I214" s="15" t="inlineStr">
        <is>
          <t xml:space="preserve">Yes</t>
        </is>
      </c>
      <c r="J214" s="15" t="inlineStr">
        <is>
          <t xml:space="preserve">Yes</t>
        </is>
      </c>
      <c r="K214" s="15" t="inlineStr">
        <is>
          <t xml:space="preserve">No</t>
        </is>
      </c>
      <c r="L214" s="15" t="inlineStr">
        <is>
          <t xml:space="preserve">High</t>
        </is>
      </c>
      <c r="M214" s="13" t="inlineStr">
        <is>
          <t xml:space="preserve">Unresolved</t>
        </is>
      </c>
      <c r="N214" s="15" t="inlineStr">
        <is>
          <t xml:space="preserve">Poetry collection / broad Davidic window</t>
        </is>
      </c>
      <c r="O214" s="15"/>
      <c r="P214" s="15" t="inlineStr">
        <is>
          <t xml:space="preserve">Poetic Connection</t>
        </is>
      </c>
      <c r="Q214" s="15" t="inlineStr">
        <is>
          <t xml:space="preserve">SRC-TEXT-PSALMS; SRC-PSALMS-OVERVIEW; SRC-PSALM-SUPERSCRIPTIONS</t>
        </is>
      </c>
      <c r="R214" s="11" t="inlineStr">
        <is>
          <t xml:space="preserve">Needs Review</t>
        </is>
      </c>
      <c r="S214" s="15" t="inlineStr">
        <is>
          <t xml:space="preserve">Canonical-scope block for Psalms 64-71: Davidic prayers and royal material.</t>
        </is>
      </c>
    </row>
    <row r="215" ht="34" customHeight="1">
      <c r="A215" s="15" t="inlineStr">
        <is>
          <t xml:space="preserve">v0.2</t>
        </is>
      </c>
      <c r="B215" s="15" t="inlineStr">
        <is>
          <t xml:space="preserve">Bible_Journey_Canon_Map_v0_2_Chronicles_Psalms_Job_1Kings.xlsx</t>
        </is>
      </c>
      <c r="C215" s="15" t="inlineStr">
        <is>
          <t xml:space="preserve">BLK-PSA-025-01</t>
        </is>
      </c>
      <c r="D215" s="15" t="inlineStr">
        <is>
          <t xml:space="preserve">CRS-PSA-025</t>
        </is>
      </c>
      <c r="E215" s="15">
        <v>1</v>
      </c>
      <c r="F215" s="15" t="inlineStr">
        <is>
          <t xml:space="preserve">Psalms</t>
        </is>
      </c>
      <c r="G215" s="15" t="inlineStr">
        <is>
          <t xml:space="preserve">72</t>
        </is>
      </c>
      <c r="H215" s="15" t="inlineStr">
        <is>
          <t xml:space="preserve">Poetic Connection</t>
        </is>
      </c>
      <c r="I215" s="15" t="inlineStr">
        <is>
          <t xml:space="preserve">Yes</t>
        </is>
      </c>
      <c r="J215" s="15" t="inlineStr">
        <is>
          <t xml:space="preserve">Yes</t>
        </is>
      </c>
      <c r="K215" s="15" t="inlineStr">
        <is>
          <t xml:space="preserve">No</t>
        </is>
      </c>
      <c r="L215" s="15" t="inlineStr">
        <is>
          <t xml:space="preserve">High</t>
        </is>
      </c>
      <c r="M215" s="15" t="inlineStr">
        <is>
          <t xml:space="preserve">Probable</t>
        </is>
      </c>
      <c r="N215" s="15" t="inlineStr">
        <is>
          <t xml:space="preserve">Solomonic window / no fixed event placement</t>
        </is>
      </c>
      <c r="O215" s="15" t="inlineStr">
        <is>
          <t xml:space="preserve">CRS-1KG-003</t>
        </is>
      </c>
      <c r="P215" s="15" t="inlineStr">
        <is>
          <t xml:space="preserve">Poetic Connection</t>
        </is>
      </c>
      <c r="Q215" s="15" t="inlineStr">
        <is>
          <t xml:space="preserve">SRC-TEXT-PSALMS; SRC-PSALMS-OVERVIEW; SRC-PSALM-SUPERSCRIPTIONS</t>
        </is>
      </c>
      <c r="R215" s="11" t="inlineStr">
        <is>
          <t xml:space="preserve">Needs Review</t>
        </is>
      </c>
      <c r="S215" s="15" t="inlineStr">
        <is>
          <t xml:space="preserve">Canonical-scope block for Psalm 72: royal prayer associated with Solomon.</t>
        </is>
      </c>
    </row>
    <row r="216" ht="34" customHeight="1">
      <c r="A216" s="15" t="inlineStr">
        <is>
          <t xml:space="preserve">v0.2</t>
        </is>
      </c>
      <c r="B216" s="15" t="inlineStr">
        <is>
          <t xml:space="preserve">Bible_Journey_Canon_Map_v0_2_Chronicles_Psalms_Job_1Kings.xlsx</t>
        </is>
      </c>
      <c r="C216" s="15" t="inlineStr">
        <is>
          <t xml:space="preserve">BLK-PSA-026-01</t>
        </is>
      </c>
      <c r="D216" s="15" t="inlineStr">
        <is>
          <t xml:space="preserve">CRS-PSA-026</t>
        </is>
      </c>
      <c r="E216" s="15">
        <v>1</v>
      </c>
      <c r="F216" s="15" t="inlineStr">
        <is>
          <t xml:space="preserve">Psalms</t>
        </is>
      </c>
      <c r="G216" s="15" t="inlineStr">
        <is>
          <t xml:space="preserve">73-89</t>
        </is>
      </c>
      <c r="H216" s="15" t="inlineStr">
        <is>
          <t xml:space="preserve">Poetic Connection</t>
        </is>
      </c>
      <c r="I216" s="15" t="inlineStr">
        <is>
          <t xml:space="preserve">Yes</t>
        </is>
      </c>
      <c r="J216" s="15" t="inlineStr">
        <is>
          <t xml:space="preserve">Yes</t>
        </is>
      </c>
      <c r="K216" s="15" t="inlineStr">
        <is>
          <t xml:space="preserve">No</t>
        </is>
      </c>
      <c r="L216" s="15" t="inlineStr">
        <is>
          <t xml:space="preserve">High</t>
        </is>
      </c>
      <c r="M216" s="13" t="inlineStr">
        <is>
          <t xml:space="preserve">Unresolved</t>
        </is>
      </c>
      <c r="N216" s="15" t="inlineStr">
        <is>
          <t xml:space="preserve">Poetry collection / no fixed event placement</t>
        </is>
      </c>
      <c r="O216" s="15"/>
      <c r="P216" s="15" t="inlineStr">
        <is>
          <t xml:space="preserve">Poetic Connection</t>
        </is>
      </c>
      <c r="Q216" s="15" t="inlineStr">
        <is>
          <t xml:space="preserve">SRC-TEXT-PSALMS; SRC-PSALMS-OVERVIEW; SRC-PSALM-SUPERSCRIPTIONS</t>
        </is>
      </c>
      <c r="R216" s="11" t="inlineStr">
        <is>
          <t xml:space="preserve">Needs Review</t>
        </is>
      </c>
      <c r="S216" s="15" t="inlineStr">
        <is>
          <t xml:space="preserve">Canonical-scope block for Psalms 73-89: Asaph, Korahite, and royal collections.</t>
        </is>
      </c>
    </row>
    <row r="217" ht="34" customHeight="1">
      <c r="A217" s="15" t="inlineStr">
        <is>
          <t xml:space="preserve">v0.2</t>
        </is>
      </c>
      <c r="B217" s="15" t="inlineStr">
        <is>
          <t xml:space="preserve">Bible_Journey_Canon_Map_v0_2_Chronicles_Psalms_Job_1Kings.xlsx</t>
        </is>
      </c>
      <c r="C217" s="15" t="inlineStr">
        <is>
          <t xml:space="preserve">BLK-PSA-027-01</t>
        </is>
      </c>
      <c r="D217" s="15" t="inlineStr">
        <is>
          <t xml:space="preserve">CRS-PSA-027</t>
        </is>
      </c>
      <c r="E217" s="15">
        <v>1</v>
      </c>
      <c r="F217" s="15" t="inlineStr">
        <is>
          <t xml:space="preserve">Psalms</t>
        </is>
      </c>
      <c r="G217" s="15" t="inlineStr">
        <is>
          <t xml:space="preserve">90</t>
        </is>
      </c>
      <c r="H217" s="15" t="inlineStr">
        <is>
          <t xml:space="preserve">Poetic Connection</t>
        </is>
      </c>
      <c r="I217" s="15" t="inlineStr">
        <is>
          <t xml:space="preserve">Yes</t>
        </is>
      </c>
      <c r="J217" s="15" t="inlineStr">
        <is>
          <t xml:space="preserve">Yes</t>
        </is>
      </c>
      <c r="K217" s="15" t="inlineStr">
        <is>
          <t xml:space="preserve">No</t>
        </is>
      </c>
      <c r="L217" s="15" t="inlineStr">
        <is>
          <t xml:space="preserve">High</t>
        </is>
      </c>
      <c r="M217" s="15" t="inlineStr">
        <is>
          <t xml:space="preserve">Debated</t>
        </is>
      </c>
      <c r="N217" s="15" t="inlineStr">
        <is>
          <t xml:space="preserve">Mosaic tradition / no fixed event placement</t>
        </is>
      </c>
      <c r="O217" s="15"/>
      <c r="P217" s="15" t="inlineStr">
        <is>
          <t xml:space="preserve">Poetic Connection</t>
        </is>
      </c>
      <c r="Q217" s="15" t="inlineStr">
        <is>
          <t xml:space="preserve">SRC-TEXT-PSALMS; SRC-PSALMS-OVERVIEW; SRC-PSALM-SUPERSCRIPTIONS</t>
        </is>
      </c>
      <c r="R217" s="11" t="inlineStr">
        <is>
          <t xml:space="preserve">Needs Review</t>
        </is>
      </c>
      <c r="S217" s="15" t="inlineStr">
        <is>
          <t xml:space="preserve">Canonical-scope block for Psalm 90: prayer associated with Moses.</t>
        </is>
      </c>
    </row>
    <row r="218" ht="34" customHeight="1">
      <c r="A218" s="15" t="inlineStr">
        <is>
          <t xml:space="preserve">v0.2</t>
        </is>
      </c>
      <c r="B218" s="15" t="inlineStr">
        <is>
          <t xml:space="preserve">Bible_Journey_Canon_Map_v0_2_Chronicles_Psalms_Job_1Kings.xlsx</t>
        </is>
      </c>
      <c r="C218" s="15" t="inlineStr">
        <is>
          <t xml:space="preserve">BLK-PSA-028-01</t>
        </is>
      </c>
      <c r="D218" s="15" t="inlineStr">
        <is>
          <t xml:space="preserve">CRS-PSA-028</t>
        </is>
      </c>
      <c r="E218" s="15">
        <v>1</v>
      </c>
      <c r="F218" s="15" t="inlineStr">
        <is>
          <t xml:space="preserve">Psalms</t>
        </is>
      </c>
      <c r="G218" s="15" t="inlineStr">
        <is>
          <t xml:space="preserve">91-95</t>
        </is>
      </c>
      <c r="H218" s="15" t="inlineStr">
        <is>
          <t xml:space="preserve">Poetic Connection</t>
        </is>
      </c>
      <c r="I218" s="15" t="inlineStr">
        <is>
          <t xml:space="preserve">Yes</t>
        </is>
      </c>
      <c r="J218" s="15" t="inlineStr">
        <is>
          <t xml:space="preserve">Yes</t>
        </is>
      </c>
      <c r="K218" s="15" t="inlineStr">
        <is>
          <t xml:space="preserve">No</t>
        </is>
      </c>
      <c r="L218" s="15" t="inlineStr">
        <is>
          <t xml:space="preserve">High</t>
        </is>
      </c>
      <c r="M218" s="13" t="inlineStr">
        <is>
          <t xml:space="preserve">Unresolved</t>
        </is>
      </c>
      <c r="N218" s="15" t="inlineStr">
        <is>
          <t xml:space="preserve">Poetry collection / no fixed event placement</t>
        </is>
      </c>
      <c r="O218" s="15"/>
      <c r="P218" s="15" t="inlineStr">
        <is>
          <t xml:space="preserve">Poetic Connection</t>
        </is>
      </c>
      <c r="Q218" s="15" t="inlineStr">
        <is>
          <t xml:space="preserve">SRC-TEXT-PSALMS; SRC-PSALMS-OVERVIEW; SRC-PSALM-SUPERSCRIPTIONS</t>
        </is>
      </c>
      <c r="R218" s="11" t="inlineStr">
        <is>
          <t xml:space="preserve">Needs Review</t>
        </is>
      </c>
      <c r="S218" s="15" t="inlineStr">
        <is>
          <t xml:space="preserve">Canonical-scope block for Psalms 91-95: Book IV opening collection.</t>
        </is>
      </c>
    </row>
    <row r="219" ht="34" customHeight="1">
      <c r="A219" s="15" t="inlineStr">
        <is>
          <t xml:space="preserve">v0.2</t>
        </is>
      </c>
      <c r="B219" s="15" t="inlineStr">
        <is>
          <t xml:space="preserve">Bible_Journey_Canon_Map_v0_2_Chronicles_Psalms_Job_1Kings.xlsx</t>
        </is>
      </c>
      <c r="C219" s="15" t="inlineStr">
        <is>
          <t xml:space="preserve">BLK-PSA-029-01</t>
        </is>
      </c>
      <c r="D219" s="15" t="inlineStr">
        <is>
          <t xml:space="preserve">CRS-PSA-029</t>
        </is>
      </c>
      <c r="E219" s="15">
        <v>1</v>
      </c>
      <c r="F219" s="15" t="inlineStr">
        <is>
          <t xml:space="preserve">Psalms</t>
        </is>
      </c>
      <c r="G219" s="15" t="inlineStr">
        <is>
          <t xml:space="preserve">96</t>
        </is>
      </c>
      <c r="H219" s="15" t="inlineStr">
        <is>
          <t xml:space="preserve">Poetic Connection</t>
        </is>
      </c>
      <c r="I219" s="15" t="inlineStr">
        <is>
          <t xml:space="preserve">Yes</t>
        </is>
      </c>
      <c r="J219" s="15" t="inlineStr">
        <is>
          <t xml:space="preserve">Yes</t>
        </is>
      </c>
      <c r="K219" s="15" t="inlineStr">
        <is>
          <t xml:space="preserve">No</t>
        </is>
      </c>
      <c r="L219" s="15" t="inlineStr">
        <is>
          <t xml:space="preserve">High</t>
        </is>
      </c>
      <c r="M219" s="15" t="inlineStr">
        <is>
          <t xml:space="preserve">High</t>
        </is>
      </c>
      <c r="N219" s="15" t="inlineStr">
        <is>
          <t xml:space="preserve">Textual reuse / linked liturgy</t>
        </is>
      </c>
      <c r="O219" s="15" t="inlineStr">
        <is>
          <t xml:space="preserve">CRS-1CH-012</t>
        </is>
      </c>
      <c r="P219" s="15" t="inlineStr">
        <is>
          <t xml:space="preserve">Poetic Connection</t>
        </is>
      </c>
      <c r="Q219" s="15" t="inlineStr">
        <is>
          <t xml:space="preserve">SRC-TEXT-PSALMS; SRC-PSALMS-OVERVIEW; SRC-PSALM-SUPERSCRIPTIONS</t>
        </is>
      </c>
      <c r="R219" s="11" t="inlineStr">
        <is>
          <t xml:space="preserve">Needs Review</t>
        </is>
      </c>
      <c r="S219" s="15" t="inlineStr">
        <is>
          <t xml:space="preserve">Canonical-scope block for Psalm 96: worship text reused in Chronicles' ark liturgy.</t>
        </is>
      </c>
    </row>
    <row r="220" ht="34" customHeight="1">
      <c r="A220" s="15" t="inlineStr">
        <is>
          <t xml:space="preserve">v0.2</t>
        </is>
      </c>
      <c r="B220" s="15" t="inlineStr">
        <is>
          <t xml:space="preserve">Bible_Journey_Canon_Map_v0_2_Chronicles_Psalms_Job_1Kings.xlsx</t>
        </is>
      </c>
      <c r="C220" s="15" t="inlineStr">
        <is>
          <t xml:space="preserve">BLK-PSA-030-01</t>
        </is>
      </c>
      <c r="D220" s="15" t="inlineStr">
        <is>
          <t xml:space="preserve">CRS-PSA-030</t>
        </is>
      </c>
      <c r="E220" s="15">
        <v>1</v>
      </c>
      <c r="F220" s="15" t="inlineStr">
        <is>
          <t xml:space="preserve">Psalms</t>
        </is>
      </c>
      <c r="G220" s="15" t="inlineStr">
        <is>
          <t xml:space="preserve">97-104</t>
        </is>
      </c>
      <c r="H220" s="15" t="inlineStr">
        <is>
          <t xml:space="preserve">Poetic Connection</t>
        </is>
      </c>
      <c r="I220" s="15" t="inlineStr">
        <is>
          <t xml:space="preserve">Yes</t>
        </is>
      </c>
      <c r="J220" s="15" t="inlineStr">
        <is>
          <t xml:space="preserve">Yes</t>
        </is>
      </c>
      <c r="K220" s="15" t="inlineStr">
        <is>
          <t xml:space="preserve">No</t>
        </is>
      </c>
      <c r="L220" s="15" t="inlineStr">
        <is>
          <t xml:space="preserve">High</t>
        </is>
      </c>
      <c r="M220" s="13" t="inlineStr">
        <is>
          <t xml:space="preserve">Unresolved</t>
        </is>
      </c>
      <c r="N220" s="15" t="inlineStr">
        <is>
          <t xml:space="preserve">Poetry collection / no fixed event placement</t>
        </is>
      </c>
      <c r="O220" s="15"/>
      <c r="P220" s="15" t="inlineStr">
        <is>
          <t xml:space="preserve">Poetic Connection</t>
        </is>
      </c>
      <c r="Q220" s="15" t="inlineStr">
        <is>
          <t xml:space="preserve">SRC-TEXT-PSALMS; SRC-PSALMS-OVERVIEW; SRC-PSALM-SUPERSCRIPTIONS</t>
        </is>
      </c>
      <c r="R220" s="11" t="inlineStr">
        <is>
          <t xml:space="preserve">Needs Review</t>
        </is>
      </c>
      <c r="S220" s="15" t="inlineStr">
        <is>
          <t xml:space="preserve">Canonical-scope block for Psalms 97-104: kingship, worship, and creation praise.</t>
        </is>
      </c>
    </row>
    <row r="221" ht="34" customHeight="1">
      <c r="A221" s="15" t="inlineStr">
        <is>
          <t xml:space="preserve">v0.2</t>
        </is>
      </c>
      <c r="B221" s="15" t="inlineStr">
        <is>
          <t xml:space="preserve">Bible_Journey_Canon_Map_v0_2_Chronicles_Psalms_Job_1Kings.xlsx</t>
        </is>
      </c>
      <c r="C221" s="15" t="inlineStr">
        <is>
          <t xml:space="preserve">BLK-PSA-031-01</t>
        </is>
      </c>
      <c r="D221" s="15" t="inlineStr">
        <is>
          <t xml:space="preserve">CRS-PSA-031</t>
        </is>
      </c>
      <c r="E221" s="15">
        <v>1</v>
      </c>
      <c r="F221" s="15" t="inlineStr">
        <is>
          <t xml:space="preserve">Psalms</t>
        </is>
      </c>
      <c r="G221" s="15" t="inlineStr">
        <is>
          <t xml:space="preserve">105</t>
        </is>
      </c>
      <c r="H221" s="15" t="inlineStr">
        <is>
          <t xml:space="preserve">Poetic Connection</t>
        </is>
      </c>
      <c r="I221" s="15" t="inlineStr">
        <is>
          <t xml:space="preserve">Yes</t>
        </is>
      </c>
      <c r="J221" s="15" t="inlineStr">
        <is>
          <t xml:space="preserve">Yes</t>
        </is>
      </c>
      <c r="K221" s="15" t="inlineStr">
        <is>
          <t xml:space="preserve">No</t>
        </is>
      </c>
      <c r="L221" s="15" t="inlineStr">
        <is>
          <t xml:space="preserve">High</t>
        </is>
      </c>
      <c r="M221" s="15" t="inlineStr">
        <is>
          <t xml:space="preserve">High</t>
        </is>
      </c>
      <c r="N221" s="15" t="inlineStr">
        <is>
          <t xml:space="preserve">Textual reuse / linked liturgy</t>
        </is>
      </c>
      <c r="O221" s="15" t="inlineStr">
        <is>
          <t xml:space="preserve">CRS-1CH-012</t>
        </is>
      </c>
      <c r="P221" s="15" t="inlineStr">
        <is>
          <t xml:space="preserve">Poetic Connection</t>
        </is>
      </c>
      <c r="Q221" s="15" t="inlineStr">
        <is>
          <t xml:space="preserve">SRC-TEXT-PSALMS; SRC-PSALMS-OVERVIEW; SRC-PSALM-SUPERSCRIPTIONS</t>
        </is>
      </c>
      <c r="R221" s="11" t="inlineStr">
        <is>
          <t xml:space="preserve">Needs Review</t>
        </is>
      </c>
      <c r="S221" s="15" t="inlineStr">
        <is>
          <t xml:space="preserve">Canonical-scope block for Psalm 105: covenant-history text reused in Chronicles' ark liturgy.</t>
        </is>
      </c>
    </row>
    <row r="222" ht="34" customHeight="1">
      <c r="A222" s="15" t="inlineStr">
        <is>
          <t xml:space="preserve">v0.2</t>
        </is>
      </c>
      <c r="B222" s="15" t="inlineStr">
        <is>
          <t xml:space="preserve">Bible_Journey_Canon_Map_v0_2_Chronicles_Psalms_Job_1Kings.xlsx</t>
        </is>
      </c>
      <c r="C222" s="15" t="inlineStr">
        <is>
          <t xml:space="preserve">BLK-PSA-032-01</t>
        </is>
      </c>
      <c r="D222" s="15" t="inlineStr">
        <is>
          <t xml:space="preserve">CRS-PSA-032</t>
        </is>
      </c>
      <c r="E222" s="15">
        <v>1</v>
      </c>
      <c r="F222" s="15" t="inlineStr">
        <is>
          <t xml:space="preserve">Psalms</t>
        </is>
      </c>
      <c r="G222" s="15" t="inlineStr">
        <is>
          <t xml:space="preserve">106</t>
        </is>
      </c>
      <c r="H222" s="15" t="inlineStr">
        <is>
          <t xml:space="preserve">Poetic Connection</t>
        </is>
      </c>
      <c r="I222" s="15" t="inlineStr">
        <is>
          <t xml:space="preserve">Yes</t>
        </is>
      </c>
      <c r="J222" s="15" t="inlineStr">
        <is>
          <t xml:space="preserve">Yes</t>
        </is>
      </c>
      <c r="K222" s="15" t="inlineStr">
        <is>
          <t xml:space="preserve">No</t>
        </is>
      </c>
      <c r="L222" s="15" t="inlineStr">
        <is>
          <t xml:space="preserve">High</t>
        </is>
      </c>
      <c r="M222" s="15" t="inlineStr">
        <is>
          <t xml:space="preserve">Probable</t>
        </is>
      </c>
      <c r="N222" s="15" t="inlineStr">
        <is>
          <t xml:space="preserve">Textual reuse / linked liturgy</t>
        </is>
      </c>
      <c r="O222" s="15" t="inlineStr">
        <is>
          <t xml:space="preserve">CRS-1CH-012</t>
        </is>
      </c>
      <c r="P222" s="15" t="inlineStr">
        <is>
          <t xml:space="preserve">Poetic Connection</t>
        </is>
      </c>
      <c r="Q222" s="15" t="inlineStr">
        <is>
          <t xml:space="preserve">SRC-TEXT-PSALMS; SRC-PSALMS-OVERVIEW; SRC-PSALM-SUPERSCRIPTIONS</t>
        </is>
      </c>
      <c r="R222" s="11" t="inlineStr">
        <is>
          <t xml:space="preserve">Needs Review</t>
        </is>
      </c>
      <c r="S222" s="15" t="inlineStr">
        <is>
          <t xml:space="preserve">Canonical-scope block for Psalm 106: thanksgiving and covenant memory linked to Chronicles' liturgy.</t>
        </is>
      </c>
    </row>
    <row r="223" ht="34" customHeight="1">
      <c r="A223" s="15" t="inlineStr">
        <is>
          <t xml:space="preserve">v0.2</t>
        </is>
      </c>
      <c r="B223" s="15" t="inlineStr">
        <is>
          <t xml:space="preserve">Bible_Journey_Canon_Map_v0_2_Chronicles_Psalms_Job_1Kings.xlsx</t>
        </is>
      </c>
      <c r="C223" s="15" t="inlineStr">
        <is>
          <t xml:space="preserve">BLK-PSA-033-01</t>
        </is>
      </c>
      <c r="D223" s="15" t="inlineStr">
        <is>
          <t xml:space="preserve">CRS-PSA-033</t>
        </is>
      </c>
      <c r="E223" s="15">
        <v>1</v>
      </c>
      <c r="F223" s="15" t="inlineStr">
        <is>
          <t xml:space="preserve">Psalms</t>
        </is>
      </c>
      <c r="G223" s="15" t="inlineStr">
        <is>
          <t xml:space="preserve">107-121</t>
        </is>
      </c>
      <c r="H223" s="15" t="inlineStr">
        <is>
          <t xml:space="preserve">Poetic Connection</t>
        </is>
      </c>
      <c r="I223" s="15" t="inlineStr">
        <is>
          <t xml:space="preserve">Yes</t>
        </is>
      </c>
      <c r="J223" s="15" t="inlineStr">
        <is>
          <t xml:space="preserve">Yes</t>
        </is>
      </c>
      <c r="K223" s="15" t="inlineStr">
        <is>
          <t xml:space="preserve">No</t>
        </is>
      </c>
      <c r="L223" s="15" t="inlineStr">
        <is>
          <t xml:space="preserve">High</t>
        </is>
      </c>
      <c r="M223" s="13" t="inlineStr">
        <is>
          <t xml:space="preserve">Unresolved</t>
        </is>
      </c>
      <c r="N223" s="15" t="inlineStr">
        <is>
          <t xml:space="preserve">Poetry collection / no fixed event placement</t>
        </is>
      </c>
      <c r="O223" s="15"/>
      <c r="P223" s="15" t="inlineStr">
        <is>
          <t xml:space="preserve">Poetic Connection</t>
        </is>
      </c>
      <c r="Q223" s="15" t="inlineStr">
        <is>
          <t xml:space="preserve">SRC-TEXT-PSALMS; SRC-PSALMS-OVERVIEW; SRC-PSALM-SUPERSCRIPTIONS</t>
        </is>
      </c>
      <c r="R223" s="11" t="inlineStr">
        <is>
          <t xml:space="preserve">Needs Review</t>
        </is>
      </c>
      <c r="S223" s="15" t="inlineStr">
        <is>
          <t xml:space="preserve">Canonical-scope block for Psalms 107-121: restoration, royal, and pilgrimage collection.</t>
        </is>
      </c>
    </row>
    <row r="224" ht="34" customHeight="1">
      <c r="A224" s="15" t="inlineStr">
        <is>
          <t xml:space="preserve">v0.2</t>
        </is>
      </c>
      <c r="B224" s="15" t="inlineStr">
        <is>
          <t xml:space="preserve">Bible_Journey_Canon_Map_v0_2_Chronicles_Psalms_Job_1Kings.xlsx</t>
        </is>
      </c>
      <c r="C224" s="15" t="inlineStr">
        <is>
          <t xml:space="preserve">BLK-PSA-034-01</t>
        </is>
      </c>
      <c r="D224" s="15" t="inlineStr">
        <is>
          <t xml:space="preserve">CRS-PSA-034</t>
        </is>
      </c>
      <c r="E224" s="15">
        <v>1</v>
      </c>
      <c r="F224" s="15" t="inlineStr">
        <is>
          <t xml:space="preserve">Psalms</t>
        </is>
      </c>
      <c r="G224" s="15" t="inlineStr">
        <is>
          <t xml:space="preserve">122</t>
        </is>
      </c>
      <c r="H224" s="15" t="inlineStr">
        <is>
          <t xml:space="preserve">Poetic Connection</t>
        </is>
      </c>
      <c r="I224" s="15" t="inlineStr">
        <is>
          <t xml:space="preserve">Yes</t>
        </is>
      </c>
      <c r="J224" s="15" t="inlineStr">
        <is>
          <t xml:space="preserve">Yes</t>
        </is>
      </c>
      <c r="K224" s="15" t="inlineStr">
        <is>
          <t xml:space="preserve">No</t>
        </is>
      </c>
      <c r="L224" s="15" t="inlineStr">
        <is>
          <t xml:space="preserve">High</t>
        </is>
      </c>
      <c r="M224" s="15" t="inlineStr">
        <is>
          <t xml:space="preserve">Debated</t>
        </is>
      </c>
      <c r="N224" s="15" t="inlineStr">
        <is>
          <t xml:space="preserve">Poetry connection / debated historical link</t>
        </is>
      </c>
      <c r="O224" s="15"/>
      <c r="P224" s="15" t="inlineStr">
        <is>
          <t xml:space="preserve">Poetic Connection</t>
        </is>
      </c>
      <c r="Q224" s="15" t="inlineStr">
        <is>
          <t xml:space="preserve">SRC-TEXT-PSALMS; SRC-PSALMS-OVERVIEW; SRC-PSALM-SUPERSCRIPTIONS</t>
        </is>
      </c>
      <c r="R224" s="11" t="inlineStr">
        <is>
          <t xml:space="preserve">Needs Review</t>
        </is>
      </c>
      <c r="S224" s="15" t="inlineStr">
        <is>
          <t xml:space="preserve">Canonical-scope block for Psalm 122: a Song of Ascents associated with David.</t>
        </is>
      </c>
    </row>
    <row r="225" ht="34" customHeight="1">
      <c r="A225" s="15" t="inlineStr">
        <is>
          <t xml:space="preserve">v0.2</t>
        </is>
      </c>
      <c r="B225" s="15" t="inlineStr">
        <is>
          <t xml:space="preserve">Bible_Journey_Canon_Map_v0_2_Chronicles_Psalms_Job_1Kings.xlsx</t>
        </is>
      </c>
      <c r="C225" s="15" t="inlineStr">
        <is>
          <t xml:space="preserve">BLK-PSA-035-01</t>
        </is>
      </c>
      <c r="D225" s="15" t="inlineStr">
        <is>
          <t xml:space="preserve">CRS-PSA-035</t>
        </is>
      </c>
      <c r="E225" s="15">
        <v>1</v>
      </c>
      <c r="F225" s="15" t="inlineStr">
        <is>
          <t xml:space="preserve">Psalms</t>
        </is>
      </c>
      <c r="G225" s="15" t="inlineStr">
        <is>
          <t xml:space="preserve">123-126</t>
        </is>
      </c>
      <c r="H225" s="15" t="inlineStr">
        <is>
          <t xml:space="preserve">Poetic Connection</t>
        </is>
      </c>
      <c r="I225" s="15" t="inlineStr">
        <is>
          <t xml:space="preserve">Yes</t>
        </is>
      </c>
      <c r="J225" s="15" t="inlineStr">
        <is>
          <t xml:space="preserve">Yes</t>
        </is>
      </c>
      <c r="K225" s="15" t="inlineStr">
        <is>
          <t xml:space="preserve">No</t>
        </is>
      </c>
      <c r="L225" s="15" t="inlineStr">
        <is>
          <t xml:space="preserve">High</t>
        </is>
      </c>
      <c r="M225" s="13" t="inlineStr">
        <is>
          <t xml:space="preserve">Unresolved</t>
        </is>
      </c>
      <c r="N225" s="15" t="inlineStr">
        <is>
          <t xml:space="preserve">Poetry collection / no fixed event placement</t>
        </is>
      </c>
      <c r="O225" s="15"/>
      <c r="P225" s="15" t="inlineStr">
        <is>
          <t xml:space="preserve">Poetic Connection</t>
        </is>
      </c>
      <c r="Q225" s="15" t="inlineStr">
        <is>
          <t xml:space="preserve">SRC-TEXT-PSALMS; SRC-PSALMS-OVERVIEW; SRC-PSALM-SUPERSCRIPTIONS</t>
        </is>
      </c>
      <c r="R225" s="11" t="inlineStr">
        <is>
          <t xml:space="preserve">Needs Review</t>
        </is>
      </c>
      <c r="S225" s="15" t="inlineStr">
        <is>
          <t xml:space="preserve">Canonical-scope block for Psalms 123-126: Songs of Ascents.</t>
        </is>
      </c>
    </row>
    <row r="226" ht="34" customHeight="1">
      <c r="A226" s="15" t="inlineStr">
        <is>
          <t xml:space="preserve">v0.2</t>
        </is>
      </c>
      <c r="B226" s="15" t="inlineStr">
        <is>
          <t xml:space="preserve">Bible_Journey_Canon_Map_v0_2_Chronicles_Psalms_Job_1Kings.xlsx</t>
        </is>
      </c>
      <c r="C226" s="15" t="inlineStr">
        <is>
          <t xml:space="preserve">BLK-PSA-036-01</t>
        </is>
      </c>
      <c r="D226" s="15" t="inlineStr">
        <is>
          <t xml:space="preserve">CRS-PSA-036</t>
        </is>
      </c>
      <c r="E226" s="15">
        <v>1</v>
      </c>
      <c r="F226" s="15" t="inlineStr">
        <is>
          <t xml:space="preserve">Psalms</t>
        </is>
      </c>
      <c r="G226" s="15" t="inlineStr">
        <is>
          <t xml:space="preserve">127</t>
        </is>
      </c>
      <c r="H226" s="15" t="inlineStr">
        <is>
          <t xml:space="preserve">Poetic Connection</t>
        </is>
      </c>
      <c r="I226" s="15" t="inlineStr">
        <is>
          <t xml:space="preserve">Yes</t>
        </is>
      </c>
      <c r="J226" s="15" t="inlineStr">
        <is>
          <t xml:space="preserve">Yes</t>
        </is>
      </c>
      <c r="K226" s="15" t="inlineStr">
        <is>
          <t xml:space="preserve">No</t>
        </is>
      </c>
      <c r="L226" s="15" t="inlineStr">
        <is>
          <t xml:space="preserve">High</t>
        </is>
      </c>
      <c r="M226" s="15" t="inlineStr">
        <is>
          <t xml:space="preserve">Probable</t>
        </is>
      </c>
      <c r="N226" s="15" t="inlineStr">
        <is>
          <t xml:space="preserve">Solomonic window / no fixed event placement</t>
        </is>
      </c>
      <c r="O226" s="15" t="inlineStr">
        <is>
          <t xml:space="preserve">CRS-1KG-005</t>
        </is>
      </c>
      <c r="P226" s="15" t="inlineStr">
        <is>
          <t xml:space="preserve">Poetic Connection</t>
        </is>
      </c>
      <c r="Q226" s="15" t="inlineStr">
        <is>
          <t xml:space="preserve">SRC-TEXT-PSALMS; SRC-PSALMS-OVERVIEW; SRC-PSALM-SUPERSCRIPTIONS</t>
        </is>
      </c>
      <c r="R226" s="11" t="inlineStr">
        <is>
          <t xml:space="preserve">Needs Review</t>
        </is>
      </c>
      <c r="S226" s="15" t="inlineStr">
        <is>
          <t xml:space="preserve">Canonical-scope block for Psalm 127: associated with Solomon.</t>
        </is>
      </c>
    </row>
    <row r="227" ht="34" customHeight="1">
      <c r="A227" s="15" t="inlineStr">
        <is>
          <t xml:space="preserve">v0.2</t>
        </is>
      </c>
      <c r="B227" s="15" t="inlineStr">
        <is>
          <t xml:space="preserve">Bible_Journey_Canon_Map_v0_2_Chronicles_Psalms_Job_1Kings.xlsx</t>
        </is>
      </c>
      <c r="C227" s="15" t="inlineStr">
        <is>
          <t xml:space="preserve">BLK-PSA-037-01</t>
        </is>
      </c>
      <c r="D227" s="15" t="inlineStr">
        <is>
          <t xml:space="preserve">CRS-PSA-037</t>
        </is>
      </c>
      <c r="E227" s="15">
        <v>1</v>
      </c>
      <c r="F227" s="15" t="inlineStr">
        <is>
          <t xml:space="preserve">Psalms</t>
        </is>
      </c>
      <c r="G227" s="15" t="inlineStr">
        <is>
          <t xml:space="preserve">128-130</t>
        </is>
      </c>
      <c r="H227" s="15" t="inlineStr">
        <is>
          <t xml:space="preserve">Poetic Connection</t>
        </is>
      </c>
      <c r="I227" s="15" t="inlineStr">
        <is>
          <t xml:space="preserve">Yes</t>
        </is>
      </c>
      <c r="J227" s="15" t="inlineStr">
        <is>
          <t xml:space="preserve">Yes</t>
        </is>
      </c>
      <c r="K227" s="15" t="inlineStr">
        <is>
          <t xml:space="preserve">No</t>
        </is>
      </c>
      <c r="L227" s="15" t="inlineStr">
        <is>
          <t xml:space="preserve">High</t>
        </is>
      </c>
      <c r="M227" s="13" t="inlineStr">
        <is>
          <t xml:space="preserve">Unresolved</t>
        </is>
      </c>
      <c r="N227" s="15" t="inlineStr">
        <is>
          <t xml:space="preserve">Poetry collection / no fixed event placement</t>
        </is>
      </c>
      <c r="O227" s="15"/>
      <c r="P227" s="15" t="inlineStr">
        <is>
          <t xml:space="preserve">Poetic Connection</t>
        </is>
      </c>
      <c r="Q227" s="15" t="inlineStr">
        <is>
          <t xml:space="preserve">SRC-TEXT-PSALMS; SRC-PSALMS-OVERVIEW; SRC-PSALM-SUPERSCRIPTIONS</t>
        </is>
      </c>
      <c r="R227" s="11" t="inlineStr">
        <is>
          <t xml:space="preserve">Needs Review</t>
        </is>
      </c>
      <c r="S227" s="15" t="inlineStr">
        <is>
          <t xml:space="preserve">Canonical-scope block for Psalms 128-130: Songs of Ascents.</t>
        </is>
      </c>
    </row>
    <row r="228" ht="34" customHeight="1">
      <c r="A228" s="15" t="inlineStr">
        <is>
          <t xml:space="preserve">v0.2</t>
        </is>
      </c>
      <c r="B228" s="15" t="inlineStr">
        <is>
          <t xml:space="preserve">Bible_Journey_Canon_Map_v0_2_Chronicles_Psalms_Job_1Kings.xlsx</t>
        </is>
      </c>
      <c r="C228" s="15" t="inlineStr">
        <is>
          <t xml:space="preserve">BLK-PSA-038-01</t>
        </is>
      </c>
      <c r="D228" s="15" t="inlineStr">
        <is>
          <t xml:space="preserve">CRS-PSA-038</t>
        </is>
      </c>
      <c r="E228" s="15">
        <v>1</v>
      </c>
      <c r="F228" s="15" t="inlineStr">
        <is>
          <t xml:space="preserve">Psalms</t>
        </is>
      </c>
      <c r="G228" s="15" t="inlineStr">
        <is>
          <t xml:space="preserve">131</t>
        </is>
      </c>
      <c r="H228" s="15" t="inlineStr">
        <is>
          <t xml:space="preserve">Poetic Connection</t>
        </is>
      </c>
      <c r="I228" s="15" t="inlineStr">
        <is>
          <t xml:space="preserve">Yes</t>
        </is>
      </c>
      <c r="J228" s="15" t="inlineStr">
        <is>
          <t xml:space="preserve">Yes</t>
        </is>
      </c>
      <c r="K228" s="15" t="inlineStr">
        <is>
          <t xml:space="preserve">No</t>
        </is>
      </c>
      <c r="L228" s="15" t="inlineStr">
        <is>
          <t xml:space="preserve">High</t>
        </is>
      </c>
      <c r="M228" s="15" t="inlineStr">
        <is>
          <t xml:space="preserve">Debated</t>
        </is>
      </c>
      <c r="N228" s="15" t="inlineStr">
        <is>
          <t xml:space="preserve">Poetry connection / debated historical link</t>
        </is>
      </c>
      <c r="O228" s="15"/>
      <c r="P228" s="15" t="inlineStr">
        <is>
          <t xml:space="preserve">Poetic Connection</t>
        </is>
      </c>
      <c r="Q228" s="15" t="inlineStr">
        <is>
          <t xml:space="preserve">SRC-TEXT-PSALMS; SRC-PSALMS-OVERVIEW; SRC-PSALM-SUPERSCRIPTIONS</t>
        </is>
      </c>
      <c r="R228" s="11" t="inlineStr">
        <is>
          <t xml:space="preserve">Needs Review</t>
        </is>
      </c>
      <c r="S228" s="15" t="inlineStr">
        <is>
          <t xml:space="preserve">Canonical-scope block for Psalm 131: a Song of Ascents associated with David.</t>
        </is>
      </c>
    </row>
    <row r="229" ht="34" customHeight="1">
      <c r="A229" s="15" t="inlineStr">
        <is>
          <t xml:space="preserve">v0.2</t>
        </is>
      </c>
      <c r="B229" s="15" t="inlineStr">
        <is>
          <t xml:space="preserve">Bible_Journey_Canon_Map_v0_2_Chronicles_Psalms_Job_1Kings.xlsx</t>
        </is>
      </c>
      <c r="C229" s="15" t="inlineStr">
        <is>
          <t xml:space="preserve">BLK-PSA-039-01</t>
        </is>
      </c>
      <c r="D229" s="15" t="inlineStr">
        <is>
          <t xml:space="preserve">CRS-PSA-039</t>
        </is>
      </c>
      <c r="E229" s="15">
        <v>1</v>
      </c>
      <c r="F229" s="15" t="inlineStr">
        <is>
          <t xml:space="preserve">Psalms</t>
        </is>
      </c>
      <c r="G229" s="15" t="inlineStr">
        <is>
          <t xml:space="preserve">132</t>
        </is>
      </c>
      <c r="H229" s="15" t="inlineStr">
        <is>
          <t xml:space="preserve">Poetic Connection</t>
        </is>
      </c>
      <c r="I229" s="15" t="inlineStr">
        <is>
          <t xml:space="preserve">Yes</t>
        </is>
      </c>
      <c r="J229" s="15" t="inlineStr">
        <is>
          <t xml:space="preserve">Yes</t>
        </is>
      </c>
      <c r="K229" s="15" t="inlineStr">
        <is>
          <t xml:space="preserve">No</t>
        </is>
      </c>
      <c r="L229" s="15" t="inlineStr">
        <is>
          <t xml:space="preserve">High</t>
        </is>
      </c>
      <c r="M229" s="13" t="inlineStr">
        <is>
          <t xml:space="preserve">Unresolved</t>
        </is>
      </c>
      <c r="N229" s="15" t="inlineStr">
        <is>
          <t xml:space="preserve">Poetry connection / broad Davidic-temple window</t>
        </is>
      </c>
      <c r="O229" s="15"/>
      <c r="P229" s="15" t="inlineStr">
        <is>
          <t xml:space="preserve">Poetic Connection</t>
        </is>
      </c>
      <c r="Q229" s="15" t="inlineStr">
        <is>
          <t xml:space="preserve">SRC-TEXT-PSALMS; SRC-PSALMS-OVERVIEW; SRC-PSALM-SUPERSCRIPTIONS</t>
        </is>
      </c>
      <c r="R229" s="11" t="inlineStr">
        <is>
          <t xml:space="preserve">Needs Review</t>
        </is>
      </c>
      <c r="S229" s="15" t="inlineStr">
        <is>
          <t xml:space="preserve">Canonical-scope block for Psalm 132: Davidic covenant and Zion tradition.</t>
        </is>
      </c>
    </row>
    <row r="230" ht="34" customHeight="1">
      <c r="A230" s="15" t="inlineStr">
        <is>
          <t xml:space="preserve">v0.2</t>
        </is>
      </c>
      <c r="B230" s="15" t="inlineStr">
        <is>
          <t xml:space="preserve">Bible_Journey_Canon_Map_v0_2_Chronicles_Psalms_Job_1Kings.xlsx</t>
        </is>
      </c>
      <c r="C230" s="15" t="inlineStr">
        <is>
          <t xml:space="preserve">BLK-PSA-040-01</t>
        </is>
      </c>
      <c r="D230" s="15" t="inlineStr">
        <is>
          <t xml:space="preserve">CRS-PSA-040</t>
        </is>
      </c>
      <c r="E230" s="15">
        <v>1</v>
      </c>
      <c r="F230" s="15" t="inlineStr">
        <is>
          <t xml:space="preserve">Psalms</t>
        </is>
      </c>
      <c r="G230" s="15" t="inlineStr">
        <is>
          <t xml:space="preserve">133</t>
        </is>
      </c>
      <c r="H230" s="15" t="inlineStr">
        <is>
          <t xml:space="preserve">Poetic Connection</t>
        </is>
      </c>
      <c r="I230" s="15" t="inlineStr">
        <is>
          <t xml:space="preserve">Yes</t>
        </is>
      </c>
      <c r="J230" s="15" t="inlineStr">
        <is>
          <t xml:space="preserve">Yes</t>
        </is>
      </c>
      <c r="K230" s="15" t="inlineStr">
        <is>
          <t xml:space="preserve">No</t>
        </is>
      </c>
      <c r="L230" s="15" t="inlineStr">
        <is>
          <t xml:space="preserve">High</t>
        </is>
      </c>
      <c r="M230" s="15" t="inlineStr">
        <is>
          <t xml:space="preserve">Debated</t>
        </is>
      </c>
      <c r="N230" s="15" t="inlineStr">
        <is>
          <t xml:space="preserve">Poetry connection / debated historical link</t>
        </is>
      </c>
      <c r="O230" s="15"/>
      <c r="P230" s="15" t="inlineStr">
        <is>
          <t xml:space="preserve">Poetic Connection</t>
        </is>
      </c>
      <c r="Q230" s="15" t="inlineStr">
        <is>
          <t xml:space="preserve">SRC-TEXT-PSALMS; SRC-PSALMS-OVERVIEW; SRC-PSALM-SUPERSCRIPTIONS</t>
        </is>
      </c>
      <c r="R230" s="11" t="inlineStr">
        <is>
          <t xml:space="preserve">Needs Review</t>
        </is>
      </c>
      <c r="S230" s="15" t="inlineStr">
        <is>
          <t xml:space="preserve">Canonical-scope block for Psalm 133: a Song of Ascents associated with David.</t>
        </is>
      </c>
    </row>
    <row r="231" ht="34" customHeight="1">
      <c r="A231" s="15" t="inlineStr">
        <is>
          <t xml:space="preserve">v0.2</t>
        </is>
      </c>
      <c r="B231" s="15" t="inlineStr">
        <is>
          <t xml:space="preserve">Bible_Journey_Canon_Map_v0_2_Chronicles_Psalms_Job_1Kings.xlsx</t>
        </is>
      </c>
      <c r="C231" s="15" t="inlineStr">
        <is>
          <t xml:space="preserve">BLK-PSA-041-01</t>
        </is>
      </c>
      <c r="D231" s="15" t="inlineStr">
        <is>
          <t xml:space="preserve">CRS-PSA-041</t>
        </is>
      </c>
      <c r="E231" s="15">
        <v>1</v>
      </c>
      <c r="F231" s="15" t="inlineStr">
        <is>
          <t xml:space="preserve">Psalms</t>
        </is>
      </c>
      <c r="G231" s="15" t="inlineStr">
        <is>
          <t xml:space="preserve">134-137</t>
        </is>
      </c>
      <c r="H231" s="15" t="inlineStr">
        <is>
          <t xml:space="preserve">Poetic Connection</t>
        </is>
      </c>
      <c r="I231" s="15" t="inlineStr">
        <is>
          <t xml:space="preserve">Yes</t>
        </is>
      </c>
      <c r="J231" s="15" t="inlineStr">
        <is>
          <t xml:space="preserve">Yes</t>
        </is>
      </c>
      <c r="K231" s="15" t="inlineStr">
        <is>
          <t xml:space="preserve">No</t>
        </is>
      </c>
      <c r="L231" s="15" t="inlineStr">
        <is>
          <t xml:space="preserve">High</t>
        </is>
      </c>
      <c r="M231" s="13" t="inlineStr">
        <is>
          <t xml:space="preserve">Unresolved</t>
        </is>
      </c>
      <c r="N231" s="15" t="inlineStr">
        <is>
          <t xml:space="preserve">Poetry collection / no fixed event placement</t>
        </is>
      </c>
      <c r="O231" s="15"/>
      <c r="P231" s="15" t="inlineStr">
        <is>
          <t xml:space="preserve">Poetic Connection</t>
        </is>
      </c>
      <c r="Q231" s="15" t="inlineStr">
        <is>
          <t xml:space="preserve">SRC-TEXT-PSALMS; SRC-PSALMS-OVERVIEW; SRC-PSALM-SUPERSCRIPTIONS</t>
        </is>
      </c>
      <c r="R231" s="11" t="inlineStr">
        <is>
          <t xml:space="preserve">Needs Review</t>
        </is>
      </c>
      <c r="S231" s="15" t="inlineStr">
        <is>
          <t xml:space="preserve">Canonical-scope block for Psalms 134-137: worship, memory, and exile-facing material.</t>
        </is>
      </c>
    </row>
    <row r="232" ht="34" customHeight="1">
      <c r="A232" s="15" t="inlineStr">
        <is>
          <t xml:space="preserve">v0.2</t>
        </is>
      </c>
      <c r="B232" s="15" t="inlineStr">
        <is>
          <t xml:space="preserve">Bible_Journey_Canon_Map_v0_2_Chronicles_Psalms_Job_1Kings.xlsx</t>
        </is>
      </c>
      <c r="C232" s="15" t="inlineStr">
        <is>
          <t xml:space="preserve">BLK-PSA-042-01</t>
        </is>
      </c>
      <c r="D232" s="15" t="inlineStr">
        <is>
          <t xml:space="preserve">CRS-PSA-042</t>
        </is>
      </c>
      <c r="E232" s="15">
        <v>1</v>
      </c>
      <c r="F232" s="15" t="inlineStr">
        <is>
          <t xml:space="preserve">Psalms</t>
        </is>
      </c>
      <c r="G232" s="15" t="inlineStr">
        <is>
          <t xml:space="preserve">138-145</t>
        </is>
      </c>
      <c r="H232" s="15" t="inlineStr">
        <is>
          <t xml:space="preserve">Poetic Connection</t>
        </is>
      </c>
      <c r="I232" s="15" t="inlineStr">
        <is>
          <t xml:space="preserve">Yes</t>
        </is>
      </c>
      <c r="J232" s="15" t="inlineStr">
        <is>
          <t xml:space="preserve">Yes</t>
        </is>
      </c>
      <c r="K232" s="15" t="inlineStr">
        <is>
          <t xml:space="preserve">No</t>
        </is>
      </c>
      <c r="L232" s="15" t="inlineStr">
        <is>
          <t xml:space="preserve">High</t>
        </is>
      </c>
      <c r="M232" s="13" t="inlineStr">
        <is>
          <t xml:space="preserve">Unresolved</t>
        </is>
      </c>
      <c r="N232" s="15" t="inlineStr">
        <is>
          <t xml:space="preserve">Poetry collection / broad Davidic window</t>
        </is>
      </c>
      <c r="O232" s="15"/>
      <c r="P232" s="15" t="inlineStr">
        <is>
          <t xml:space="preserve">Poetic Connection</t>
        </is>
      </c>
      <c r="Q232" s="15" t="inlineStr">
        <is>
          <t xml:space="preserve">SRC-TEXT-PSALMS; SRC-PSALMS-OVERVIEW; SRC-PSALM-SUPERSCRIPTIONS</t>
        </is>
      </c>
      <c r="R232" s="11" t="inlineStr">
        <is>
          <t xml:space="preserve">Needs Review</t>
        </is>
      </c>
      <c r="S232" s="15" t="inlineStr">
        <is>
          <t xml:space="preserve">Canonical-scope block for Psalms 138-145: Davidic prayers and praise.</t>
        </is>
      </c>
    </row>
    <row r="233" ht="34" customHeight="1">
      <c r="A233" s="15" t="inlineStr">
        <is>
          <t xml:space="preserve">v0.2</t>
        </is>
      </c>
      <c r="B233" s="15" t="inlineStr">
        <is>
          <t xml:space="preserve">Bible_Journey_Canon_Map_v0_2_Chronicles_Psalms_Job_1Kings.xlsx</t>
        </is>
      </c>
      <c r="C233" s="15" t="inlineStr">
        <is>
          <t xml:space="preserve">BLK-PSA-043-01</t>
        </is>
      </c>
      <c r="D233" s="15" t="inlineStr">
        <is>
          <t xml:space="preserve">CRS-PSA-043</t>
        </is>
      </c>
      <c r="E233" s="15">
        <v>1</v>
      </c>
      <c r="F233" s="15" t="inlineStr">
        <is>
          <t xml:space="preserve">Psalms</t>
        </is>
      </c>
      <c r="G233" s="15" t="inlineStr">
        <is>
          <t xml:space="preserve">146-150</t>
        </is>
      </c>
      <c r="H233" s="15" t="inlineStr">
        <is>
          <t xml:space="preserve">Poetic Connection</t>
        </is>
      </c>
      <c r="I233" s="15" t="inlineStr">
        <is>
          <t xml:space="preserve">Yes</t>
        </is>
      </c>
      <c r="J233" s="15" t="inlineStr">
        <is>
          <t xml:space="preserve">Yes</t>
        </is>
      </c>
      <c r="K233" s="15" t="inlineStr">
        <is>
          <t xml:space="preserve">No</t>
        </is>
      </c>
      <c r="L233" s="15" t="inlineStr">
        <is>
          <t xml:space="preserve">High</t>
        </is>
      </c>
      <c r="M233" s="13" t="inlineStr">
        <is>
          <t xml:space="preserve">Unresolved</t>
        </is>
      </c>
      <c r="N233" s="15" t="inlineStr">
        <is>
          <t xml:space="preserve">Poetry collection / no fixed event placement</t>
        </is>
      </c>
      <c r="O233" s="15"/>
      <c r="P233" s="15" t="inlineStr">
        <is>
          <t xml:space="preserve">Poetic Connection</t>
        </is>
      </c>
      <c r="Q233" s="15" t="inlineStr">
        <is>
          <t xml:space="preserve">SRC-TEXT-PSALMS; SRC-PSALMS-OVERVIEW; SRC-PSALM-SUPERSCRIPTIONS</t>
        </is>
      </c>
      <c r="R233" s="11" t="inlineStr">
        <is>
          <t xml:space="preserve">Needs Review</t>
        </is>
      </c>
      <c r="S233" s="15" t="inlineStr">
        <is>
          <t xml:space="preserve">Canonical-scope block for Psalms 146-150: final praise collection.</t>
        </is>
      </c>
    </row>
    <row r="234" ht="34" customHeight="1">
      <c r="A234" s="15" t="inlineStr">
        <is>
          <t xml:space="preserve">v0.3</t>
        </is>
      </c>
      <c r="B234" s="15" t="inlineStr">
        <is>
          <t xml:space="preserve">Bible_Journey_Canon_Map_v0_3_2Chronicles_Wisdom_2Kings.xlsx</t>
        </is>
      </c>
      <c r="C234" s="15" t="inlineStr">
        <is>
          <t xml:space="preserve">BLK-BR-2CH-001-01</t>
        </is>
      </c>
      <c r="D234" s="15" t="inlineStr">
        <is>
          <t xml:space="preserve">CRS-BR-2CH-001</t>
        </is>
      </c>
      <c r="E234" s="15">
        <v>1</v>
      </c>
      <c r="F234" s="15" t="inlineStr">
        <is>
          <t xml:space="preserve">2 Chronicles</t>
        </is>
      </c>
      <c r="G234" s="15" t="inlineStr">
        <is>
          <t xml:space="preserve">2 Chronicles 1</t>
        </is>
      </c>
      <c r="H234" s="15" t="inlineStr">
        <is>
          <t xml:space="preserve">Complementary Account</t>
        </is>
      </c>
      <c r="I234" s="15" t="inlineStr">
        <is>
          <t xml:space="preserve">Yes</t>
        </is>
      </c>
      <c r="J234" s="15" t="inlineStr">
        <is>
          <t xml:space="preserve">Yes</t>
        </is>
      </c>
      <c r="K234" s="15" t="inlineStr">
        <is>
          <t xml:space="preserve">No</t>
        </is>
      </c>
      <c r="L234" s="15" t="inlineStr">
        <is>
          <t xml:space="preserve">High</t>
        </is>
      </c>
      <c r="M234" s="15" t="inlineStr">
        <is>
          <t xml:space="preserve">High</t>
        </is>
      </c>
      <c r="N234" s="15" t="inlineStr">
        <is>
          <t xml:space="preserve">Attach to v0.2 event</t>
        </is>
      </c>
      <c r="O234" s="15" t="inlineStr">
        <is>
          <t xml:space="preserve">Canon Map v0.2 / 1 Kings 3</t>
        </is>
      </c>
      <c r="P234" s="15" t="inlineStr">
        <is>
          <t xml:space="preserve">Related Account</t>
        </is>
      </c>
      <c r="Q234" s="15" t="inlineStr">
        <is>
          <t xml:space="preserve">SRC-CANON-TEXT; SRC-CHRONICLES-OVERVIEW; SRC-KINGS-OVERVIEW</t>
        </is>
      </c>
      <c r="R234" s="11" t="inlineStr">
        <is>
          <t xml:space="preserve">Needs Review</t>
        </is>
      </c>
      <c r="S234" s="15" t="inlineStr">
        <is>
          <t xml:space="preserve">Chronicles retells Solomon's worship at Gibeon and request for wisdom with its own framing.</t>
        </is>
      </c>
    </row>
    <row r="235" ht="34" customHeight="1">
      <c r="A235" s="15" t="inlineStr">
        <is>
          <t xml:space="preserve">v0.3</t>
        </is>
      </c>
      <c r="B235" s="15" t="inlineStr">
        <is>
          <t xml:space="preserve">Bible_Journey_Canon_Map_v0_3_2Chronicles_Wisdom_2Kings.xlsx</t>
        </is>
      </c>
      <c r="C235" s="15" t="inlineStr">
        <is>
          <t xml:space="preserve">BLK-BR-2CH-002-01</t>
        </is>
      </c>
      <c r="D235" s="15" t="inlineStr">
        <is>
          <t xml:space="preserve">CRS-BR-2CH-002</t>
        </is>
      </c>
      <c r="E235" s="15">
        <v>1</v>
      </c>
      <c r="F235" s="15" t="inlineStr">
        <is>
          <t xml:space="preserve">2 Chronicles</t>
        </is>
      </c>
      <c r="G235" s="15" t="inlineStr">
        <is>
          <t xml:space="preserve">2 Chronicles 2-4</t>
        </is>
      </c>
      <c r="H235" s="15" t="inlineStr">
        <is>
          <t xml:space="preserve">Complementary Account</t>
        </is>
      </c>
      <c r="I235" s="15" t="inlineStr">
        <is>
          <t xml:space="preserve">Yes</t>
        </is>
      </c>
      <c r="J235" s="15" t="inlineStr">
        <is>
          <t xml:space="preserve">Yes</t>
        </is>
      </c>
      <c r="K235" s="15" t="inlineStr">
        <is>
          <t xml:space="preserve">No</t>
        </is>
      </c>
      <c r="L235" s="15" t="inlineStr">
        <is>
          <t xml:space="preserve">High</t>
        </is>
      </c>
      <c r="M235" s="15" t="inlineStr">
        <is>
          <t xml:space="preserve">High</t>
        </is>
      </c>
      <c r="N235" s="15" t="inlineStr">
        <is>
          <t xml:space="preserve">Attach to v0.2 event</t>
        </is>
      </c>
      <c r="O235" s="15" t="inlineStr">
        <is>
          <t xml:space="preserve">Canon Map v0.2 / 1 Kings 5-7</t>
        </is>
      </c>
      <c r="P235" s="15" t="inlineStr">
        <is>
          <t xml:space="preserve">Related Account</t>
        </is>
      </c>
      <c r="Q235" s="15" t="inlineStr">
        <is>
          <t xml:space="preserve">SRC-CANON-TEXT; SRC-CHRONICLES-OVERVIEW; SRC-KINGS-OVERVIEW</t>
        </is>
      </c>
      <c r="R235" s="11" t="inlineStr">
        <is>
          <t xml:space="preserve">Needs Review</t>
        </is>
      </c>
      <c r="S235" s="15" t="inlineStr">
        <is>
          <t xml:space="preserve">Chronicles expands the temple workforce, materials, furnishings, and dedication preparation.</t>
        </is>
      </c>
    </row>
    <row r="236" ht="34" customHeight="1">
      <c r="A236" s="15" t="inlineStr">
        <is>
          <t xml:space="preserve">v0.3</t>
        </is>
      </c>
      <c r="B236" s="15" t="inlineStr">
        <is>
          <t xml:space="preserve">Bible_Journey_Canon_Map_v0_3_2Chronicles_Wisdom_2Kings.xlsx</t>
        </is>
      </c>
      <c r="C236" s="15" t="inlineStr">
        <is>
          <t xml:space="preserve">BLK-BR-2CH-003-01</t>
        </is>
      </c>
      <c r="D236" s="15" t="inlineStr">
        <is>
          <t xml:space="preserve">CRS-BR-2CH-003</t>
        </is>
      </c>
      <c r="E236" s="15">
        <v>1</v>
      </c>
      <c r="F236" s="15" t="inlineStr">
        <is>
          <t xml:space="preserve">2 Chronicles</t>
        </is>
      </c>
      <c r="G236" s="15" t="inlineStr">
        <is>
          <t xml:space="preserve">2 Chronicles 5-7</t>
        </is>
      </c>
      <c r="H236" s="15" t="inlineStr">
        <is>
          <t xml:space="preserve">Complementary Account</t>
        </is>
      </c>
      <c r="I236" s="15" t="inlineStr">
        <is>
          <t xml:space="preserve">Yes</t>
        </is>
      </c>
      <c r="J236" s="15" t="inlineStr">
        <is>
          <t xml:space="preserve">Yes</t>
        </is>
      </c>
      <c r="K236" s="15" t="inlineStr">
        <is>
          <t xml:space="preserve">No</t>
        </is>
      </c>
      <c r="L236" s="15" t="inlineStr">
        <is>
          <t xml:space="preserve">High</t>
        </is>
      </c>
      <c r="M236" s="15" t="inlineStr">
        <is>
          <t xml:space="preserve">High</t>
        </is>
      </c>
      <c r="N236" s="15" t="inlineStr">
        <is>
          <t xml:space="preserve">Attach to v0.2 event</t>
        </is>
      </c>
      <c r="O236" s="15" t="inlineStr">
        <is>
          <t xml:space="preserve">Canon Map v0.2 / 1 Kings 8-9</t>
        </is>
      </c>
      <c r="P236" s="15" t="inlineStr">
        <is>
          <t xml:space="preserve">Related Account</t>
        </is>
      </c>
      <c r="Q236" s="15" t="inlineStr">
        <is>
          <t xml:space="preserve">SRC-CANON-TEXT; SRC-CHRONICLES-OVERVIEW; SRC-KINGS-OVERVIEW</t>
        </is>
      </c>
      <c r="R236" s="11" t="inlineStr">
        <is>
          <t xml:space="preserve">Needs Review</t>
        </is>
      </c>
      <c r="S236" s="15" t="inlineStr">
        <is>
          <t xml:space="preserve">Chronicles presents the dedication, Solomon's prayer, fire, feast, and divine response with distinct emphases.</t>
        </is>
      </c>
    </row>
    <row r="237" ht="34" customHeight="1">
      <c r="A237" s="15" t="inlineStr">
        <is>
          <t xml:space="preserve">v0.3</t>
        </is>
      </c>
      <c r="B237" s="15" t="inlineStr">
        <is>
          <t xml:space="preserve">Bible_Journey_Canon_Map_v0_3_2Chronicles_Wisdom_2Kings.xlsx</t>
        </is>
      </c>
      <c r="C237" s="15" t="inlineStr">
        <is>
          <t xml:space="preserve">BLK-BR-2CH-004-01</t>
        </is>
      </c>
      <c r="D237" s="15" t="inlineStr">
        <is>
          <t xml:space="preserve">CRS-BR-2CH-004</t>
        </is>
      </c>
      <c r="E237" s="15">
        <v>1</v>
      </c>
      <c r="F237" s="15" t="inlineStr">
        <is>
          <t xml:space="preserve">2 Chronicles</t>
        </is>
      </c>
      <c r="G237" s="15" t="inlineStr">
        <is>
          <t xml:space="preserve">2 Chronicles 8</t>
        </is>
      </c>
      <c r="H237" s="15" t="inlineStr">
        <is>
          <t xml:space="preserve">Complementary Account</t>
        </is>
      </c>
      <c r="I237" s="15" t="inlineStr">
        <is>
          <t xml:space="preserve">Yes</t>
        </is>
      </c>
      <c r="J237" s="15" t="inlineStr">
        <is>
          <t xml:space="preserve">Yes</t>
        </is>
      </c>
      <c r="K237" s="15" t="inlineStr">
        <is>
          <t xml:space="preserve">No</t>
        </is>
      </c>
      <c r="L237" s="15" t="inlineStr">
        <is>
          <t xml:space="preserve">High</t>
        </is>
      </c>
      <c r="M237" s="15" t="inlineStr">
        <is>
          <t xml:space="preserve">High</t>
        </is>
      </c>
      <c r="N237" s="15" t="inlineStr">
        <is>
          <t xml:space="preserve">Attach to v0.2 event</t>
        </is>
      </c>
      <c r="O237" s="15" t="inlineStr">
        <is>
          <t xml:space="preserve">Canon Map v0.2 / 1 Kings 9</t>
        </is>
      </c>
      <c r="P237" s="15" t="inlineStr">
        <is>
          <t xml:space="preserve">Related Account</t>
        </is>
      </c>
      <c r="Q237" s="15" t="inlineStr">
        <is>
          <t xml:space="preserve">SRC-CANON-TEXT; SRC-CHRONICLES-OVERVIEW; SRC-KINGS-OVERVIEW</t>
        </is>
      </c>
      <c r="R237" s="11" t="inlineStr">
        <is>
          <t xml:space="preserve">Needs Review</t>
        </is>
      </c>
      <c r="S237" s="15" t="inlineStr">
        <is>
          <t xml:space="preserve">Chronicles pairs building projects with worship administration and international trade.</t>
        </is>
      </c>
    </row>
    <row r="238" ht="34" customHeight="1">
      <c r="A238" s="15" t="inlineStr">
        <is>
          <t xml:space="preserve">v0.3</t>
        </is>
      </c>
      <c r="B238" s="15" t="inlineStr">
        <is>
          <t xml:space="preserve">Bible_Journey_Canon_Map_v0_3_2Chronicles_Wisdom_2Kings.xlsx</t>
        </is>
      </c>
      <c r="C238" s="15" t="inlineStr">
        <is>
          <t xml:space="preserve">BLK-BR-2CH-005-01</t>
        </is>
      </c>
      <c r="D238" s="15" t="inlineStr">
        <is>
          <t xml:space="preserve">CRS-BR-2CH-005</t>
        </is>
      </c>
      <c r="E238" s="15">
        <v>1</v>
      </c>
      <c r="F238" s="15" t="inlineStr">
        <is>
          <t xml:space="preserve">2 Chronicles</t>
        </is>
      </c>
      <c r="G238" s="15" t="inlineStr">
        <is>
          <t xml:space="preserve">2 Chronicles 9</t>
        </is>
      </c>
      <c r="H238" s="15" t="inlineStr">
        <is>
          <t xml:space="preserve">Complementary Account</t>
        </is>
      </c>
      <c r="I238" s="15" t="inlineStr">
        <is>
          <t xml:space="preserve">Yes</t>
        </is>
      </c>
      <c r="J238" s="15" t="inlineStr">
        <is>
          <t xml:space="preserve">Yes</t>
        </is>
      </c>
      <c r="K238" s="15" t="inlineStr">
        <is>
          <t xml:space="preserve">No</t>
        </is>
      </c>
      <c r="L238" s="15" t="inlineStr">
        <is>
          <t xml:space="preserve">High</t>
        </is>
      </c>
      <c r="M238" s="15" t="inlineStr">
        <is>
          <t xml:space="preserve">High</t>
        </is>
      </c>
      <c r="N238" s="15" t="inlineStr">
        <is>
          <t xml:space="preserve">Attach to v0.2 event</t>
        </is>
      </c>
      <c r="O238" s="15" t="inlineStr">
        <is>
          <t xml:space="preserve">Canon Map v0.2 / 1 Kings 10-11</t>
        </is>
      </c>
      <c r="P238" s="15" t="inlineStr">
        <is>
          <t xml:space="preserve">Related Account</t>
        </is>
      </c>
      <c r="Q238" s="15" t="inlineStr">
        <is>
          <t xml:space="preserve">SRC-CANON-TEXT; SRC-CHRONICLES-OVERVIEW; SRC-KINGS-OVERVIEW</t>
        </is>
      </c>
      <c r="R238" s="11" t="inlineStr">
        <is>
          <t xml:space="preserve">Needs Review</t>
        </is>
      </c>
      <c r="S238" s="15" t="inlineStr">
        <is>
          <t xml:space="preserve">Chronicles narrates the visit of the Queen of Sheba, wealth, and Solomon's death; it omits much of Kings' negative assessment.</t>
        </is>
      </c>
    </row>
    <row r="239" ht="34" customHeight="1">
      <c r="A239" s="15" t="inlineStr">
        <is>
          <t xml:space="preserve">v0.3</t>
        </is>
      </c>
      <c r="B239" s="15" t="inlineStr">
        <is>
          <t xml:space="preserve">Bible_Journey_Canon_Map_v0_3_2Chronicles_Wisdom_2Kings.xlsx</t>
        </is>
      </c>
      <c r="C239" s="15" t="inlineStr">
        <is>
          <t xml:space="preserve">BLK-BR-2CH-006-01</t>
        </is>
      </c>
      <c r="D239" s="15" t="inlineStr">
        <is>
          <t xml:space="preserve">CRS-BR-2CH-006</t>
        </is>
      </c>
      <c r="E239" s="15">
        <v>1</v>
      </c>
      <c r="F239" s="15" t="inlineStr">
        <is>
          <t xml:space="preserve">2 Chronicles</t>
        </is>
      </c>
      <c r="G239" s="15" t="inlineStr">
        <is>
          <t xml:space="preserve">2 Chronicles 10</t>
        </is>
      </c>
      <c r="H239" s="15" t="inlineStr">
        <is>
          <t xml:space="preserve">Parallel Account</t>
        </is>
      </c>
      <c r="I239" s="15" t="inlineStr">
        <is>
          <t xml:space="preserve">Yes</t>
        </is>
      </c>
      <c r="J239" s="15" t="inlineStr">
        <is>
          <t xml:space="preserve">Yes</t>
        </is>
      </c>
      <c r="K239" s="15" t="inlineStr">
        <is>
          <t xml:space="preserve">No</t>
        </is>
      </c>
      <c r="L239" s="15" t="inlineStr">
        <is>
          <t xml:space="preserve">High</t>
        </is>
      </c>
      <c r="M239" s="15" t="inlineStr">
        <is>
          <t xml:space="preserve">High</t>
        </is>
      </c>
      <c r="N239" s="15" t="inlineStr">
        <is>
          <t xml:space="preserve">Attach to v0.2 event</t>
        </is>
      </c>
      <c r="O239" s="15" t="inlineStr">
        <is>
          <t xml:space="preserve">Canon Map v0.2 / 1 Kings 12:1-24</t>
        </is>
      </c>
      <c r="P239" s="15" t="inlineStr">
        <is>
          <t xml:space="preserve">Parallel Account</t>
        </is>
      </c>
      <c r="Q239" s="15" t="inlineStr">
        <is>
          <t xml:space="preserve">SRC-CANON-TEXT; SRC-CHRONICLES-OVERVIEW; SRC-KINGS-OVERVIEW</t>
        </is>
      </c>
      <c r="R239" s="11" t="inlineStr">
        <is>
          <t xml:space="preserve">Needs Review</t>
        </is>
      </c>
      <c r="S239" s="15" t="inlineStr">
        <is>
          <t xml:space="preserve">Chronicles' division account parallels the early Rehoboam narrative in Kings.</t>
        </is>
      </c>
    </row>
    <row r="240" ht="34" customHeight="1">
      <c r="A240" s="15" t="inlineStr">
        <is>
          <t xml:space="preserve">v0.3</t>
        </is>
      </c>
      <c r="B240" s="15" t="inlineStr">
        <is>
          <t xml:space="preserve">Bible_Journey_Canon_Map_v0_3_2Chronicles_Wisdom_2Kings.xlsx</t>
        </is>
      </c>
      <c r="C240" s="15" t="inlineStr">
        <is>
          <t xml:space="preserve">BLK-BR-2CH-007-01</t>
        </is>
      </c>
      <c r="D240" s="15" t="inlineStr">
        <is>
          <t xml:space="preserve">CRS-BR-2CH-007</t>
        </is>
      </c>
      <c r="E240" s="15">
        <v>1</v>
      </c>
      <c r="F240" s="15" t="inlineStr">
        <is>
          <t xml:space="preserve">2 Chronicles</t>
        </is>
      </c>
      <c r="G240" s="15" t="inlineStr">
        <is>
          <t xml:space="preserve">2 Chronicles 11</t>
        </is>
      </c>
      <c r="H240" s="15" t="inlineStr">
        <is>
          <t xml:space="preserve">Complementary Account</t>
        </is>
      </c>
      <c r="I240" s="15" t="inlineStr">
        <is>
          <t xml:space="preserve">Yes</t>
        </is>
      </c>
      <c r="J240" s="15" t="inlineStr">
        <is>
          <t xml:space="preserve">Yes</t>
        </is>
      </c>
      <c r="K240" s="15" t="inlineStr">
        <is>
          <t xml:space="preserve">No</t>
        </is>
      </c>
      <c r="L240" s="15" t="inlineStr">
        <is>
          <t xml:space="preserve">Probable</t>
        </is>
      </c>
      <c r="M240" s="15" t="inlineStr">
        <is>
          <t xml:space="preserve">High</t>
        </is>
      </c>
      <c r="N240" s="15" t="inlineStr">
        <is>
          <t xml:space="preserve">Attach to v0.2 event</t>
        </is>
      </c>
      <c r="O240" s="15" t="inlineStr">
        <is>
          <t xml:space="preserve">Canon Map v0.2 / Rehoboam window</t>
        </is>
      </c>
      <c r="P240" s="15" t="inlineStr">
        <is>
          <t xml:space="preserve">Related Account</t>
        </is>
      </c>
      <c r="Q240" s="15" t="inlineStr">
        <is>
          <t xml:space="preserve">SRC-CANON-TEXT; SRC-CHRONICLES-OVERVIEW</t>
        </is>
      </c>
      <c r="R240" s="11" t="inlineStr">
        <is>
          <t xml:space="preserve">Needs Review</t>
        </is>
      </c>
      <c r="S240" s="15" t="inlineStr">
        <is>
          <t xml:space="preserve">Chronicles adds fortifications, migration, and domestic material not presented in the same way in Kings.</t>
        </is>
      </c>
    </row>
    <row r="241" ht="34" customHeight="1">
      <c r="A241" s="15" t="inlineStr">
        <is>
          <t xml:space="preserve">v0.3</t>
        </is>
      </c>
      <c r="B241" s="15" t="inlineStr">
        <is>
          <t xml:space="preserve">Bible_Journey_Canon_Map_v0_3_2Chronicles_Wisdom_2Kings.xlsx</t>
        </is>
      </c>
      <c r="C241" s="15" t="inlineStr">
        <is>
          <t xml:space="preserve">BLK-BR-2CH-008-01</t>
        </is>
      </c>
      <c r="D241" s="15" t="inlineStr">
        <is>
          <t xml:space="preserve">CRS-BR-2CH-008</t>
        </is>
      </c>
      <c r="E241" s="15">
        <v>1</v>
      </c>
      <c r="F241" s="15" t="inlineStr">
        <is>
          <t xml:space="preserve">2 Chronicles</t>
        </is>
      </c>
      <c r="G241" s="15" t="inlineStr">
        <is>
          <t xml:space="preserve">2 Chronicles 12</t>
        </is>
      </c>
      <c r="H241" s="15" t="inlineStr">
        <is>
          <t xml:space="preserve">Complementary Account</t>
        </is>
      </c>
      <c r="I241" s="15" t="inlineStr">
        <is>
          <t xml:space="preserve">Yes</t>
        </is>
      </c>
      <c r="J241" s="15" t="inlineStr">
        <is>
          <t xml:space="preserve">Yes</t>
        </is>
      </c>
      <c r="K241" s="15" t="inlineStr">
        <is>
          <t xml:space="preserve">No</t>
        </is>
      </c>
      <c r="L241" s="15" t="inlineStr">
        <is>
          <t xml:space="preserve">High</t>
        </is>
      </c>
      <c r="M241" s="15" t="inlineStr">
        <is>
          <t xml:space="preserve">High</t>
        </is>
      </c>
      <c r="N241" s="15" t="inlineStr">
        <is>
          <t xml:space="preserve">Attach to v0.2 event</t>
        </is>
      </c>
      <c r="O241" s="15" t="inlineStr">
        <is>
          <t xml:space="preserve">Canon Map v0.2 / 1 Kings 14:25-28</t>
        </is>
      </c>
      <c r="P241" s="15" t="inlineStr">
        <is>
          <t xml:space="preserve">Related Account</t>
        </is>
      </c>
      <c r="Q241" s="15" t="inlineStr">
        <is>
          <t xml:space="preserve">SRC-CANON-TEXT; SRC-CHRONICLES-OVERVIEW; SRC-KINGS-OVERVIEW</t>
        </is>
      </c>
      <c r="R241" s="11" t="inlineStr">
        <is>
          <t xml:space="preserve">Needs Review</t>
        </is>
      </c>
      <c r="S241" s="15" t="inlineStr">
        <is>
          <t xml:space="preserve">Chronicles gives a fuller theological and narrative presentation of the Shishak invasion.</t>
        </is>
      </c>
    </row>
    <row r="242" ht="34" customHeight="1">
      <c r="A242" s="15" t="inlineStr">
        <is>
          <t xml:space="preserve">v0.3</t>
        </is>
      </c>
      <c r="B242" s="15" t="inlineStr">
        <is>
          <t xml:space="preserve">Bible_Journey_Canon_Map_v0_3_2Chronicles_Wisdom_2Kings.xlsx</t>
        </is>
      </c>
      <c r="C242" s="15" t="inlineStr">
        <is>
          <t xml:space="preserve">BLK-BR-2CH-009-01</t>
        </is>
      </c>
      <c r="D242" s="15" t="inlineStr">
        <is>
          <t xml:space="preserve">CRS-BR-2CH-009</t>
        </is>
      </c>
      <c r="E242" s="15">
        <v>1</v>
      </c>
      <c r="F242" s="15" t="inlineStr">
        <is>
          <t xml:space="preserve">2 Chronicles</t>
        </is>
      </c>
      <c r="G242" s="15" t="inlineStr">
        <is>
          <t xml:space="preserve">2 Chronicles 13</t>
        </is>
      </c>
      <c r="H242" s="15" t="inlineStr">
        <is>
          <t xml:space="preserve">Complementary Account</t>
        </is>
      </c>
      <c r="I242" s="15" t="inlineStr">
        <is>
          <t xml:space="preserve">Yes</t>
        </is>
      </c>
      <c r="J242" s="15" t="inlineStr">
        <is>
          <t xml:space="preserve">Yes</t>
        </is>
      </c>
      <c r="K242" s="15" t="inlineStr">
        <is>
          <t xml:space="preserve">No</t>
        </is>
      </c>
      <c r="L242" s="15" t="inlineStr">
        <is>
          <t xml:space="preserve">Probable</t>
        </is>
      </c>
      <c r="M242" s="15" t="inlineStr">
        <is>
          <t xml:space="preserve">High</t>
        </is>
      </c>
      <c r="N242" s="15" t="inlineStr">
        <is>
          <t xml:space="preserve">Attach to v0.2 event</t>
        </is>
      </c>
      <c r="O242" s="15" t="inlineStr">
        <is>
          <t xml:space="preserve">Canon Map v0.2 / 1 Kings 15:1-8</t>
        </is>
      </c>
      <c r="P242" s="15" t="inlineStr">
        <is>
          <t xml:space="preserve">Related Account</t>
        </is>
      </c>
      <c r="Q242" s="15" t="inlineStr">
        <is>
          <t xml:space="preserve">SRC-CANON-TEXT; SRC-CHRONICLES-OVERVIEW; SRC-KINGS-OVERVIEW</t>
        </is>
      </c>
      <c r="R242" s="11" t="inlineStr">
        <is>
          <t xml:space="preserve">Needs Review</t>
        </is>
      </c>
      <c r="S242" s="15" t="inlineStr">
        <is>
          <t xml:space="preserve">Chronicles contains extended material about Abijah not preserved in Kings.</t>
        </is>
      </c>
    </row>
    <row r="243" ht="34" customHeight="1">
      <c r="A243" s="15" t="inlineStr">
        <is>
          <t xml:space="preserve">v0.3</t>
        </is>
      </c>
      <c r="B243" s="15" t="inlineStr">
        <is>
          <t xml:space="preserve">Bible_Journey_Canon_Map_v0_3_2Chronicles_Wisdom_2Kings.xlsx</t>
        </is>
      </c>
      <c r="C243" s="15" t="inlineStr">
        <is>
          <t xml:space="preserve">BLK-BR-2CH-010-01</t>
        </is>
      </c>
      <c r="D243" s="15" t="inlineStr">
        <is>
          <t xml:space="preserve">CRS-BR-2CH-010</t>
        </is>
      </c>
      <c r="E243" s="15">
        <v>1</v>
      </c>
      <c r="F243" s="15" t="inlineStr">
        <is>
          <t xml:space="preserve">2 Chronicles</t>
        </is>
      </c>
      <c r="G243" s="15" t="inlineStr">
        <is>
          <t xml:space="preserve">2 Chronicles 14-15</t>
        </is>
      </c>
      <c r="H243" s="15" t="inlineStr">
        <is>
          <t xml:space="preserve">Complementary Account</t>
        </is>
      </c>
      <c r="I243" s="15" t="inlineStr">
        <is>
          <t xml:space="preserve">Yes</t>
        </is>
      </c>
      <c r="J243" s="15" t="inlineStr">
        <is>
          <t xml:space="preserve">Yes</t>
        </is>
      </c>
      <c r="K243" s="15" t="inlineStr">
        <is>
          <t xml:space="preserve">No</t>
        </is>
      </c>
      <c r="L243" s="15" t="inlineStr">
        <is>
          <t xml:space="preserve">Probable</t>
        </is>
      </c>
      <c r="M243" s="15" t="inlineStr">
        <is>
          <t xml:space="preserve">High</t>
        </is>
      </c>
      <c r="N243" s="15" t="inlineStr">
        <is>
          <t xml:space="preserve">Attach to v0.2 event</t>
        </is>
      </c>
      <c r="O243" s="15" t="inlineStr">
        <is>
          <t xml:space="preserve">Canon Map v0.2 / 1 Kings 15:9-24</t>
        </is>
      </c>
      <c r="P243" s="15" t="inlineStr">
        <is>
          <t xml:space="preserve">Related Account</t>
        </is>
      </c>
      <c r="Q243" s="15" t="inlineStr">
        <is>
          <t xml:space="preserve">SRC-CANON-TEXT; SRC-CHRONICLES-OVERVIEW</t>
        </is>
      </c>
      <c r="R243" s="11" t="inlineStr">
        <is>
          <t xml:space="preserve">Needs Review</t>
        </is>
      </c>
      <c r="S243" s="15" t="inlineStr">
        <is>
          <t xml:space="preserve">Chronicles adds reform, covenant, and conflict narratives not mirrored in Kings.</t>
        </is>
      </c>
    </row>
    <row r="244" ht="34" customHeight="1">
      <c r="A244" s="15" t="inlineStr">
        <is>
          <t xml:space="preserve">v0.3</t>
        </is>
      </c>
      <c r="B244" s="15" t="inlineStr">
        <is>
          <t xml:space="preserve">Bible_Journey_Canon_Map_v0_3_2Chronicles_Wisdom_2Kings.xlsx</t>
        </is>
      </c>
      <c r="C244" s="15" t="inlineStr">
        <is>
          <t xml:space="preserve">BLK-BR-2CH-011-01</t>
        </is>
      </c>
      <c r="D244" s="15" t="inlineStr">
        <is>
          <t xml:space="preserve">CRS-BR-2CH-011</t>
        </is>
      </c>
      <c r="E244" s="15">
        <v>1</v>
      </c>
      <c r="F244" s="15" t="inlineStr">
        <is>
          <t xml:space="preserve">2 Chronicles</t>
        </is>
      </c>
      <c r="G244" s="15" t="inlineStr">
        <is>
          <t xml:space="preserve">2 Chronicles 16</t>
        </is>
      </c>
      <c r="H244" s="15" t="inlineStr">
        <is>
          <t xml:space="preserve">Complementary Account</t>
        </is>
      </c>
      <c r="I244" s="15" t="inlineStr">
        <is>
          <t xml:space="preserve">Yes</t>
        </is>
      </c>
      <c r="J244" s="15" t="inlineStr">
        <is>
          <t xml:space="preserve">Yes</t>
        </is>
      </c>
      <c r="K244" s="15" t="inlineStr">
        <is>
          <t xml:space="preserve">No</t>
        </is>
      </c>
      <c r="L244" s="15" t="inlineStr">
        <is>
          <t xml:space="preserve">High</t>
        </is>
      </c>
      <c r="M244" s="15" t="inlineStr">
        <is>
          <t xml:space="preserve">High</t>
        </is>
      </c>
      <c r="N244" s="15" t="inlineStr">
        <is>
          <t xml:space="preserve">Attach to v0.2 event</t>
        </is>
      </c>
      <c r="O244" s="15" t="inlineStr">
        <is>
          <t xml:space="preserve">Canon Map v0.2 / 1 Kings 15:16-24</t>
        </is>
      </c>
      <c r="P244" s="15" t="inlineStr">
        <is>
          <t xml:space="preserve">Related Account</t>
        </is>
      </c>
      <c r="Q244" s="15" t="inlineStr">
        <is>
          <t xml:space="preserve">SRC-CANON-TEXT; SRC-CHRONICLES-OVERVIEW; SRC-KINGS-OVERVIEW</t>
        </is>
      </c>
      <c r="R244" s="11" t="inlineStr">
        <is>
          <t xml:space="preserve">Needs Review</t>
        </is>
      </c>
      <c r="S244" s="15" t="inlineStr">
        <is>
          <t xml:space="preserve">Chronicles closely relates to Kings' account but adds Hanani's rebuke and illness/death detail.</t>
        </is>
      </c>
    </row>
    <row r="245" ht="34" customHeight="1">
      <c r="A245" s="15" t="inlineStr">
        <is>
          <t xml:space="preserve">v0.3</t>
        </is>
      </c>
      <c r="B245" s="15" t="inlineStr">
        <is>
          <t xml:space="preserve">Bible_Journey_Canon_Map_v0_3_2Chronicles_Wisdom_2Kings.xlsx</t>
        </is>
      </c>
      <c r="C245" s="15" t="inlineStr">
        <is>
          <t xml:space="preserve">BLK-BR-2CH-012-01</t>
        </is>
      </c>
      <c r="D245" s="15" t="inlineStr">
        <is>
          <t xml:space="preserve">CRS-BR-2CH-012</t>
        </is>
      </c>
      <c r="E245" s="15">
        <v>1</v>
      </c>
      <c r="F245" s="15" t="inlineStr">
        <is>
          <t xml:space="preserve">2 Chronicles</t>
        </is>
      </c>
      <c r="G245" s="15" t="inlineStr">
        <is>
          <t xml:space="preserve">2 Chronicles 17</t>
        </is>
      </c>
      <c r="H245" s="15" t="inlineStr">
        <is>
          <t xml:space="preserve">Complementary Account</t>
        </is>
      </c>
      <c r="I245" s="15" t="inlineStr">
        <is>
          <t xml:space="preserve">Yes</t>
        </is>
      </c>
      <c r="J245" s="15" t="inlineStr">
        <is>
          <t xml:space="preserve">Yes</t>
        </is>
      </c>
      <c r="K245" s="15" t="inlineStr">
        <is>
          <t xml:space="preserve">No</t>
        </is>
      </c>
      <c r="L245" s="15" t="inlineStr">
        <is>
          <t xml:space="preserve">Probable</t>
        </is>
      </c>
      <c r="M245" s="15" t="inlineStr">
        <is>
          <t xml:space="preserve">High</t>
        </is>
      </c>
      <c r="N245" s="15" t="inlineStr">
        <is>
          <t xml:space="preserve">Attach to v0.2 event</t>
        </is>
      </c>
      <c r="O245" s="15" t="inlineStr">
        <is>
          <t xml:space="preserve">Canon Map v0.2 / 1 Kings 22:41-50</t>
        </is>
      </c>
      <c r="P245" s="15" t="inlineStr">
        <is>
          <t xml:space="preserve">Related Account</t>
        </is>
      </c>
      <c r="Q245" s="15" t="inlineStr">
        <is>
          <t xml:space="preserve">SRC-CANON-TEXT; SRC-CHRONICLES-OVERVIEW</t>
        </is>
      </c>
      <c r="R245" s="11" t="inlineStr">
        <is>
          <t xml:space="preserve">Needs Review</t>
        </is>
      </c>
      <c r="S245" s="15" t="inlineStr">
        <is>
          <t xml:space="preserve">Chronicles adds detailed teaching, judicial, and defensive programs.</t>
        </is>
      </c>
    </row>
    <row r="246" ht="34" customHeight="1">
      <c r="A246" s="15" t="inlineStr">
        <is>
          <t xml:space="preserve">v0.3</t>
        </is>
      </c>
      <c r="B246" s="15" t="inlineStr">
        <is>
          <t xml:space="preserve">Bible_Journey_Canon_Map_v0_3_2Chronicles_Wisdom_2Kings.xlsx</t>
        </is>
      </c>
      <c r="C246" s="15" t="inlineStr">
        <is>
          <t xml:space="preserve">BLK-BR-2CH-013-01</t>
        </is>
      </c>
      <c r="D246" s="15" t="inlineStr">
        <is>
          <t xml:space="preserve">CRS-BR-2CH-013</t>
        </is>
      </c>
      <c r="E246" s="15">
        <v>1</v>
      </c>
      <c r="F246" s="15" t="inlineStr">
        <is>
          <t xml:space="preserve">2 Chronicles</t>
        </is>
      </c>
      <c r="G246" s="15" t="inlineStr">
        <is>
          <t xml:space="preserve">2 Chronicles 18</t>
        </is>
      </c>
      <c r="H246" s="15" t="inlineStr">
        <is>
          <t xml:space="preserve">Parallel Account</t>
        </is>
      </c>
      <c r="I246" s="15" t="inlineStr">
        <is>
          <t xml:space="preserve">Yes</t>
        </is>
      </c>
      <c r="J246" s="15" t="inlineStr">
        <is>
          <t xml:space="preserve">Yes</t>
        </is>
      </c>
      <c r="K246" s="15" t="inlineStr">
        <is>
          <t xml:space="preserve">No</t>
        </is>
      </c>
      <c r="L246" s="15" t="inlineStr">
        <is>
          <t xml:space="preserve">High</t>
        </is>
      </c>
      <c r="M246" s="15" t="inlineStr">
        <is>
          <t xml:space="preserve">High</t>
        </is>
      </c>
      <c r="N246" s="15" t="inlineStr">
        <is>
          <t xml:space="preserve">Attach to v0.2 event</t>
        </is>
      </c>
      <c r="O246" s="15" t="inlineStr">
        <is>
          <t xml:space="preserve">Canon Map v0.2 / 1 Kings 22:1-40</t>
        </is>
      </c>
      <c r="P246" s="15" t="inlineStr">
        <is>
          <t xml:space="preserve">Parallel Account</t>
        </is>
      </c>
      <c r="Q246" s="15" t="inlineStr">
        <is>
          <t xml:space="preserve">SRC-CANON-TEXT; SRC-CHRONICLES-OVERVIEW; SRC-KINGS-OVERVIEW</t>
        </is>
      </c>
      <c r="R246" s="11" t="inlineStr">
        <is>
          <t xml:space="preserve">Needs Review</t>
        </is>
      </c>
      <c r="S246" s="15" t="inlineStr">
        <is>
          <t xml:space="preserve">Chronicles parallels the Micaiah/Ramoth-gilead account with distinct wording and sequence details.</t>
        </is>
      </c>
    </row>
    <row r="247" ht="34" customHeight="1">
      <c r="A247" s="15" t="inlineStr">
        <is>
          <t xml:space="preserve">v0.3</t>
        </is>
      </c>
      <c r="B247" s="15" t="inlineStr">
        <is>
          <t xml:space="preserve">Bible_Journey_Canon_Map_v0_3_2Chronicles_Wisdom_2Kings.xlsx</t>
        </is>
      </c>
      <c r="C247" s="15" t="inlineStr">
        <is>
          <t xml:space="preserve">BLK-BR-2CH-014-01</t>
        </is>
      </c>
      <c r="D247" s="15" t="inlineStr">
        <is>
          <t xml:space="preserve">CRS-BR-2CH-014</t>
        </is>
      </c>
      <c r="E247" s="15">
        <v>1</v>
      </c>
      <c r="F247" s="15" t="inlineStr">
        <is>
          <t xml:space="preserve">2 Chronicles</t>
        </is>
      </c>
      <c r="G247" s="15" t="inlineStr">
        <is>
          <t xml:space="preserve">2 Chronicles 19-20</t>
        </is>
      </c>
      <c r="H247" s="15" t="inlineStr">
        <is>
          <t xml:space="preserve">Complementary Account</t>
        </is>
      </c>
      <c r="I247" s="15" t="inlineStr">
        <is>
          <t xml:space="preserve">Yes</t>
        </is>
      </c>
      <c r="J247" s="15" t="inlineStr">
        <is>
          <t xml:space="preserve">Yes</t>
        </is>
      </c>
      <c r="K247" s="15" t="inlineStr">
        <is>
          <t xml:space="preserve">No</t>
        </is>
      </c>
      <c r="L247" s="15" t="inlineStr">
        <is>
          <t xml:space="preserve">Probable</t>
        </is>
      </c>
      <c r="M247" s="15" t="inlineStr">
        <is>
          <t xml:space="preserve">High</t>
        </is>
      </c>
      <c r="N247" s="15" t="inlineStr">
        <is>
          <t xml:space="preserve">Attach to v0.2 event</t>
        </is>
      </c>
      <c r="O247" s="15" t="inlineStr">
        <is>
          <t xml:space="preserve">Canon Map v0.2 / Jehoshaphat reign</t>
        </is>
      </c>
      <c r="P247" s="15" t="inlineStr">
        <is>
          <t xml:space="preserve">Related Account</t>
        </is>
      </c>
      <c r="Q247" s="15" t="inlineStr">
        <is>
          <t xml:space="preserve">SRC-CANON-TEXT; SRC-CHRONICLES-OVERVIEW</t>
        </is>
      </c>
      <c r="R247" s="11" t="inlineStr">
        <is>
          <t xml:space="preserve">Needs Review</t>
        </is>
      </c>
      <c r="S247" s="15" t="inlineStr">
        <is>
          <t xml:space="preserve">Chronicles gives unique judicial and military-deliverance material for Jehoshaphat's reign.</t>
        </is>
      </c>
    </row>
    <row r="248" ht="34" customHeight="1">
      <c r="A248" s="15" t="inlineStr">
        <is>
          <t xml:space="preserve">v0.3</t>
        </is>
      </c>
      <c r="B248" s="15" t="inlineStr">
        <is>
          <t xml:space="preserve">Bible_Journey_Canon_Map_v0_3_2Chronicles_Wisdom_2Kings.xlsx</t>
        </is>
      </c>
      <c r="C248" s="15" t="inlineStr">
        <is>
          <t xml:space="preserve">BLK-WIS-001-01</t>
        </is>
      </c>
      <c r="D248" s="15" t="inlineStr">
        <is>
          <t xml:space="preserve">CRS-WIS-001</t>
        </is>
      </c>
      <c r="E248" s="15">
        <v>1</v>
      </c>
      <c r="F248" s="15" t="inlineStr">
        <is>
          <t xml:space="preserve">Proverbs</t>
        </is>
      </c>
      <c r="G248" s="15" t="inlineStr">
        <is>
          <t xml:space="preserve">Proverbs 1-9</t>
        </is>
      </c>
      <c r="H248" s="15" t="inlineStr">
        <is>
          <t xml:space="preserve">Wisdom / Poetry Collection</t>
        </is>
      </c>
      <c r="I248" s="15" t="inlineStr">
        <is>
          <t xml:space="preserve">Yes</t>
        </is>
      </c>
      <c r="J248" s="15" t="inlineStr">
        <is>
          <t xml:space="preserve">Yes</t>
        </is>
      </c>
      <c r="K248" s="15" t="inlineStr">
        <is>
          <t xml:space="preserve">No</t>
        </is>
      </c>
      <c r="L248" s="15" t="inlineStr">
        <is>
          <t xml:space="preserve">Probable</t>
        </is>
      </c>
      <c r="M248" s="13" t="inlineStr">
        <is>
          <t xml:space="preserve">Unresolved</t>
        </is>
      </c>
      <c r="N248" s="15" t="inlineStr">
        <is>
          <t xml:space="preserve">Auxiliary collection / broad window</t>
        </is>
      </c>
      <c r="O248" s="15" t="inlineStr">
        <is>
          <t xml:space="preserve">Solomonic Wisdom Interlude</t>
        </is>
      </c>
      <c r="P248" s="15" t="inlineStr">
        <is>
          <t xml:space="preserve">Wisdom Collection</t>
        </is>
      </c>
      <c r="Q248" s="15" t="inlineStr">
        <is>
          <t xml:space="preserve">SRC-CANON-TEXT; SRC-WISDOM-CANON; SRC-WHO-WROTE</t>
        </is>
      </c>
      <c r="R248" s="11" t="inlineStr">
        <is>
          <t xml:space="preserve">Needs Review</t>
        </is>
      </c>
      <c r="S248" s="15" t="inlineStr">
        <is>
          <t xml:space="preserve">Placed in a disclosed Solomonic wisdom window as a reading arrangement, not as a claim that each section came from one dated event.</t>
        </is>
      </c>
    </row>
    <row r="249" ht="34" customHeight="1">
      <c r="A249" s="15" t="inlineStr">
        <is>
          <t xml:space="preserve">v0.3</t>
        </is>
      </c>
      <c r="B249" s="15" t="inlineStr">
        <is>
          <t xml:space="preserve">Bible_Journey_Canon_Map_v0_3_2Chronicles_Wisdom_2Kings.xlsx</t>
        </is>
      </c>
      <c r="C249" s="15" t="inlineStr">
        <is>
          <t xml:space="preserve">BLK-WIS-002-01</t>
        </is>
      </c>
      <c r="D249" s="15" t="inlineStr">
        <is>
          <t xml:space="preserve">CRS-WIS-002</t>
        </is>
      </c>
      <c r="E249" s="15">
        <v>1</v>
      </c>
      <c r="F249" s="15" t="inlineStr">
        <is>
          <t xml:space="preserve">Proverbs</t>
        </is>
      </c>
      <c r="G249" s="15" t="inlineStr">
        <is>
          <t xml:space="preserve">Proverbs 10-24</t>
        </is>
      </c>
      <c r="H249" s="15" t="inlineStr">
        <is>
          <t xml:space="preserve">Wisdom / Poetry Collection</t>
        </is>
      </c>
      <c r="I249" s="15" t="inlineStr">
        <is>
          <t xml:space="preserve">Yes</t>
        </is>
      </c>
      <c r="J249" s="15" t="inlineStr">
        <is>
          <t xml:space="preserve">Yes</t>
        </is>
      </c>
      <c r="K249" s="15" t="inlineStr">
        <is>
          <t xml:space="preserve">No</t>
        </is>
      </c>
      <c r="L249" s="15" t="inlineStr">
        <is>
          <t xml:space="preserve">Probable</t>
        </is>
      </c>
      <c r="M249" s="13" t="inlineStr">
        <is>
          <t xml:space="preserve">Unresolved</t>
        </is>
      </c>
      <c r="N249" s="15" t="inlineStr">
        <is>
          <t xml:space="preserve">Auxiliary collection / broad window</t>
        </is>
      </c>
      <c r="O249" s="15" t="inlineStr">
        <is>
          <t xml:space="preserve">Solomonic Wisdom Interlude</t>
        </is>
      </c>
      <c r="P249" s="15" t="inlineStr">
        <is>
          <t xml:space="preserve">Wisdom Collection</t>
        </is>
      </c>
      <c r="Q249" s="15" t="inlineStr">
        <is>
          <t xml:space="preserve">SRC-CANON-TEXT; SRC-WISDOM-CANON; SRC-WHO-WROTE</t>
        </is>
      </c>
      <c r="R249" s="11" t="inlineStr">
        <is>
          <t xml:space="preserve">Needs Review</t>
        </is>
      </c>
      <c r="S249" s="15" t="inlineStr">
        <is>
          <t xml:space="preserve">The collection is traditionally linked to Solomon but individual sayings should not be treated as datable scenes in his life.</t>
        </is>
      </c>
    </row>
    <row r="250" ht="34" customHeight="1">
      <c r="A250" s="15" t="inlineStr">
        <is>
          <t xml:space="preserve">v0.3</t>
        </is>
      </c>
      <c r="B250" s="15" t="inlineStr">
        <is>
          <t xml:space="preserve">Bible_Journey_Canon_Map_v0_3_2Chronicles_Wisdom_2Kings.xlsx</t>
        </is>
      </c>
      <c r="C250" s="15" t="inlineStr">
        <is>
          <t xml:space="preserve">BLK-WIS-003-01</t>
        </is>
      </c>
      <c r="D250" s="15" t="inlineStr">
        <is>
          <t xml:space="preserve">CRS-WIS-003</t>
        </is>
      </c>
      <c r="E250" s="15">
        <v>1</v>
      </c>
      <c r="F250" s="15" t="inlineStr">
        <is>
          <t xml:space="preserve">Song of Songs</t>
        </is>
      </c>
      <c r="G250" s="15" t="inlineStr">
        <is>
          <t xml:space="preserve">Song of Songs 1-8</t>
        </is>
      </c>
      <c r="H250" s="15" t="inlineStr">
        <is>
          <t xml:space="preserve">Wisdom / Poetry Collection</t>
        </is>
      </c>
      <c r="I250" s="15" t="inlineStr">
        <is>
          <t xml:space="preserve">Yes</t>
        </is>
      </c>
      <c r="J250" s="15" t="inlineStr">
        <is>
          <t xml:space="preserve">Yes</t>
        </is>
      </c>
      <c r="K250" s="15" t="inlineStr">
        <is>
          <t xml:space="preserve">No</t>
        </is>
      </c>
      <c r="L250" s="15" t="inlineStr">
        <is>
          <t xml:space="preserve">Probable</t>
        </is>
      </c>
      <c r="M250" s="13" t="inlineStr">
        <is>
          <t xml:space="preserve">Unresolved</t>
        </is>
      </c>
      <c r="N250" s="15" t="inlineStr">
        <is>
          <t xml:space="preserve">Auxiliary collection / broad window</t>
        </is>
      </c>
      <c r="O250" s="15" t="inlineStr">
        <is>
          <t xml:space="preserve">Solomonic Wisdom Interlude</t>
        </is>
      </c>
      <c r="P250" s="15" t="inlineStr">
        <is>
          <t xml:space="preserve">Wisdom Collection</t>
        </is>
      </c>
      <c r="Q250" s="15" t="inlineStr">
        <is>
          <t xml:space="preserve">SRC-CANON-TEXT; SRC-WISDOM-CANON; SRC-WHO-WROTE; SRC-SONG</t>
        </is>
      </c>
      <c r="R250" s="11" t="inlineStr">
        <is>
          <t xml:space="preserve">Needs Review</t>
        </is>
      </c>
      <c r="S250" s="15" t="inlineStr">
        <is>
          <t xml:space="preserve">Placed in the traditional Solomonic association window while the app clearly distinguishes tradition from settled historical authorship.</t>
        </is>
      </c>
    </row>
    <row r="251" ht="34" customHeight="1">
      <c r="A251" s="15" t="inlineStr">
        <is>
          <t xml:space="preserve">v0.3</t>
        </is>
      </c>
      <c r="B251" s="15" t="inlineStr">
        <is>
          <t xml:space="preserve">Bible_Journey_Canon_Map_v0_3_2Chronicles_Wisdom_2Kings.xlsx</t>
        </is>
      </c>
      <c r="C251" s="15" t="inlineStr">
        <is>
          <t xml:space="preserve">BLK-WIS-004-01</t>
        </is>
      </c>
      <c r="D251" s="15" t="inlineStr">
        <is>
          <t xml:space="preserve">CRS-WIS-004</t>
        </is>
      </c>
      <c r="E251" s="15">
        <v>1</v>
      </c>
      <c r="F251" s="15" t="inlineStr">
        <is>
          <t xml:space="preserve">Ecclesiastes</t>
        </is>
      </c>
      <c r="G251" s="15" t="inlineStr">
        <is>
          <t xml:space="preserve">Ecclesiastes 1-12</t>
        </is>
      </c>
      <c r="H251" s="15" t="inlineStr">
        <is>
          <t xml:space="preserve">Wisdom / Poetry Collection</t>
        </is>
      </c>
      <c r="I251" s="15" t="inlineStr">
        <is>
          <t xml:space="preserve">Yes</t>
        </is>
      </c>
      <c r="J251" s="15" t="inlineStr">
        <is>
          <t xml:space="preserve">Yes</t>
        </is>
      </c>
      <c r="K251" s="15" t="inlineStr">
        <is>
          <t xml:space="preserve">No</t>
        </is>
      </c>
      <c r="L251" s="15" t="inlineStr">
        <is>
          <t xml:space="preserve">Probable</t>
        </is>
      </c>
      <c r="M251" s="13" t="inlineStr">
        <is>
          <t xml:space="preserve">Unresolved</t>
        </is>
      </c>
      <c r="N251" s="15" t="inlineStr">
        <is>
          <t xml:space="preserve">Auxiliary collection / broad window</t>
        </is>
      </c>
      <c r="O251" s="15" t="inlineStr">
        <is>
          <t xml:space="preserve">Solomonic Wisdom Interlude</t>
        </is>
      </c>
      <c r="P251" s="15" t="inlineStr">
        <is>
          <t xml:space="preserve">Wisdom Collection</t>
        </is>
      </c>
      <c r="Q251" s="15" t="inlineStr">
        <is>
          <t xml:space="preserve">SRC-CANON-TEXT; SRC-WISDOM-CANON; SRC-WHO-WROTE</t>
        </is>
      </c>
      <c r="R251" s="11" t="inlineStr">
        <is>
          <t xml:space="preserve">Needs Review</t>
        </is>
      </c>
      <c r="S251" s="15" t="inlineStr">
        <is>
          <t xml:space="preserve">Placed in the traditional Solomonic association window but never labeled as a late-life autobiography without an explicit interpretive note.</t>
        </is>
      </c>
    </row>
    <row r="252" ht="34" customHeight="1">
      <c r="A252" s="15" t="inlineStr">
        <is>
          <t xml:space="preserve">v0.3</t>
        </is>
      </c>
      <c r="B252" s="15" t="inlineStr">
        <is>
          <t xml:space="preserve">Bible_Journey_Canon_Map_v0_3_2Chronicles_Wisdom_2Kings.xlsx</t>
        </is>
      </c>
      <c r="C252" s="15" t="inlineStr">
        <is>
          <t xml:space="preserve">BLK-WIS-005-01</t>
        </is>
      </c>
      <c r="D252" s="15" t="inlineStr">
        <is>
          <t xml:space="preserve">CRS-WIS-005</t>
        </is>
      </c>
      <c r="E252" s="15">
        <v>1</v>
      </c>
      <c r="F252" s="15" t="inlineStr">
        <is>
          <t xml:space="preserve">Proverbs</t>
        </is>
      </c>
      <c r="G252" s="15" t="inlineStr">
        <is>
          <t xml:space="preserve">Proverbs 25-29</t>
        </is>
      </c>
      <c r="H252" s="15" t="inlineStr">
        <is>
          <t xml:space="preserve">Wisdom / Poetry Collection</t>
        </is>
      </c>
      <c r="I252" s="15" t="inlineStr">
        <is>
          <t xml:space="preserve">Yes</t>
        </is>
      </c>
      <c r="J252" s="15" t="inlineStr">
        <is>
          <t xml:space="preserve">Yes</t>
        </is>
      </c>
      <c r="K252" s="15" t="inlineStr">
        <is>
          <t xml:space="preserve">No</t>
        </is>
      </c>
      <c r="L252" s="15" t="inlineStr">
        <is>
          <t xml:space="preserve">High</t>
        </is>
      </c>
      <c r="M252" s="15" t="inlineStr">
        <is>
          <t xml:space="preserve">Probable</t>
        </is>
      </c>
      <c r="N252" s="15" t="inlineStr">
        <is>
          <t xml:space="preserve">Attach to v0.3 event</t>
        </is>
      </c>
      <c r="O252" s="15" t="inlineStr">
        <is>
          <t xml:space="preserve">CRS-2K-018</t>
        </is>
      </c>
      <c r="P252" s="15" t="inlineStr">
        <is>
          <t xml:space="preserve">Wisdom Collection</t>
        </is>
      </c>
      <c r="Q252" s="15" t="inlineStr">
        <is>
          <t xml:space="preserve">SRC-CANON-TEXT; SRC-WISDOM-CANON; SRC-WHO-WROTE</t>
        </is>
      </c>
      <c r="R252" s="11" t="inlineStr">
        <is>
          <t xml:space="preserve">Needs Review</t>
        </is>
      </c>
      <c r="S252" s="15" t="inlineStr">
        <is>
          <t xml:space="preserve">Proverbs 25:1 explicitly associates this collection with the men of Hezekiah; that supports a collection context, not a composition date for every proverb.</t>
        </is>
      </c>
    </row>
    <row r="253" ht="34" customHeight="1">
      <c r="A253" s="15" t="inlineStr">
        <is>
          <t xml:space="preserve">v0.3</t>
        </is>
      </c>
      <c r="B253" s="15" t="inlineStr">
        <is>
          <t xml:space="preserve">Bible_Journey_Canon_Map_v0_3_2Chronicles_Wisdom_2Kings.xlsx</t>
        </is>
      </c>
      <c r="C253" s="15" t="inlineStr">
        <is>
          <t xml:space="preserve">BLK-WIS-006-01</t>
        </is>
      </c>
      <c r="D253" s="15" t="inlineStr">
        <is>
          <t xml:space="preserve">CRS-WIS-006</t>
        </is>
      </c>
      <c r="E253" s="15">
        <v>1</v>
      </c>
      <c r="F253" s="15" t="inlineStr">
        <is>
          <t xml:space="preserve">Proverbs</t>
        </is>
      </c>
      <c r="G253" s="15" t="inlineStr">
        <is>
          <t xml:space="preserve">Proverbs 30</t>
        </is>
      </c>
      <c r="H253" s="15" t="inlineStr">
        <is>
          <t xml:space="preserve">Wisdom / Poetry Collection</t>
        </is>
      </c>
      <c r="I253" s="15" t="inlineStr">
        <is>
          <t xml:space="preserve">Yes</t>
        </is>
      </c>
      <c r="J253" s="15" t="inlineStr">
        <is>
          <t xml:space="preserve">Yes</t>
        </is>
      </c>
      <c r="K253" s="15" t="inlineStr">
        <is>
          <t xml:space="preserve">No</t>
        </is>
      </c>
      <c r="L253" s="15" t="inlineStr">
        <is>
          <t xml:space="preserve">High</t>
        </is>
      </c>
      <c r="M253" s="13" t="inlineStr">
        <is>
          <t xml:space="preserve">Unresolved</t>
        </is>
      </c>
      <c r="N253" s="15" t="inlineStr">
        <is>
          <t xml:space="preserve">Auxiliary collection / no fixed event placement</t>
        </is>
      </c>
      <c r="O253" s="15" t="inlineStr">
        <is>
          <t xml:space="preserve">Wisdom Library</t>
        </is>
      </c>
      <c r="P253" s="15" t="inlineStr">
        <is>
          <t xml:space="preserve">Wisdom Collection</t>
        </is>
      </c>
      <c r="Q253" s="15" t="inlineStr">
        <is>
          <t xml:space="preserve">SRC-CANON-TEXT; SRC-WISDOM-CANON; SRC-WHO-WROTE</t>
        </is>
      </c>
      <c r="R253" s="11" t="inlineStr">
        <is>
          <t xml:space="preserve">Needs Review</t>
        </is>
      </c>
      <c r="S253" s="15" t="inlineStr">
        <is>
          <t xml:space="preserve">The text identifies Agur; the app will not force it into Solomon's biography.</t>
        </is>
      </c>
    </row>
    <row r="254" ht="34" customHeight="1">
      <c r="A254" s="15" t="inlineStr">
        <is>
          <t xml:space="preserve">v0.3</t>
        </is>
      </c>
      <c r="B254" s="15" t="inlineStr">
        <is>
          <t xml:space="preserve">Bible_Journey_Canon_Map_v0_3_2Chronicles_Wisdom_2Kings.xlsx</t>
        </is>
      </c>
      <c r="C254" s="15" t="inlineStr">
        <is>
          <t xml:space="preserve">BLK-WIS-007-01</t>
        </is>
      </c>
      <c r="D254" s="15" t="inlineStr">
        <is>
          <t xml:space="preserve">CRS-WIS-007</t>
        </is>
      </c>
      <c r="E254" s="15">
        <v>1</v>
      </c>
      <c r="F254" s="15" t="inlineStr">
        <is>
          <t xml:space="preserve">Proverbs</t>
        </is>
      </c>
      <c r="G254" s="15" t="inlineStr">
        <is>
          <t xml:space="preserve">Proverbs 31</t>
        </is>
      </c>
      <c r="H254" s="15" t="inlineStr">
        <is>
          <t xml:space="preserve">Wisdom / Poetry Collection</t>
        </is>
      </c>
      <c r="I254" s="15" t="inlineStr">
        <is>
          <t xml:space="preserve">Yes</t>
        </is>
      </c>
      <c r="J254" s="15" t="inlineStr">
        <is>
          <t xml:space="preserve">Yes</t>
        </is>
      </c>
      <c r="K254" s="15" t="inlineStr">
        <is>
          <t xml:space="preserve">No</t>
        </is>
      </c>
      <c r="L254" s="15" t="inlineStr">
        <is>
          <t xml:space="preserve">High</t>
        </is>
      </c>
      <c r="M254" s="13" t="inlineStr">
        <is>
          <t xml:space="preserve">Unresolved</t>
        </is>
      </c>
      <c r="N254" s="15" t="inlineStr">
        <is>
          <t xml:space="preserve">Auxiliary collection / no fixed event placement</t>
        </is>
      </c>
      <c r="O254" s="15" t="inlineStr">
        <is>
          <t xml:space="preserve">Wisdom Library</t>
        </is>
      </c>
      <c r="P254" s="15" t="inlineStr">
        <is>
          <t xml:space="preserve">Wisdom Collection</t>
        </is>
      </c>
      <c r="Q254" s="15" t="inlineStr">
        <is>
          <t xml:space="preserve">SRC-CANON-TEXT; SRC-WISDOM-CANON; SRC-WHO-WROTE</t>
        </is>
      </c>
      <c r="R254" s="11" t="inlineStr">
        <is>
          <t xml:space="preserve">Needs Review</t>
        </is>
      </c>
      <c r="S254" s="15" t="inlineStr">
        <is>
          <t xml:space="preserve">The text identifies Lemuel and his mother; the app will not attribute it automatically to Solomon.</t>
        </is>
      </c>
    </row>
    <row r="255" ht="34" customHeight="1">
      <c r="A255" s="15" t="inlineStr">
        <is>
          <t xml:space="preserve">v0.3</t>
        </is>
      </c>
      <c r="B255" s="15" t="inlineStr">
        <is>
          <t xml:space="preserve">Bible_Journey_Canon_Map_v0_3_2Chronicles_Wisdom_2Kings.xlsx</t>
        </is>
      </c>
      <c r="C255" s="15" t="inlineStr">
        <is>
          <t xml:space="preserve">BLK-2K-001-01</t>
        </is>
      </c>
      <c r="D255" s="15" t="inlineStr">
        <is>
          <t xml:space="preserve">CRS-2K-001</t>
        </is>
      </c>
      <c r="E255" s="15">
        <v>1</v>
      </c>
      <c r="F255" s="15" t="inlineStr">
        <is>
          <t xml:space="preserve">2 Kings</t>
        </is>
      </c>
      <c r="G255" s="15" t="inlineStr">
        <is>
          <t xml:space="preserve">2 Kings 1</t>
        </is>
      </c>
      <c r="H255" s="15" t="inlineStr">
        <is>
          <t xml:space="preserve">Primary Account</t>
        </is>
      </c>
      <c r="I255" s="15" t="inlineStr">
        <is>
          <t xml:space="preserve">Yes</t>
        </is>
      </c>
      <c r="J255" s="15" t="inlineStr">
        <is>
          <t xml:space="preserve">Yes</t>
        </is>
      </c>
      <c r="K255" s="15" t="inlineStr">
        <is>
          <t xml:space="preserve">Yes</t>
        </is>
      </c>
      <c r="L255" s="15" t="inlineStr">
        <is>
          <t xml:space="preserve">High</t>
        </is>
      </c>
      <c r="M255" s="15" t="inlineStr">
        <is>
          <t xml:space="preserve">High</t>
        </is>
      </c>
      <c r="N255" s="15" t="inlineStr">
        <is>
          <t xml:space="preserve">New main-spine continuation</t>
        </is>
      </c>
      <c r="O255" s="15"/>
      <c r="P255" s="15" t="inlineStr">
        <is>
          <t xml:space="preserve">Primary Account</t>
        </is>
      </c>
      <c r="Q255" s="15" t="inlineStr">
        <is>
          <t xml:space="preserve">SRC-CANON-TEXT; SRC-KINGS-OVERVIEW</t>
        </is>
      </c>
      <c r="R255" s="11" t="inlineStr">
        <is>
          <t xml:space="preserve">Needs Review</t>
        </is>
      </c>
      <c r="S255" s="15" t="inlineStr">
        <is>
          <t xml:space="preserve">Main 2 Kings account for this chronological reading set.</t>
        </is>
      </c>
    </row>
    <row r="256" ht="34" customHeight="1">
      <c r="A256" s="15" t="inlineStr">
        <is>
          <t xml:space="preserve">v0.3</t>
        </is>
      </c>
      <c r="B256" s="15" t="inlineStr">
        <is>
          <t xml:space="preserve">Bible_Journey_Canon_Map_v0_3_2Chronicles_Wisdom_2Kings.xlsx</t>
        </is>
      </c>
      <c r="C256" s="15" t="inlineStr">
        <is>
          <t xml:space="preserve">BLK-2K-002-01</t>
        </is>
      </c>
      <c r="D256" s="15" t="inlineStr">
        <is>
          <t xml:space="preserve">CRS-2K-002</t>
        </is>
      </c>
      <c r="E256" s="15">
        <v>1</v>
      </c>
      <c r="F256" s="15" t="inlineStr">
        <is>
          <t xml:space="preserve">2 Kings</t>
        </is>
      </c>
      <c r="G256" s="15" t="inlineStr">
        <is>
          <t xml:space="preserve">2 Kings 2</t>
        </is>
      </c>
      <c r="H256" s="15" t="inlineStr">
        <is>
          <t xml:space="preserve">Primary Account</t>
        </is>
      </c>
      <c r="I256" s="15" t="inlineStr">
        <is>
          <t xml:space="preserve">Yes</t>
        </is>
      </c>
      <c r="J256" s="15" t="inlineStr">
        <is>
          <t xml:space="preserve">Yes</t>
        </is>
      </c>
      <c r="K256" s="15" t="inlineStr">
        <is>
          <t xml:space="preserve">Yes</t>
        </is>
      </c>
      <c r="L256" s="15" t="inlineStr">
        <is>
          <t xml:space="preserve">High</t>
        </is>
      </c>
      <c r="M256" s="15" t="inlineStr">
        <is>
          <t xml:space="preserve">High</t>
        </is>
      </c>
      <c r="N256" s="15" t="inlineStr">
        <is>
          <t xml:space="preserve">New main-spine continuation</t>
        </is>
      </c>
      <c r="O256" s="15"/>
      <c r="P256" s="15" t="inlineStr">
        <is>
          <t xml:space="preserve">Primary Account</t>
        </is>
      </c>
      <c r="Q256" s="15" t="inlineStr">
        <is>
          <t xml:space="preserve">SRC-CANON-TEXT; SRC-KINGS-OVERVIEW</t>
        </is>
      </c>
      <c r="R256" s="11" t="inlineStr">
        <is>
          <t xml:space="preserve">Needs Review</t>
        </is>
      </c>
      <c r="S256" s="15" t="inlineStr">
        <is>
          <t xml:space="preserve">Main 2 Kings account for this chronological reading set.</t>
        </is>
      </c>
    </row>
    <row r="257" ht="34" customHeight="1">
      <c r="A257" s="15" t="inlineStr">
        <is>
          <t xml:space="preserve">v0.3</t>
        </is>
      </c>
      <c r="B257" s="15" t="inlineStr">
        <is>
          <t xml:space="preserve">Bible_Journey_Canon_Map_v0_3_2Chronicles_Wisdom_2Kings.xlsx</t>
        </is>
      </c>
      <c r="C257" s="15" t="inlineStr">
        <is>
          <t xml:space="preserve">BLK-2K-003-01</t>
        </is>
      </c>
      <c r="D257" s="15" t="inlineStr">
        <is>
          <t xml:space="preserve">CRS-2K-003</t>
        </is>
      </c>
      <c r="E257" s="15">
        <v>1</v>
      </c>
      <c r="F257" s="15" t="inlineStr">
        <is>
          <t xml:space="preserve">2 Kings</t>
        </is>
      </c>
      <c r="G257" s="15" t="inlineStr">
        <is>
          <t xml:space="preserve">2 Kings 3</t>
        </is>
      </c>
      <c r="H257" s="15" t="inlineStr">
        <is>
          <t xml:space="preserve">Primary Account</t>
        </is>
      </c>
      <c r="I257" s="15" t="inlineStr">
        <is>
          <t xml:space="preserve">Yes</t>
        </is>
      </c>
      <c r="J257" s="15" t="inlineStr">
        <is>
          <t xml:space="preserve">Yes</t>
        </is>
      </c>
      <c r="K257" s="15" t="inlineStr">
        <is>
          <t xml:space="preserve">Yes</t>
        </is>
      </c>
      <c r="L257" s="15" t="inlineStr">
        <is>
          <t xml:space="preserve">High</t>
        </is>
      </c>
      <c r="M257" s="15" t="inlineStr">
        <is>
          <t xml:space="preserve">High</t>
        </is>
      </c>
      <c r="N257" s="15" t="inlineStr">
        <is>
          <t xml:space="preserve">New main-spine continuation</t>
        </is>
      </c>
      <c r="O257" s="15"/>
      <c r="P257" s="15" t="inlineStr">
        <is>
          <t xml:space="preserve">Primary Account</t>
        </is>
      </c>
      <c r="Q257" s="15" t="inlineStr">
        <is>
          <t xml:space="preserve">SRC-CANON-TEXT; SRC-KINGS-OVERVIEW</t>
        </is>
      </c>
      <c r="R257" s="11" t="inlineStr">
        <is>
          <t xml:space="preserve">Needs Review</t>
        </is>
      </c>
      <c r="S257" s="15" t="inlineStr">
        <is>
          <t xml:space="preserve">Main 2 Kings account for this chronological reading set.</t>
        </is>
      </c>
    </row>
    <row r="258" ht="34" customHeight="1">
      <c r="A258" s="15" t="inlineStr">
        <is>
          <t xml:space="preserve">v0.3</t>
        </is>
      </c>
      <c r="B258" s="15" t="inlineStr">
        <is>
          <t xml:space="preserve">Bible_Journey_Canon_Map_v0_3_2Chronicles_Wisdom_2Kings.xlsx</t>
        </is>
      </c>
      <c r="C258" s="15" t="inlineStr">
        <is>
          <t xml:space="preserve">BLK-2K-004-01</t>
        </is>
      </c>
      <c r="D258" s="15" t="inlineStr">
        <is>
          <t xml:space="preserve">CRS-2K-004</t>
        </is>
      </c>
      <c r="E258" s="15">
        <v>1</v>
      </c>
      <c r="F258" s="15" t="inlineStr">
        <is>
          <t xml:space="preserve">2 Kings</t>
        </is>
      </c>
      <c r="G258" s="15" t="inlineStr">
        <is>
          <t xml:space="preserve">2 Kings 4</t>
        </is>
      </c>
      <c r="H258" s="15" t="inlineStr">
        <is>
          <t xml:space="preserve">Primary Account</t>
        </is>
      </c>
      <c r="I258" s="15" t="inlineStr">
        <is>
          <t xml:space="preserve">Yes</t>
        </is>
      </c>
      <c r="J258" s="15" t="inlineStr">
        <is>
          <t xml:space="preserve">Yes</t>
        </is>
      </c>
      <c r="K258" s="15" t="inlineStr">
        <is>
          <t xml:space="preserve">Yes</t>
        </is>
      </c>
      <c r="L258" s="15" t="inlineStr">
        <is>
          <t xml:space="preserve">High</t>
        </is>
      </c>
      <c r="M258" s="15" t="inlineStr">
        <is>
          <t xml:space="preserve">High</t>
        </is>
      </c>
      <c r="N258" s="15" t="inlineStr">
        <is>
          <t xml:space="preserve">New main-spine continuation</t>
        </is>
      </c>
      <c r="O258" s="15"/>
      <c r="P258" s="15" t="inlineStr">
        <is>
          <t xml:space="preserve">Primary Account</t>
        </is>
      </c>
      <c r="Q258" s="15" t="inlineStr">
        <is>
          <t xml:space="preserve">SRC-CANON-TEXT; SRC-KINGS-OVERVIEW</t>
        </is>
      </c>
      <c r="R258" s="11" t="inlineStr">
        <is>
          <t xml:space="preserve">Needs Review</t>
        </is>
      </c>
      <c r="S258" s="15" t="inlineStr">
        <is>
          <t xml:space="preserve">Main 2 Kings account for this chronological reading set.</t>
        </is>
      </c>
    </row>
    <row r="259" ht="34" customHeight="1">
      <c r="A259" s="15" t="inlineStr">
        <is>
          <t xml:space="preserve">v0.3</t>
        </is>
      </c>
      <c r="B259" s="15" t="inlineStr">
        <is>
          <t xml:space="preserve">Bible_Journey_Canon_Map_v0_3_2Chronicles_Wisdom_2Kings.xlsx</t>
        </is>
      </c>
      <c r="C259" s="15" t="inlineStr">
        <is>
          <t xml:space="preserve">BLK-2K-005-01</t>
        </is>
      </c>
      <c r="D259" s="15" t="inlineStr">
        <is>
          <t xml:space="preserve">CRS-2K-005</t>
        </is>
      </c>
      <c r="E259" s="15">
        <v>1</v>
      </c>
      <c r="F259" s="15" t="inlineStr">
        <is>
          <t xml:space="preserve">2 Kings</t>
        </is>
      </c>
      <c r="G259" s="15" t="inlineStr">
        <is>
          <t xml:space="preserve">2 Kings 5</t>
        </is>
      </c>
      <c r="H259" s="15" t="inlineStr">
        <is>
          <t xml:space="preserve">Primary Account</t>
        </is>
      </c>
      <c r="I259" s="15" t="inlineStr">
        <is>
          <t xml:space="preserve">Yes</t>
        </is>
      </c>
      <c r="J259" s="15" t="inlineStr">
        <is>
          <t xml:space="preserve">Yes</t>
        </is>
      </c>
      <c r="K259" s="15" t="inlineStr">
        <is>
          <t xml:space="preserve">Yes</t>
        </is>
      </c>
      <c r="L259" s="15" t="inlineStr">
        <is>
          <t xml:space="preserve">High</t>
        </is>
      </c>
      <c r="M259" s="15" t="inlineStr">
        <is>
          <t xml:space="preserve">High</t>
        </is>
      </c>
      <c r="N259" s="15" t="inlineStr">
        <is>
          <t xml:space="preserve">New main-spine continuation</t>
        </is>
      </c>
      <c r="O259" s="15"/>
      <c r="P259" s="15" t="inlineStr">
        <is>
          <t xml:space="preserve">Primary Account</t>
        </is>
      </c>
      <c r="Q259" s="15" t="inlineStr">
        <is>
          <t xml:space="preserve">SRC-CANON-TEXT; SRC-KINGS-OVERVIEW</t>
        </is>
      </c>
      <c r="R259" s="11" t="inlineStr">
        <is>
          <t xml:space="preserve">Needs Review</t>
        </is>
      </c>
      <c r="S259" s="15" t="inlineStr">
        <is>
          <t xml:space="preserve">Main 2 Kings account for this chronological reading set.</t>
        </is>
      </c>
    </row>
    <row r="260" ht="34" customHeight="1">
      <c r="A260" s="15" t="inlineStr">
        <is>
          <t xml:space="preserve">v0.3</t>
        </is>
      </c>
      <c r="B260" s="15" t="inlineStr">
        <is>
          <t xml:space="preserve">Bible_Journey_Canon_Map_v0_3_2Chronicles_Wisdom_2Kings.xlsx</t>
        </is>
      </c>
      <c r="C260" s="15" t="inlineStr">
        <is>
          <t xml:space="preserve">BLK-2K-006-01</t>
        </is>
      </c>
      <c r="D260" s="15" t="inlineStr">
        <is>
          <t xml:space="preserve">CRS-2K-006</t>
        </is>
      </c>
      <c r="E260" s="15">
        <v>1</v>
      </c>
      <c r="F260" s="15" t="inlineStr">
        <is>
          <t xml:space="preserve">2 Kings</t>
        </is>
      </c>
      <c r="G260" s="15" t="inlineStr">
        <is>
          <t xml:space="preserve">2 Kings 6</t>
        </is>
      </c>
      <c r="H260" s="15" t="inlineStr">
        <is>
          <t xml:space="preserve">Primary Account</t>
        </is>
      </c>
      <c r="I260" s="15" t="inlineStr">
        <is>
          <t xml:space="preserve">Yes</t>
        </is>
      </c>
      <c r="J260" s="15" t="inlineStr">
        <is>
          <t xml:space="preserve">Yes</t>
        </is>
      </c>
      <c r="K260" s="15" t="inlineStr">
        <is>
          <t xml:space="preserve">Yes</t>
        </is>
      </c>
      <c r="L260" s="15" t="inlineStr">
        <is>
          <t xml:space="preserve">High</t>
        </is>
      </c>
      <c r="M260" s="15" t="inlineStr">
        <is>
          <t xml:space="preserve">High</t>
        </is>
      </c>
      <c r="N260" s="15" t="inlineStr">
        <is>
          <t xml:space="preserve">New main-spine continuation</t>
        </is>
      </c>
      <c r="O260" s="15"/>
      <c r="P260" s="15" t="inlineStr">
        <is>
          <t xml:space="preserve">Primary Account</t>
        </is>
      </c>
      <c r="Q260" s="15" t="inlineStr">
        <is>
          <t xml:space="preserve">SRC-CANON-TEXT; SRC-KINGS-OVERVIEW</t>
        </is>
      </c>
      <c r="R260" s="11" t="inlineStr">
        <is>
          <t xml:space="preserve">Needs Review</t>
        </is>
      </c>
      <c r="S260" s="15" t="inlineStr">
        <is>
          <t xml:space="preserve">Main 2 Kings account for this chronological reading set.</t>
        </is>
      </c>
    </row>
    <row r="261" ht="34" customHeight="1">
      <c r="A261" s="15" t="inlineStr">
        <is>
          <t xml:space="preserve">v0.3</t>
        </is>
      </c>
      <c r="B261" s="15" t="inlineStr">
        <is>
          <t xml:space="preserve">Bible_Journey_Canon_Map_v0_3_2Chronicles_Wisdom_2Kings.xlsx</t>
        </is>
      </c>
      <c r="C261" s="15" t="inlineStr">
        <is>
          <t xml:space="preserve">BLK-2K-007-01</t>
        </is>
      </c>
      <c r="D261" s="15" t="inlineStr">
        <is>
          <t xml:space="preserve">CRS-2K-007</t>
        </is>
      </c>
      <c r="E261" s="15">
        <v>1</v>
      </c>
      <c r="F261" s="15" t="inlineStr">
        <is>
          <t xml:space="preserve">2 Kings</t>
        </is>
      </c>
      <c r="G261" s="15" t="inlineStr">
        <is>
          <t xml:space="preserve">2 Kings 7</t>
        </is>
      </c>
      <c r="H261" s="15" t="inlineStr">
        <is>
          <t xml:space="preserve">Primary Account</t>
        </is>
      </c>
      <c r="I261" s="15" t="inlineStr">
        <is>
          <t xml:space="preserve">Yes</t>
        </is>
      </c>
      <c r="J261" s="15" t="inlineStr">
        <is>
          <t xml:space="preserve">Yes</t>
        </is>
      </c>
      <c r="K261" s="15" t="inlineStr">
        <is>
          <t xml:space="preserve">Yes</t>
        </is>
      </c>
      <c r="L261" s="15" t="inlineStr">
        <is>
          <t xml:space="preserve">High</t>
        </is>
      </c>
      <c r="M261" s="15" t="inlineStr">
        <is>
          <t xml:space="preserve">High</t>
        </is>
      </c>
      <c r="N261" s="15" t="inlineStr">
        <is>
          <t xml:space="preserve">New main-spine continuation</t>
        </is>
      </c>
      <c r="O261" s="15"/>
      <c r="P261" s="15" t="inlineStr">
        <is>
          <t xml:space="preserve">Primary Account</t>
        </is>
      </c>
      <c r="Q261" s="15" t="inlineStr">
        <is>
          <t xml:space="preserve">SRC-CANON-TEXT; SRC-KINGS-OVERVIEW</t>
        </is>
      </c>
      <c r="R261" s="11" t="inlineStr">
        <is>
          <t xml:space="preserve">Needs Review</t>
        </is>
      </c>
      <c r="S261" s="15" t="inlineStr">
        <is>
          <t xml:space="preserve">Main 2 Kings account for this chronological reading set.</t>
        </is>
      </c>
    </row>
    <row r="262" ht="34" customHeight="1">
      <c r="A262" s="15" t="inlineStr">
        <is>
          <t xml:space="preserve">v0.3</t>
        </is>
      </c>
      <c r="B262" s="15" t="inlineStr">
        <is>
          <t xml:space="preserve">Bible_Journey_Canon_Map_v0_3_2Chronicles_Wisdom_2Kings.xlsx</t>
        </is>
      </c>
      <c r="C262" s="15" t="inlineStr">
        <is>
          <t xml:space="preserve">BLK-2K-008A-01</t>
        </is>
      </c>
      <c r="D262" s="15" t="inlineStr">
        <is>
          <t xml:space="preserve">CRS-2K-008A</t>
        </is>
      </c>
      <c r="E262" s="15">
        <v>1</v>
      </c>
      <c r="F262" s="15" t="inlineStr">
        <is>
          <t xml:space="preserve">2 Kings</t>
        </is>
      </c>
      <c r="G262" s="15" t="inlineStr">
        <is>
          <t xml:space="preserve">2 Kings 8:1-15</t>
        </is>
      </c>
      <c r="H262" s="15" t="inlineStr">
        <is>
          <t xml:space="preserve">Primary Account</t>
        </is>
      </c>
      <c r="I262" s="15" t="inlineStr">
        <is>
          <t xml:space="preserve">Yes</t>
        </is>
      </c>
      <c r="J262" s="15" t="inlineStr">
        <is>
          <t xml:space="preserve">Yes</t>
        </is>
      </c>
      <c r="K262" s="15" t="inlineStr">
        <is>
          <t xml:space="preserve">Yes</t>
        </is>
      </c>
      <c r="L262" s="15" t="inlineStr">
        <is>
          <t xml:space="preserve">High</t>
        </is>
      </c>
      <c r="M262" s="15" t="inlineStr">
        <is>
          <t xml:space="preserve">High</t>
        </is>
      </c>
      <c r="N262" s="15" t="inlineStr">
        <is>
          <t xml:space="preserve">New main-spine continuation</t>
        </is>
      </c>
      <c r="O262" s="15"/>
      <c r="P262" s="15" t="inlineStr">
        <is>
          <t xml:space="preserve">Primary Account</t>
        </is>
      </c>
      <c r="Q262" s="15" t="inlineStr">
        <is>
          <t xml:space="preserve">SRC-CANON-TEXT; SRC-KINGS-OVERVIEW</t>
        </is>
      </c>
      <c r="R262" s="11" t="inlineStr">
        <is>
          <t xml:space="preserve">Needs Review</t>
        </is>
      </c>
      <c r="S262" s="15" t="inlineStr">
        <is>
          <t xml:space="preserve">Main 2 Kings account for this chronological reading set.</t>
        </is>
      </c>
    </row>
    <row r="263" ht="34" customHeight="1">
      <c r="A263" s="15" t="inlineStr">
        <is>
          <t xml:space="preserve">v0.3</t>
        </is>
      </c>
      <c r="B263" s="15" t="inlineStr">
        <is>
          <t xml:space="preserve">Bible_Journey_Canon_Map_v0_3_2Chronicles_Wisdom_2Kings.xlsx</t>
        </is>
      </c>
      <c r="C263" s="15" t="inlineStr">
        <is>
          <t xml:space="preserve">BLK-2K-008B-01</t>
        </is>
      </c>
      <c r="D263" s="15" t="inlineStr">
        <is>
          <t xml:space="preserve">CRS-2K-008B</t>
        </is>
      </c>
      <c r="E263" s="15">
        <v>1</v>
      </c>
      <c r="F263" s="15" t="inlineStr">
        <is>
          <t xml:space="preserve">2 Kings</t>
        </is>
      </c>
      <c r="G263" s="15" t="inlineStr">
        <is>
          <t xml:space="preserve">2 Kings 8:16-29</t>
        </is>
      </c>
      <c r="H263" s="15" t="inlineStr">
        <is>
          <t xml:space="preserve">Primary Account</t>
        </is>
      </c>
      <c r="I263" s="15" t="inlineStr">
        <is>
          <t xml:space="preserve">Yes</t>
        </is>
      </c>
      <c r="J263" s="15" t="inlineStr">
        <is>
          <t xml:space="preserve">Yes</t>
        </is>
      </c>
      <c r="K263" s="15" t="inlineStr">
        <is>
          <t xml:space="preserve">Yes</t>
        </is>
      </c>
      <c r="L263" s="15" t="inlineStr">
        <is>
          <t xml:space="preserve">High</t>
        </is>
      </c>
      <c r="M263" s="15" t="inlineStr">
        <is>
          <t xml:space="preserve">High</t>
        </is>
      </c>
      <c r="N263" s="15" t="inlineStr">
        <is>
          <t xml:space="preserve">New main-spine continuation</t>
        </is>
      </c>
      <c r="O263" s="15"/>
      <c r="P263" s="15" t="inlineStr">
        <is>
          <t xml:space="preserve">Primary Account</t>
        </is>
      </c>
      <c r="Q263" s="15" t="inlineStr">
        <is>
          <t xml:space="preserve">SRC-CANON-TEXT; SRC-KINGS-OVERVIEW; SRC-CHRONICLES-OVERVIEW</t>
        </is>
      </c>
      <c r="R263" s="11" t="inlineStr">
        <is>
          <t xml:space="preserve">Needs Review</t>
        </is>
      </c>
      <c r="S263" s="15" t="inlineStr">
        <is>
          <t xml:space="preserve">Main 2 Kings account for this chronological reading set.</t>
        </is>
      </c>
    </row>
    <row r="264" ht="34" customHeight="1">
      <c r="A264" s="15" t="inlineStr">
        <is>
          <t xml:space="preserve">v0.3</t>
        </is>
      </c>
      <c r="B264" s="15" t="inlineStr">
        <is>
          <t xml:space="preserve">Bible_Journey_Canon_Map_v0_3_2Chronicles_Wisdom_2Kings.xlsx</t>
        </is>
      </c>
      <c r="C264" s="15" t="inlineStr">
        <is>
          <t xml:space="preserve">BLK-2K-008B-02</t>
        </is>
      </c>
      <c r="D264" s="15" t="inlineStr">
        <is>
          <t xml:space="preserve">CRS-2K-008B</t>
        </is>
      </c>
      <c r="E264" s="15">
        <v>2</v>
      </c>
      <c r="F264" s="15" t="inlineStr">
        <is>
          <t xml:space="preserve">2 Chronicles</t>
        </is>
      </c>
      <c r="G264" s="15" t="inlineStr">
        <is>
          <t xml:space="preserve">21</t>
        </is>
      </c>
      <c r="H264" s="15" t="inlineStr">
        <is>
          <t xml:space="preserve">Complementary Account</t>
        </is>
      </c>
      <c r="I264" s="15" t="inlineStr">
        <is>
          <t xml:space="preserve">Yes</t>
        </is>
      </c>
      <c r="J264" s="15" t="inlineStr">
        <is>
          <t xml:space="preserve">Yes</t>
        </is>
      </c>
      <c r="K264" s="15" t="inlineStr">
        <is>
          <t xml:space="preserve">No</t>
        </is>
      </c>
      <c r="L264" s="15" t="inlineStr">
        <is>
          <t xml:space="preserve">High</t>
        </is>
      </c>
      <c r="M264" s="15" t="inlineStr">
        <is>
          <t xml:space="preserve">High</t>
        </is>
      </c>
      <c r="N264" s="15" t="inlineStr">
        <is>
          <t xml:space="preserve">Attach within current CRS</t>
        </is>
      </c>
      <c r="O264" s="15"/>
      <c r="P264" s="15" t="inlineStr">
        <is>
          <t xml:space="preserve">Complementary Account</t>
        </is>
      </c>
      <c r="Q264" s="15" t="inlineStr">
        <is>
          <t xml:space="preserve">SRC-CANON-TEXT; SRC-KINGS-OVERVIEW; SRC-CHRONICLES-OVERVIEW</t>
        </is>
      </c>
      <c r="R264" s="11" t="inlineStr">
        <is>
          <t xml:space="preserve">Needs Review</t>
        </is>
      </c>
      <c r="S264" s="15" t="inlineStr">
        <is>
          <t xml:space="preserve">Chronicles adds Jehoram's reign material.</t>
        </is>
      </c>
    </row>
    <row r="265" ht="34" customHeight="1">
      <c r="A265" s="15" t="inlineStr">
        <is>
          <t xml:space="preserve">v0.3</t>
        </is>
      </c>
      <c r="B265" s="15" t="inlineStr">
        <is>
          <t xml:space="preserve">Bible_Journey_Canon_Map_v0_3_2Chronicles_Wisdom_2Kings.xlsx</t>
        </is>
      </c>
      <c r="C265" s="15" t="inlineStr">
        <is>
          <t xml:space="preserve">BLK-2K-008B-03</t>
        </is>
      </c>
      <c r="D265" s="15" t="inlineStr">
        <is>
          <t xml:space="preserve">CRS-2K-008B</t>
        </is>
      </c>
      <c r="E265" s="15">
        <v>3</v>
      </c>
      <c r="F265" s="15" t="inlineStr">
        <is>
          <t xml:space="preserve">2 Chronicles</t>
        </is>
      </c>
      <c r="G265" s="15" t="inlineStr">
        <is>
          <t xml:space="preserve">22:1-9</t>
        </is>
      </c>
      <c r="H265" s="15" t="inlineStr">
        <is>
          <t xml:space="preserve">Parallel Account</t>
        </is>
      </c>
      <c r="I265" s="15" t="inlineStr">
        <is>
          <t xml:space="preserve">Yes</t>
        </is>
      </c>
      <c r="J265" s="15" t="inlineStr">
        <is>
          <t xml:space="preserve">Yes</t>
        </is>
      </c>
      <c r="K265" s="15" t="inlineStr">
        <is>
          <t xml:space="preserve">No</t>
        </is>
      </c>
      <c r="L265" s="15" t="inlineStr">
        <is>
          <t xml:space="preserve">High</t>
        </is>
      </c>
      <c r="M265" s="15" t="inlineStr">
        <is>
          <t xml:space="preserve">High</t>
        </is>
      </c>
      <c r="N265" s="15" t="inlineStr">
        <is>
          <t xml:space="preserve">Attach within current CRS</t>
        </is>
      </c>
      <c r="O265" s="15"/>
      <c r="P265" s="15" t="inlineStr">
        <is>
          <t xml:space="preserve">Parallel Account</t>
        </is>
      </c>
      <c r="Q265" s="15" t="inlineStr">
        <is>
          <t xml:space="preserve">SRC-CANON-TEXT; SRC-KINGS-OVERVIEW; SRC-CHRONICLES-OVERVIEW</t>
        </is>
      </c>
      <c r="R265" s="11" t="inlineStr">
        <is>
          <t xml:space="preserve">Needs Review</t>
        </is>
      </c>
      <c r="S265" s="15" t="inlineStr">
        <is>
          <t xml:space="preserve">Chronicles account of Ahaziah.</t>
        </is>
      </c>
    </row>
    <row r="266" ht="34" customHeight="1">
      <c r="A266" s="15" t="inlineStr">
        <is>
          <t xml:space="preserve">v0.3</t>
        </is>
      </c>
      <c r="B266" s="15" t="inlineStr">
        <is>
          <t xml:space="preserve">Bible_Journey_Canon_Map_v0_3_2Chronicles_Wisdom_2Kings.xlsx</t>
        </is>
      </c>
      <c r="C266" s="15" t="inlineStr">
        <is>
          <t xml:space="preserve">BLK-2K-009-01</t>
        </is>
      </c>
      <c r="D266" s="15" t="inlineStr">
        <is>
          <t xml:space="preserve">CRS-2K-009</t>
        </is>
      </c>
      <c r="E266" s="15">
        <v>1</v>
      </c>
      <c r="F266" s="15" t="inlineStr">
        <is>
          <t xml:space="preserve">2 Kings</t>
        </is>
      </c>
      <c r="G266" s="15" t="inlineStr">
        <is>
          <t xml:space="preserve">2 Kings 9</t>
        </is>
      </c>
      <c r="H266" s="15" t="inlineStr">
        <is>
          <t xml:space="preserve">Primary Account</t>
        </is>
      </c>
      <c r="I266" s="15" t="inlineStr">
        <is>
          <t xml:space="preserve">Yes</t>
        </is>
      </c>
      <c r="J266" s="15" t="inlineStr">
        <is>
          <t xml:space="preserve">Yes</t>
        </is>
      </c>
      <c r="K266" s="15" t="inlineStr">
        <is>
          <t xml:space="preserve">Yes</t>
        </is>
      </c>
      <c r="L266" s="15" t="inlineStr">
        <is>
          <t xml:space="preserve">High</t>
        </is>
      </c>
      <c r="M266" s="15" t="inlineStr">
        <is>
          <t xml:space="preserve">High</t>
        </is>
      </c>
      <c r="N266" s="15" t="inlineStr">
        <is>
          <t xml:space="preserve">New main-spine continuation</t>
        </is>
      </c>
      <c r="O266" s="15"/>
      <c r="P266" s="15" t="inlineStr">
        <is>
          <t xml:space="preserve">Primary Account</t>
        </is>
      </c>
      <c r="Q266" s="15" t="inlineStr">
        <is>
          <t xml:space="preserve">SRC-CANON-TEXT; SRC-KINGS-OVERVIEW</t>
        </is>
      </c>
      <c r="R266" s="11" t="inlineStr">
        <is>
          <t xml:space="preserve">Needs Review</t>
        </is>
      </c>
      <c r="S266" s="15" t="inlineStr">
        <is>
          <t xml:space="preserve">Main 2 Kings account for this chronological reading set.</t>
        </is>
      </c>
    </row>
    <row r="267" ht="34" customHeight="1">
      <c r="A267" s="15" t="inlineStr">
        <is>
          <t xml:space="preserve">v0.3</t>
        </is>
      </c>
      <c r="B267" s="15" t="inlineStr">
        <is>
          <t xml:space="preserve">Bible_Journey_Canon_Map_v0_3_2Chronicles_Wisdom_2Kings.xlsx</t>
        </is>
      </c>
      <c r="C267" s="15" t="inlineStr">
        <is>
          <t xml:space="preserve">BLK-2K-010-01</t>
        </is>
      </c>
      <c r="D267" s="15" t="inlineStr">
        <is>
          <t xml:space="preserve">CRS-2K-010</t>
        </is>
      </c>
      <c r="E267" s="15">
        <v>1</v>
      </c>
      <c r="F267" s="15" t="inlineStr">
        <is>
          <t xml:space="preserve">2 Kings</t>
        </is>
      </c>
      <c r="G267" s="15" t="inlineStr">
        <is>
          <t xml:space="preserve">2 Kings 10</t>
        </is>
      </c>
      <c r="H267" s="15" t="inlineStr">
        <is>
          <t xml:space="preserve">Primary Account</t>
        </is>
      </c>
      <c r="I267" s="15" t="inlineStr">
        <is>
          <t xml:space="preserve">Yes</t>
        </is>
      </c>
      <c r="J267" s="15" t="inlineStr">
        <is>
          <t xml:space="preserve">Yes</t>
        </is>
      </c>
      <c r="K267" s="15" t="inlineStr">
        <is>
          <t xml:space="preserve">Yes</t>
        </is>
      </c>
      <c r="L267" s="15" t="inlineStr">
        <is>
          <t xml:space="preserve">High</t>
        </is>
      </c>
      <c r="M267" s="15" t="inlineStr">
        <is>
          <t xml:space="preserve">High</t>
        </is>
      </c>
      <c r="N267" s="15" t="inlineStr">
        <is>
          <t xml:space="preserve">New main-spine continuation</t>
        </is>
      </c>
      <c r="O267" s="15"/>
      <c r="P267" s="15" t="inlineStr">
        <is>
          <t xml:space="preserve">Primary Account</t>
        </is>
      </c>
      <c r="Q267" s="15" t="inlineStr">
        <is>
          <t xml:space="preserve">SRC-CANON-TEXT; SRC-KINGS-OVERVIEW</t>
        </is>
      </c>
      <c r="R267" s="11" t="inlineStr">
        <is>
          <t xml:space="preserve">Needs Review</t>
        </is>
      </c>
      <c r="S267" s="15" t="inlineStr">
        <is>
          <t xml:space="preserve">Main 2 Kings account for this chronological reading set.</t>
        </is>
      </c>
    </row>
    <row r="268" ht="34" customHeight="1">
      <c r="A268" s="15" t="inlineStr">
        <is>
          <t xml:space="preserve">v0.3</t>
        </is>
      </c>
      <c r="B268" s="15" t="inlineStr">
        <is>
          <t xml:space="preserve">Bible_Journey_Canon_Map_v0_3_2Chronicles_Wisdom_2Kings.xlsx</t>
        </is>
      </c>
      <c r="C268" s="15" t="inlineStr">
        <is>
          <t xml:space="preserve">BLK-2K-011-01</t>
        </is>
      </c>
      <c r="D268" s="15" t="inlineStr">
        <is>
          <t xml:space="preserve">CRS-2K-011</t>
        </is>
      </c>
      <c r="E268" s="15">
        <v>1</v>
      </c>
      <c r="F268" s="15" t="inlineStr">
        <is>
          <t xml:space="preserve">2 Kings</t>
        </is>
      </c>
      <c r="G268" s="15" t="inlineStr">
        <is>
          <t xml:space="preserve">2 Kings 11</t>
        </is>
      </c>
      <c r="H268" s="15" t="inlineStr">
        <is>
          <t xml:space="preserve">Primary Account</t>
        </is>
      </c>
      <c r="I268" s="15" t="inlineStr">
        <is>
          <t xml:space="preserve">Yes</t>
        </is>
      </c>
      <c r="J268" s="15" t="inlineStr">
        <is>
          <t xml:space="preserve">Yes</t>
        </is>
      </c>
      <c r="K268" s="15" t="inlineStr">
        <is>
          <t xml:space="preserve">Yes</t>
        </is>
      </c>
      <c r="L268" s="15" t="inlineStr">
        <is>
          <t xml:space="preserve">High</t>
        </is>
      </c>
      <c r="M268" s="15" t="inlineStr">
        <is>
          <t xml:space="preserve">High</t>
        </is>
      </c>
      <c r="N268" s="15" t="inlineStr">
        <is>
          <t xml:space="preserve">New main-spine continuation</t>
        </is>
      </c>
      <c r="O268" s="15"/>
      <c r="P268" s="15" t="inlineStr">
        <is>
          <t xml:space="preserve">Primary Account</t>
        </is>
      </c>
      <c r="Q268" s="15" t="inlineStr">
        <is>
          <t xml:space="preserve">SRC-CANON-TEXT; SRC-KINGS-OVERVIEW; SRC-CHRONICLES-OVERVIEW</t>
        </is>
      </c>
      <c r="R268" s="11" t="inlineStr">
        <is>
          <t xml:space="preserve">Needs Review</t>
        </is>
      </c>
      <c r="S268" s="15" t="inlineStr">
        <is>
          <t xml:space="preserve">Main 2 Kings account for this chronological reading set.</t>
        </is>
      </c>
    </row>
    <row r="269" ht="34" customHeight="1">
      <c r="A269" s="15" t="inlineStr">
        <is>
          <t xml:space="preserve">v0.3</t>
        </is>
      </c>
      <c r="B269" s="15" t="inlineStr">
        <is>
          <t xml:space="preserve">Bible_Journey_Canon_Map_v0_3_2Chronicles_Wisdom_2Kings.xlsx</t>
        </is>
      </c>
      <c r="C269" s="15" t="inlineStr">
        <is>
          <t xml:space="preserve">BLK-2K-011-02</t>
        </is>
      </c>
      <c r="D269" s="15" t="inlineStr">
        <is>
          <t xml:space="preserve">CRS-2K-011</t>
        </is>
      </c>
      <c r="E269" s="15">
        <v>2</v>
      </c>
      <c r="F269" s="15" t="inlineStr">
        <is>
          <t xml:space="preserve">2 Chronicles</t>
        </is>
      </c>
      <c r="G269" s="15" t="inlineStr">
        <is>
          <t xml:space="preserve">22:10-12</t>
        </is>
      </c>
      <c r="H269" s="15" t="inlineStr">
        <is>
          <t xml:space="preserve">Complementary Account</t>
        </is>
      </c>
      <c r="I269" s="15" t="inlineStr">
        <is>
          <t xml:space="preserve">Yes</t>
        </is>
      </c>
      <c r="J269" s="15" t="inlineStr">
        <is>
          <t xml:space="preserve">Yes</t>
        </is>
      </c>
      <c r="K269" s="15" t="inlineStr">
        <is>
          <t xml:space="preserve">No</t>
        </is>
      </c>
      <c r="L269" s="15" t="inlineStr">
        <is>
          <t xml:space="preserve">High</t>
        </is>
      </c>
      <c r="M269" s="15" t="inlineStr">
        <is>
          <t xml:space="preserve">High</t>
        </is>
      </c>
      <c r="N269" s="15" t="inlineStr">
        <is>
          <t xml:space="preserve">Attach within current CRS</t>
        </is>
      </c>
      <c r="O269" s="15"/>
      <c r="P269" s="15" t="inlineStr">
        <is>
          <t xml:space="preserve">Complementary Account</t>
        </is>
      </c>
      <c r="Q269" s="15" t="inlineStr">
        <is>
          <t xml:space="preserve">SRC-CANON-TEXT; SRC-KINGS-OVERVIEW; SRC-CHRONICLES-OVERVIEW</t>
        </is>
      </c>
      <c r="R269" s="11" t="inlineStr">
        <is>
          <t xml:space="preserve">Needs Review</t>
        </is>
      </c>
      <c r="S269" s="15" t="inlineStr">
        <is>
          <t xml:space="preserve">Athaliah's seizure of power and Joash's concealment.</t>
        </is>
      </c>
    </row>
    <row r="270" ht="34" customHeight="1">
      <c r="A270" s="15" t="inlineStr">
        <is>
          <t xml:space="preserve">v0.3</t>
        </is>
      </c>
      <c r="B270" s="15" t="inlineStr">
        <is>
          <t xml:space="preserve">Bible_Journey_Canon_Map_v0_3_2Chronicles_Wisdom_2Kings.xlsx</t>
        </is>
      </c>
      <c r="C270" s="15" t="inlineStr">
        <is>
          <t xml:space="preserve">BLK-2K-011-03</t>
        </is>
      </c>
      <c r="D270" s="15" t="inlineStr">
        <is>
          <t xml:space="preserve">CRS-2K-011</t>
        </is>
      </c>
      <c r="E270" s="15">
        <v>3</v>
      </c>
      <c r="F270" s="15" t="inlineStr">
        <is>
          <t xml:space="preserve">2 Chronicles</t>
        </is>
      </c>
      <c r="G270" s="15" t="inlineStr">
        <is>
          <t xml:space="preserve">23</t>
        </is>
      </c>
      <c r="H270" s="15" t="inlineStr">
        <is>
          <t xml:space="preserve">Parallel Account</t>
        </is>
      </c>
      <c r="I270" s="15" t="inlineStr">
        <is>
          <t xml:space="preserve">Yes</t>
        </is>
      </c>
      <c r="J270" s="15" t="inlineStr">
        <is>
          <t xml:space="preserve">Yes</t>
        </is>
      </c>
      <c r="K270" s="15" t="inlineStr">
        <is>
          <t xml:space="preserve">No</t>
        </is>
      </c>
      <c r="L270" s="15" t="inlineStr">
        <is>
          <t xml:space="preserve">High</t>
        </is>
      </c>
      <c r="M270" s="15" t="inlineStr">
        <is>
          <t xml:space="preserve">High</t>
        </is>
      </c>
      <c r="N270" s="15" t="inlineStr">
        <is>
          <t xml:space="preserve">Attach within current CRS</t>
        </is>
      </c>
      <c r="O270" s="15"/>
      <c r="P270" s="15" t="inlineStr">
        <is>
          <t xml:space="preserve">Parallel Account</t>
        </is>
      </c>
      <c r="Q270" s="15" t="inlineStr">
        <is>
          <t xml:space="preserve">SRC-CANON-TEXT; SRC-KINGS-OVERVIEW; SRC-CHRONICLES-OVERVIEW</t>
        </is>
      </c>
      <c r="R270" s="11" t="inlineStr">
        <is>
          <t xml:space="preserve">Needs Review</t>
        </is>
      </c>
      <c r="S270" s="15" t="inlineStr">
        <is>
          <t xml:space="preserve">Joash's enthronement and covenant account.</t>
        </is>
      </c>
    </row>
    <row r="271" ht="34" customHeight="1">
      <c r="A271" s="15" t="inlineStr">
        <is>
          <t xml:space="preserve">v0.3</t>
        </is>
      </c>
      <c r="B271" s="15" t="inlineStr">
        <is>
          <t xml:space="preserve">Bible_Journey_Canon_Map_v0_3_2Chronicles_Wisdom_2Kings.xlsx</t>
        </is>
      </c>
      <c r="C271" s="15" t="inlineStr">
        <is>
          <t xml:space="preserve">BLK-2K-012-01</t>
        </is>
      </c>
      <c r="D271" s="15" t="inlineStr">
        <is>
          <t xml:space="preserve">CRS-2K-012</t>
        </is>
      </c>
      <c r="E271" s="15">
        <v>1</v>
      </c>
      <c r="F271" s="15" t="inlineStr">
        <is>
          <t xml:space="preserve">2 Kings</t>
        </is>
      </c>
      <c r="G271" s="15" t="inlineStr">
        <is>
          <t xml:space="preserve">2 Kings 12</t>
        </is>
      </c>
      <c r="H271" s="15" t="inlineStr">
        <is>
          <t xml:space="preserve">Primary Account</t>
        </is>
      </c>
      <c r="I271" s="15" t="inlineStr">
        <is>
          <t xml:space="preserve">Yes</t>
        </is>
      </c>
      <c r="J271" s="15" t="inlineStr">
        <is>
          <t xml:space="preserve">Yes</t>
        </is>
      </c>
      <c r="K271" s="15" t="inlineStr">
        <is>
          <t xml:space="preserve">Yes</t>
        </is>
      </c>
      <c r="L271" s="15" t="inlineStr">
        <is>
          <t xml:space="preserve">High</t>
        </is>
      </c>
      <c r="M271" s="15" t="inlineStr">
        <is>
          <t xml:space="preserve">High</t>
        </is>
      </c>
      <c r="N271" s="15" t="inlineStr">
        <is>
          <t xml:space="preserve">New main-spine continuation</t>
        </is>
      </c>
      <c r="O271" s="15"/>
      <c r="P271" s="15" t="inlineStr">
        <is>
          <t xml:space="preserve">Primary Account</t>
        </is>
      </c>
      <c r="Q271" s="15" t="inlineStr">
        <is>
          <t xml:space="preserve">SRC-CANON-TEXT; SRC-KINGS-OVERVIEW; SRC-CHRONICLES-OVERVIEW</t>
        </is>
      </c>
      <c r="R271" s="11" t="inlineStr">
        <is>
          <t xml:space="preserve">Needs Review</t>
        </is>
      </c>
      <c r="S271" s="15" t="inlineStr">
        <is>
          <t xml:space="preserve">Main 2 Kings account for this chronological reading set.</t>
        </is>
      </c>
    </row>
    <row r="272" ht="34" customHeight="1">
      <c r="A272" s="15" t="inlineStr">
        <is>
          <t xml:space="preserve">v0.3</t>
        </is>
      </c>
      <c r="B272" s="15" t="inlineStr">
        <is>
          <t xml:space="preserve">Bible_Journey_Canon_Map_v0_3_2Chronicles_Wisdom_2Kings.xlsx</t>
        </is>
      </c>
      <c r="C272" s="15" t="inlineStr">
        <is>
          <t xml:space="preserve">BLK-2K-012-02</t>
        </is>
      </c>
      <c r="D272" s="15" t="inlineStr">
        <is>
          <t xml:space="preserve">CRS-2K-012</t>
        </is>
      </c>
      <c r="E272" s="15">
        <v>2</v>
      </c>
      <c r="F272" s="15" t="inlineStr">
        <is>
          <t xml:space="preserve">2 Chronicles</t>
        </is>
      </c>
      <c r="G272" s="15" t="inlineStr">
        <is>
          <t xml:space="preserve">24</t>
        </is>
      </c>
      <c r="H272" s="15" t="inlineStr">
        <is>
          <t xml:space="preserve">Complementary Account</t>
        </is>
      </c>
      <c r="I272" s="15" t="inlineStr">
        <is>
          <t xml:space="preserve">Yes</t>
        </is>
      </c>
      <c r="J272" s="15" t="inlineStr">
        <is>
          <t xml:space="preserve">Yes</t>
        </is>
      </c>
      <c r="K272" s="15" t="inlineStr">
        <is>
          <t xml:space="preserve">No</t>
        </is>
      </c>
      <c r="L272" s="15" t="inlineStr">
        <is>
          <t xml:space="preserve">High</t>
        </is>
      </c>
      <c r="M272" s="15" t="inlineStr">
        <is>
          <t xml:space="preserve">High</t>
        </is>
      </c>
      <c r="N272" s="15" t="inlineStr">
        <is>
          <t xml:space="preserve">Attach within current CRS</t>
        </is>
      </c>
      <c r="O272" s="15"/>
      <c r="P272" s="15" t="inlineStr">
        <is>
          <t xml:space="preserve">Complementary Account</t>
        </is>
      </c>
      <c r="Q272" s="15" t="inlineStr">
        <is>
          <t xml:space="preserve">SRC-CANON-TEXT; SRC-KINGS-OVERVIEW; SRC-CHRONICLES-OVERVIEW</t>
        </is>
      </c>
      <c r="R272" s="11" t="inlineStr">
        <is>
          <t xml:space="preserve">Needs Review</t>
        </is>
      </c>
      <c r="S272" s="15" t="inlineStr">
        <is>
          <t xml:space="preserve">Chronicles adds Zechariah and the later reversal of Joash.</t>
        </is>
      </c>
    </row>
    <row r="273" ht="34" customHeight="1">
      <c r="A273" s="15" t="inlineStr">
        <is>
          <t xml:space="preserve">v0.3</t>
        </is>
      </c>
      <c r="B273" s="15" t="inlineStr">
        <is>
          <t xml:space="preserve">Bible_Journey_Canon_Map_v0_3_2Chronicles_Wisdom_2Kings.xlsx</t>
        </is>
      </c>
      <c r="C273" s="15" t="inlineStr">
        <is>
          <t xml:space="preserve">BLK-2K-013-01</t>
        </is>
      </c>
      <c r="D273" s="15" t="inlineStr">
        <is>
          <t xml:space="preserve">CRS-2K-013</t>
        </is>
      </c>
      <c r="E273" s="15">
        <v>1</v>
      </c>
      <c r="F273" s="15" t="inlineStr">
        <is>
          <t xml:space="preserve">2 Kings</t>
        </is>
      </c>
      <c r="G273" s="15" t="inlineStr">
        <is>
          <t xml:space="preserve">2 Kings 13</t>
        </is>
      </c>
      <c r="H273" s="15" t="inlineStr">
        <is>
          <t xml:space="preserve">Primary Account</t>
        </is>
      </c>
      <c r="I273" s="15" t="inlineStr">
        <is>
          <t xml:space="preserve">Yes</t>
        </is>
      </c>
      <c r="J273" s="15" t="inlineStr">
        <is>
          <t xml:space="preserve">Yes</t>
        </is>
      </c>
      <c r="K273" s="15" t="inlineStr">
        <is>
          <t xml:space="preserve">Yes</t>
        </is>
      </c>
      <c r="L273" s="15" t="inlineStr">
        <is>
          <t xml:space="preserve">High</t>
        </is>
      </c>
      <c r="M273" s="15" t="inlineStr">
        <is>
          <t xml:space="preserve">High</t>
        </is>
      </c>
      <c r="N273" s="15" t="inlineStr">
        <is>
          <t xml:space="preserve">New main-spine continuation</t>
        </is>
      </c>
      <c r="O273" s="15"/>
      <c r="P273" s="15" t="inlineStr">
        <is>
          <t xml:space="preserve">Primary Account</t>
        </is>
      </c>
      <c r="Q273" s="15" t="inlineStr">
        <is>
          <t xml:space="preserve">SRC-CANON-TEXT; SRC-KINGS-OVERVIEW</t>
        </is>
      </c>
      <c r="R273" s="11" t="inlineStr">
        <is>
          <t xml:space="preserve">Needs Review</t>
        </is>
      </c>
      <c r="S273" s="15" t="inlineStr">
        <is>
          <t xml:space="preserve">Main 2 Kings account for this chronological reading set.</t>
        </is>
      </c>
    </row>
    <row r="274" ht="34" customHeight="1">
      <c r="A274" s="15" t="inlineStr">
        <is>
          <t xml:space="preserve">v0.3</t>
        </is>
      </c>
      <c r="B274" s="15" t="inlineStr">
        <is>
          <t xml:space="preserve">Bible_Journey_Canon_Map_v0_3_2Chronicles_Wisdom_2Kings.xlsx</t>
        </is>
      </c>
      <c r="C274" s="15" t="inlineStr">
        <is>
          <t xml:space="preserve">BLK-2K-014-01</t>
        </is>
      </c>
      <c r="D274" s="15" t="inlineStr">
        <is>
          <t xml:space="preserve">CRS-2K-014</t>
        </is>
      </c>
      <c r="E274" s="15">
        <v>1</v>
      </c>
      <c r="F274" s="15" t="inlineStr">
        <is>
          <t xml:space="preserve">2 Kings</t>
        </is>
      </c>
      <c r="G274" s="15" t="inlineStr">
        <is>
          <t xml:space="preserve">2 Kings 14</t>
        </is>
      </c>
      <c r="H274" s="15" t="inlineStr">
        <is>
          <t xml:space="preserve">Primary Account</t>
        </is>
      </c>
      <c r="I274" s="15" t="inlineStr">
        <is>
          <t xml:space="preserve">Yes</t>
        </is>
      </c>
      <c r="J274" s="15" t="inlineStr">
        <is>
          <t xml:space="preserve">Yes</t>
        </is>
      </c>
      <c r="K274" s="15" t="inlineStr">
        <is>
          <t xml:space="preserve">Yes</t>
        </is>
      </c>
      <c r="L274" s="15" t="inlineStr">
        <is>
          <t xml:space="preserve">High</t>
        </is>
      </c>
      <c r="M274" s="15" t="inlineStr">
        <is>
          <t xml:space="preserve">High</t>
        </is>
      </c>
      <c r="N274" s="15" t="inlineStr">
        <is>
          <t xml:space="preserve">New main-spine continuation</t>
        </is>
      </c>
      <c r="O274" s="15"/>
      <c r="P274" s="15" t="inlineStr">
        <is>
          <t xml:space="preserve">Primary Account</t>
        </is>
      </c>
      <c r="Q274" s="15" t="inlineStr">
        <is>
          <t xml:space="preserve">SRC-CANON-TEXT; SRC-KINGS-OVERVIEW; SRC-CHRONICLES-OVERVIEW</t>
        </is>
      </c>
      <c r="R274" s="11" t="inlineStr">
        <is>
          <t xml:space="preserve">Needs Review</t>
        </is>
      </c>
      <c r="S274" s="15" t="inlineStr">
        <is>
          <t xml:space="preserve">Main 2 Kings account for this chronological reading set.</t>
        </is>
      </c>
    </row>
    <row r="275" ht="34" customHeight="1">
      <c r="A275" s="15" t="inlineStr">
        <is>
          <t xml:space="preserve">v0.3</t>
        </is>
      </c>
      <c r="B275" s="15" t="inlineStr">
        <is>
          <t xml:space="preserve">Bible_Journey_Canon_Map_v0_3_2Chronicles_Wisdom_2Kings.xlsx</t>
        </is>
      </c>
      <c r="C275" s="15" t="inlineStr">
        <is>
          <t xml:space="preserve">BLK-2K-014-02</t>
        </is>
      </c>
      <c r="D275" s="15" t="inlineStr">
        <is>
          <t xml:space="preserve">CRS-2K-014</t>
        </is>
      </c>
      <c r="E275" s="15">
        <v>2</v>
      </c>
      <c r="F275" s="15" t="inlineStr">
        <is>
          <t xml:space="preserve">2 Chronicles</t>
        </is>
      </c>
      <c r="G275" s="15" t="inlineStr">
        <is>
          <t xml:space="preserve">25</t>
        </is>
      </c>
      <c r="H275" s="15" t="inlineStr">
        <is>
          <t xml:space="preserve">Parallel Account</t>
        </is>
      </c>
      <c r="I275" s="15" t="inlineStr">
        <is>
          <t xml:space="preserve">Yes</t>
        </is>
      </c>
      <c r="J275" s="15" t="inlineStr">
        <is>
          <t xml:space="preserve">Yes</t>
        </is>
      </c>
      <c r="K275" s="15" t="inlineStr">
        <is>
          <t xml:space="preserve">No</t>
        </is>
      </c>
      <c r="L275" s="15" t="inlineStr">
        <is>
          <t xml:space="preserve">High</t>
        </is>
      </c>
      <c r="M275" s="15" t="inlineStr">
        <is>
          <t xml:space="preserve">High</t>
        </is>
      </c>
      <c r="N275" s="15" t="inlineStr">
        <is>
          <t xml:space="preserve">Attach within current CRS</t>
        </is>
      </c>
      <c r="O275" s="15"/>
      <c r="P275" s="15" t="inlineStr">
        <is>
          <t xml:space="preserve">Parallel Account</t>
        </is>
      </c>
      <c r="Q275" s="15" t="inlineStr">
        <is>
          <t xml:space="preserve">SRC-CANON-TEXT; SRC-KINGS-OVERVIEW; SRC-CHRONICLES-OVERVIEW</t>
        </is>
      </c>
      <c r="R275" s="11" t="inlineStr">
        <is>
          <t xml:space="preserve">Needs Review</t>
        </is>
      </c>
      <c r="S275" s="15" t="inlineStr">
        <is>
          <t xml:space="preserve">Chronicles account of Amaziah's reign.</t>
        </is>
      </c>
    </row>
    <row r="276" ht="34" customHeight="1">
      <c r="A276" s="15" t="inlineStr">
        <is>
          <t xml:space="preserve">v0.3</t>
        </is>
      </c>
      <c r="B276" s="15" t="inlineStr">
        <is>
          <t xml:space="preserve">Bible_Journey_Canon_Map_v0_3_2Chronicles_Wisdom_2Kings.xlsx</t>
        </is>
      </c>
      <c r="C276" s="15" t="inlineStr">
        <is>
          <t xml:space="preserve">BLK-2K-015-01</t>
        </is>
      </c>
      <c r="D276" s="15" t="inlineStr">
        <is>
          <t xml:space="preserve">CRS-2K-015</t>
        </is>
      </c>
      <c r="E276" s="15">
        <v>1</v>
      </c>
      <c r="F276" s="15" t="inlineStr">
        <is>
          <t xml:space="preserve">2 Kings</t>
        </is>
      </c>
      <c r="G276" s="15" t="inlineStr">
        <is>
          <t xml:space="preserve">2 Kings 15</t>
        </is>
      </c>
      <c r="H276" s="15" t="inlineStr">
        <is>
          <t xml:space="preserve">Primary Account</t>
        </is>
      </c>
      <c r="I276" s="15" t="inlineStr">
        <is>
          <t xml:space="preserve">Yes</t>
        </is>
      </c>
      <c r="J276" s="15" t="inlineStr">
        <is>
          <t xml:space="preserve">Yes</t>
        </is>
      </c>
      <c r="K276" s="15" t="inlineStr">
        <is>
          <t xml:space="preserve">Yes</t>
        </is>
      </c>
      <c r="L276" s="15" t="inlineStr">
        <is>
          <t xml:space="preserve">High</t>
        </is>
      </c>
      <c r="M276" s="15" t="inlineStr">
        <is>
          <t xml:space="preserve">High</t>
        </is>
      </c>
      <c r="N276" s="15" t="inlineStr">
        <is>
          <t xml:space="preserve">New main-spine continuation</t>
        </is>
      </c>
      <c r="O276" s="15"/>
      <c r="P276" s="15" t="inlineStr">
        <is>
          <t xml:space="preserve">Primary Account</t>
        </is>
      </c>
      <c r="Q276" s="15" t="inlineStr">
        <is>
          <t xml:space="preserve">SRC-CANON-TEXT; SRC-KINGS-OVERVIEW; SRC-CHRONICLES-OVERVIEW</t>
        </is>
      </c>
      <c r="R276" s="11" t="inlineStr">
        <is>
          <t xml:space="preserve">Needs Review</t>
        </is>
      </c>
      <c r="S276" s="15" t="inlineStr">
        <is>
          <t xml:space="preserve">Main 2 Kings account for this chronological reading set.</t>
        </is>
      </c>
    </row>
    <row r="277" ht="34" customHeight="1">
      <c r="A277" s="15" t="inlineStr">
        <is>
          <t xml:space="preserve">v0.3</t>
        </is>
      </c>
      <c r="B277" s="15" t="inlineStr">
        <is>
          <t xml:space="preserve">Bible_Journey_Canon_Map_v0_3_2Chronicles_Wisdom_2Kings.xlsx</t>
        </is>
      </c>
      <c r="C277" s="15" t="inlineStr">
        <is>
          <t xml:space="preserve">BLK-2K-015-02</t>
        </is>
      </c>
      <c r="D277" s="15" t="inlineStr">
        <is>
          <t xml:space="preserve">CRS-2K-015</t>
        </is>
      </c>
      <c r="E277" s="15">
        <v>2</v>
      </c>
      <c r="F277" s="15" t="inlineStr">
        <is>
          <t xml:space="preserve">2 Chronicles</t>
        </is>
      </c>
      <c r="G277" s="15" t="inlineStr">
        <is>
          <t xml:space="preserve">26</t>
        </is>
      </c>
      <c r="H277" s="15" t="inlineStr">
        <is>
          <t xml:space="preserve">Complementary Account</t>
        </is>
      </c>
      <c r="I277" s="15" t="inlineStr">
        <is>
          <t xml:space="preserve">Yes</t>
        </is>
      </c>
      <c r="J277" s="15" t="inlineStr">
        <is>
          <t xml:space="preserve">Yes</t>
        </is>
      </c>
      <c r="K277" s="15" t="inlineStr">
        <is>
          <t xml:space="preserve">No</t>
        </is>
      </c>
      <c r="L277" s="15" t="inlineStr">
        <is>
          <t xml:space="preserve">High</t>
        </is>
      </c>
      <c r="M277" s="15" t="inlineStr">
        <is>
          <t xml:space="preserve">High</t>
        </is>
      </c>
      <c r="N277" s="15" t="inlineStr">
        <is>
          <t xml:space="preserve">Attach within current CRS</t>
        </is>
      </c>
      <c r="O277" s="15"/>
      <c r="P277" s="15" t="inlineStr">
        <is>
          <t xml:space="preserve">Complementary Account</t>
        </is>
      </c>
      <c r="Q277" s="15" t="inlineStr">
        <is>
          <t xml:space="preserve">SRC-CANON-TEXT; SRC-KINGS-OVERVIEW; SRC-CHRONICLES-OVERVIEW</t>
        </is>
      </c>
      <c r="R277" s="11" t="inlineStr">
        <is>
          <t xml:space="preserve">Needs Review</t>
        </is>
      </c>
      <c r="S277" s="15" t="inlineStr">
        <is>
          <t xml:space="preserve">Uzziah's reign and temple-incense episode.</t>
        </is>
      </c>
    </row>
    <row r="278" ht="34" customHeight="1">
      <c r="A278" s="15" t="inlineStr">
        <is>
          <t xml:space="preserve">v0.3</t>
        </is>
      </c>
      <c r="B278" s="15" t="inlineStr">
        <is>
          <t xml:space="preserve">Bible_Journey_Canon_Map_v0_3_2Chronicles_Wisdom_2Kings.xlsx</t>
        </is>
      </c>
      <c r="C278" s="15" t="inlineStr">
        <is>
          <t xml:space="preserve">BLK-2K-015-03</t>
        </is>
      </c>
      <c r="D278" s="15" t="inlineStr">
        <is>
          <t xml:space="preserve">CRS-2K-015</t>
        </is>
      </c>
      <c r="E278" s="15">
        <v>3</v>
      </c>
      <c r="F278" s="15" t="inlineStr">
        <is>
          <t xml:space="preserve">2 Chronicles</t>
        </is>
      </c>
      <c r="G278" s="15" t="inlineStr">
        <is>
          <t xml:space="preserve">27</t>
        </is>
      </c>
      <c r="H278" s="15" t="inlineStr">
        <is>
          <t xml:space="preserve">Complementary Account</t>
        </is>
      </c>
      <c r="I278" s="15" t="inlineStr">
        <is>
          <t xml:space="preserve">Yes</t>
        </is>
      </c>
      <c r="J278" s="15" t="inlineStr">
        <is>
          <t xml:space="preserve">Yes</t>
        </is>
      </c>
      <c r="K278" s="15" t="inlineStr">
        <is>
          <t xml:space="preserve">No</t>
        </is>
      </c>
      <c r="L278" s="15" t="inlineStr">
        <is>
          <t xml:space="preserve">High</t>
        </is>
      </c>
      <c r="M278" s="15" t="inlineStr">
        <is>
          <t xml:space="preserve">High</t>
        </is>
      </c>
      <c r="N278" s="15" t="inlineStr">
        <is>
          <t xml:space="preserve">Attach within current CRS</t>
        </is>
      </c>
      <c r="O278" s="15"/>
      <c r="P278" s="15" t="inlineStr">
        <is>
          <t xml:space="preserve">Complementary Account</t>
        </is>
      </c>
      <c r="Q278" s="15" t="inlineStr">
        <is>
          <t xml:space="preserve">SRC-CANON-TEXT; SRC-KINGS-OVERVIEW; SRC-CHRONICLES-OVERVIEW</t>
        </is>
      </c>
      <c r="R278" s="11" t="inlineStr">
        <is>
          <t xml:space="preserve">Needs Review</t>
        </is>
      </c>
      <c r="S278" s="15" t="inlineStr">
        <is>
          <t xml:space="preserve">Jotham's reign.</t>
        </is>
      </c>
    </row>
    <row r="279" ht="34" customHeight="1">
      <c r="A279" s="15" t="inlineStr">
        <is>
          <t xml:space="preserve">v0.3</t>
        </is>
      </c>
      <c r="B279" s="15" t="inlineStr">
        <is>
          <t xml:space="preserve">Bible_Journey_Canon_Map_v0_3_2Chronicles_Wisdom_2Kings.xlsx</t>
        </is>
      </c>
      <c r="C279" s="15" t="inlineStr">
        <is>
          <t xml:space="preserve">BLK-2K-016-01</t>
        </is>
      </c>
      <c r="D279" s="15" t="inlineStr">
        <is>
          <t xml:space="preserve">CRS-2K-016</t>
        </is>
      </c>
      <c r="E279" s="15">
        <v>1</v>
      </c>
      <c r="F279" s="15" t="inlineStr">
        <is>
          <t xml:space="preserve">2 Kings</t>
        </is>
      </c>
      <c r="G279" s="15" t="inlineStr">
        <is>
          <t xml:space="preserve">2 Kings 16</t>
        </is>
      </c>
      <c r="H279" s="15" t="inlineStr">
        <is>
          <t xml:space="preserve">Primary Account</t>
        </is>
      </c>
      <c r="I279" s="15" t="inlineStr">
        <is>
          <t xml:space="preserve">Yes</t>
        </is>
      </c>
      <c r="J279" s="15" t="inlineStr">
        <is>
          <t xml:space="preserve">Yes</t>
        </is>
      </c>
      <c r="K279" s="15" t="inlineStr">
        <is>
          <t xml:space="preserve">Yes</t>
        </is>
      </c>
      <c r="L279" s="15" t="inlineStr">
        <is>
          <t xml:space="preserve">High</t>
        </is>
      </c>
      <c r="M279" s="15" t="inlineStr">
        <is>
          <t xml:space="preserve">High</t>
        </is>
      </c>
      <c r="N279" s="15" t="inlineStr">
        <is>
          <t xml:space="preserve">New main-spine continuation</t>
        </is>
      </c>
      <c r="O279" s="15"/>
      <c r="P279" s="15" t="inlineStr">
        <is>
          <t xml:space="preserve">Primary Account</t>
        </is>
      </c>
      <c r="Q279" s="15" t="inlineStr">
        <is>
          <t xml:space="preserve">SRC-CANON-TEXT; SRC-KINGS-OVERVIEW; SRC-CHRONICLES-OVERVIEW; SRC-AHAZ</t>
        </is>
      </c>
      <c r="R279" s="11" t="inlineStr">
        <is>
          <t xml:space="preserve">Needs Review</t>
        </is>
      </c>
      <c r="S279" s="15" t="inlineStr">
        <is>
          <t xml:space="preserve">Main 2 Kings account for this chronological reading set.</t>
        </is>
      </c>
    </row>
    <row r="280" ht="34" customHeight="1">
      <c r="A280" s="15" t="inlineStr">
        <is>
          <t xml:space="preserve">v0.3</t>
        </is>
      </c>
      <c r="B280" s="15" t="inlineStr">
        <is>
          <t xml:space="preserve">Bible_Journey_Canon_Map_v0_3_2Chronicles_Wisdom_2Kings.xlsx</t>
        </is>
      </c>
      <c r="C280" s="15" t="inlineStr">
        <is>
          <t xml:space="preserve">BLK-2K-016-02</t>
        </is>
      </c>
      <c r="D280" s="15" t="inlineStr">
        <is>
          <t xml:space="preserve">CRS-2K-016</t>
        </is>
      </c>
      <c r="E280" s="15">
        <v>2</v>
      </c>
      <c r="F280" s="15" t="inlineStr">
        <is>
          <t xml:space="preserve">2 Chronicles</t>
        </is>
      </c>
      <c r="G280" s="15" t="inlineStr">
        <is>
          <t xml:space="preserve">28</t>
        </is>
      </c>
      <c r="H280" s="15" t="inlineStr">
        <is>
          <t xml:space="preserve">Complementary Account</t>
        </is>
      </c>
      <c r="I280" s="15" t="inlineStr">
        <is>
          <t xml:space="preserve">Yes</t>
        </is>
      </c>
      <c r="J280" s="15" t="inlineStr">
        <is>
          <t xml:space="preserve">Yes</t>
        </is>
      </c>
      <c r="K280" s="15" t="inlineStr">
        <is>
          <t xml:space="preserve">No</t>
        </is>
      </c>
      <c r="L280" s="15" t="inlineStr">
        <is>
          <t xml:space="preserve">High</t>
        </is>
      </c>
      <c r="M280" s="15" t="inlineStr">
        <is>
          <t xml:space="preserve">High</t>
        </is>
      </c>
      <c r="N280" s="15" t="inlineStr">
        <is>
          <t xml:space="preserve">Attach within current CRS</t>
        </is>
      </c>
      <c r="O280" s="15"/>
      <c r="P280" s="15" t="inlineStr">
        <is>
          <t xml:space="preserve">Complementary Account</t>
        </is>
      </c>
      <c r="Q280" s="15" t="inlineStr">
        <is>
          <t xml:space="preserve">SRC-CANON-TEXT; SRC-KINGS-OVERVIEW; SRC-CHRONICLES-OVERVIEW; SRC-AHAZ</t>
        </is>
      </c>
      <c r="R280" s="11" t="inlineStr">
        <is>
          <t xml:space="preserve">Needs Review</t>
        </is>
      </c>
      <c r="S280" s="15" t="inlineStr">
        <is>
          <t xml:space="preserve">Chronicles account of Ahaz and the Syro-Ephraimite crisis.</t>
        </is>
      </c>
    </row>
    <row r="281" ht="34" customHeight="1">
      <c r="A281" s="15" t="inlineStr">
        <is>
          <t xml:space="preserve">v0.3</t>
        </is>
      </c>
      <c r="B281" s="15" t="inlineStr">
        <is>
          <t xml:space="preserve">Bible_Journey_Canon_Map_v0_3_2Chronicles_Wisdom_2Kings.xlsx</t>
        </is>
      </c>
      <c r="C281" s="15" t="inlineStr">
        <is>
          <t xml:space="preserve">BLK-2K-017-01</t>
        </is>
      </c>
      <c r="D281" s="15" t="inlineStr">
        <is>
          <t xml:space="preserve">CRS-2K-017</t>
        </is>
      </c>
      <c r="E281" s="15">
        <v>1</v>
      </c>
      <c r="F281" s="15" t="inlineStr">
        <is>
          <t xml:space="preserve">2 Kings</t>
        </is>
      </c>
      <c r="G281" s="15" t="inlineStr">
        <is>
          <t xml:space="preserve">2 Kings 17</t>
        </is>
      </c>
      <c r="H281" s="15" t="inlineStr">
        <is>
          <t xml:space="preserve">Primary Account</t>
        </is>
      </c>
      <c r="I281" s="15" t="inlineStr">
        <is>
          <t xml:space="preserve">Yes</t>
        </is>
      </c>
      <c r="J281" s="15" t="inlineStr">
        <is>
          <t xml:space="preserve">Yes</t>
        </is>
      </c>
      <c r="K281" s="15" t="inlineStr">
        <is>
          <t xml:space="preserve">Yes</t>
        </is>
      </c>
      <c r="L281" s="15" t="inlineStr">
        <is>
          <t xml:space="preserve">High</t>
        </is>
      </c>
      <c r="M281" s="15" t="inlineStr">
        <is>
          <t xml:space="preserve">High</t>
        </is>
      </c>
      <c r="N281" s="15" t="inlineStr">
        <is>
          <t xml:space="preserve">New main-spine continuation</t>
        </is>
      </c>
      <c r="O281" s="15"/>
      <c r="P281" s="15" t="inlineStr">
        <is>
          <t xml:space="preserve">Primary Account</t>
        </is>
      </c>
      <c r="Q281" s="15" t="inlineStr">
        <is>
          <t xml:space="preserve">SRC-CANON-TEXT; SRC-KINGS-OVERVIEW; SRC-JUDAH</t>
        </is>
      </c>
      <c r="R281" s="11" t="inlineStr">
        <is>
          <t xml:space="preserve">Needs Review</t>
        </is>
      </c>
      <c r="S281" s="15" t="inlineStr">
        <is>
          <t xml:space="preserve">Main 2 Kings account for this chronological reading set.</t>
        </is>
      </c>
    </row>
    <row r="282" ht="34" customHeight="1">
      <c r="A282" s="15" t="inlineStr">
        <is>
          <t xml:space="preserve">v0.3</t>
        </is>
      </c>
      <c r="B282" s="15" t="inlineStr">
        <is>
          <t xml:space="preserve">Bible_Journey_Canon_Map_v0_3_2Chronicles_Wisdom_2Kings.xlsx</t>
        </is>
      </c>
      <c r="C282" s="15" t="inlineStr">
        <is>
          <t xml:space="preserve">BLK-2K-018-01</t>
        </is>
      </c>
      <c r="D282" s="15" t="inlineStr">
        <is>
          <t xml:space="preserve">CRS-2K-018</t>
        </is>
      </c>
      <c r="E282" s="15">
        <v>1</v>
      </c>
      <c r="F282" s="15" t="inlineStr">
        <is>
          <t xml:space="preserve">2 Kings</t>
        </is>
      </c>
      <c r="G282" s="15" t="inlineStr">
        <is>
          <t xml:space="preserve">2 Kings 18:1-12</t>
        </is>
      </c>
      <c r="H282" s="15" t="inlineStr">
        <is>
          <t xml:space="preserve">Primary Account</t>
        </is>
      </c>
      <c r="I282" s="15" t="inlineStr">
        <is>
          <t xml:space="preserve">Yes</t>
        </is>
      </c>
      <c r="J282" s="15" t="inlineStr">
        <is>
          <t xml:space="preserve">Yes</t>
        </is>
      </c>
      <c r="K282" s="15" t="inlineStr">
        <is>
          <t xml:space="preserve">Yes</t>
        </is>
      </c>
      <c r="L282" s="15" t="inlineStr">
        <is>
          <t xml:space="preserve">High</t>
        </is>
      </c>
      <c r="M282" s="15" t="inlineStr">
        <is>
          <t xml:space="preserve">High</t>
        </is>
      </c>
      <c r="N282" s="15" t="inlineStr">
        <is>
          <t xml:space="preserve">New main-spine continuation</t>
        </is>
      </c>
      <c r="O282" s="15"/>
      <c r="P282" s="15" t="inlineStr">
        <is>
          <t xml:space="preserve">Primary Account</t>
        </is>
      </c>
      <c r="Q282" s="15" t="inlineStr">
        <is>
          <t xml:space="preserve">SRC-CANON-TEXT; SRC-KINGS-OVERVIEW; SRC-CHRONICLES-OVERVIEW; SRC-HEZEKIAH; SRC-WISDOM-CANON</t>
        </is>
      </c>
      <c r="R282" s="11" t="inlineStr">
        <is>
          <t xml:space="preserve">Needs Review</t>
        </is>
      </c>
      <c r="S282" s="15" t="inlineStr">
        <is>
          <t xml:space="preserve">Main 2 Kings account for this chronological reading set.</t>
        </is>
      </c>
    </row>
    <row r="283" ht="34" customHeight="1">
      <c r="A283" s="15" t="inlineStr">
        <is>
          <t xml:space="preserve">v0.3</t>
        </is>
      </c>
      <c r="B283" s="15" t="inlineStr">
        <is>
          <t xml:space="preserve">Bible_Journey_Canon_Map_v0_3_2Chronicles_Wisdom_2Kings.xlsx</t>
        </is>
      </c>
      <c r="C283" s="15" t="inlineStr">
        <is>
          <t xml:space="preserve">BLK-2K-018-02</t>
        </is>
      </c>
      <c r="D283" s="15" t="inlineStr">
        <is>
          <t xml:space="preserve">CRS-2K-018</t>
        </is>
      </c>
      <c r="E283" s="15">
        <v>2</v>
      </c>
      <c r="F283" s="15" t="inlineStr">
        <is>
          <t xml:space="preserve">2 Chronicles</t>
        </is>
      </c>
      <c r="G283" s="15" t="inlineStr">
        <is>
          <t xml:space="preserve">29-31</t>
        </is>
      </c>
      <c r="H283" s="15" t="inlineStr">
        <is>
          <t xml:space="preserve">Complementary Account</t>
        </is>
      </c>
      <c r="I283" s="15" t="inlineStr">
        <is>
          <t xml:space="preserve">Yes</t>
        </is>
      </c>
      <c r="J283" s="15" t="inlineStr">
        <is>
          <t xml:space="preserve">Yes</t>
        </is>
      </c>
      <c r="K283" s="15" t="inlineStr">
        <is>
          <t xml:space="preserve">No</t>
        </is>
      </c>
      <c r="L283" s="15" t="inlineStr">
        <is>
          <t xml:space="preserve">High</t>
        </is>
      </c>
      <c r="M283" s="15" t="inlineStr">
        <is>
          <t xml:space="preserve">High</t>
        </is>
      </c>
      <c r="N283" s="15" t="inlineStr">
        <is>
          <t xml:space="preserve">Attach within current CRS</t>
        </is>
      </c>
      <c r="O283" s="15"/>
      <c r="P283" s="15" t="inlineStr">
        <is>
          <t xml:space="preserve">Complementary Account</t>
        </is>
      </c>
      <c r="Q283" s="15" t="inlineStr">
        <is>
          <t xml:space="preserve">SRC-CANON-TEXT; SRC-KINGS-OVERVIEW; SRC-CHRONICLES-OVERVIEW; SRC-HEZEKIAH; SRC-WISDOM-CANON</t>
        </is>
      </c>
      <c r="R283" s="11" t="inlineStr">
        <is>
          <t xml:space="preserve">Needs Review</t>
        </is>
      </c>
      <c r="S283" s="15" t="inlineStr">
        <is>
          <t xml:space="preserve">Temple cleansing, Passover, and reforms.</t>
        </is>
      </c>
    </row>
    <row r="284" ht="34" customHeight="1">
      <c r="A284" s="15" t="inlineStr">
        <is>
          <t xml:space="preserve">v0.3</t>
        </is>
      </c>
      <c r="B284" s="15" t="inlineStr">
        <is>
          <t xml:space="preserve">Bible_Journey_Canon_Map_v0_3_2Chronicles_Wisdom_2Kings.xlsx</t>
        </is>
      </c>
      <c r="C284" s="15" t="inlineStr">
        <is>
          <t xml:space="preserve">BLK-2K-018-03</t>
        </is>
      </c>
      <c r="D284" s="15" t="inlineStr">
        <is>
          <t xml:space="preserve">CRS-2K-018</t>
        </is>
      </c>
      <c r="E284" s="15">
        <v>3</v>
      </c>
      <c r="F284" s="15" t="inlineStr">
        <is>
          <t xml:space="preserve">Proverbs</t>
        </is>
      </c>
      <c r="G284" s="15" t="inlineStr">
        <is>
          <t xml:space="preserve">25-29</t>
        </is>
      </c>
      <c r="H284" s="15" t="inlineStr">
        <is>
          <t xml:space="preserve">Supplementary Reading</t>
        </is>
      </c>
      <c r="I284" s="15" t="inlineStr">
        <is>
          <t xml:space="preserve">Yes</t>
        </is>
      </c>
      <c r="J284" s="15" t="inlineStr">
        <is>
          <t xml:space="preserve">Yes</t>
        </is>
      </c>
      <c r="K284" s="15" t="inlineStr">
        <is>
          <t xml:space="preserve">No</t>
        </is>
      </c>
      <c r="L284" s="15" t="inlineStr">
        <is>
          <t xml:space="preserve">High</t>
        </is>
      </c>
      <c r="M284" s="15" t="inlineStr">
        <is>
          <t xml:space="preserve">High</t>
        </is>
      </c>
      <c r="N284" s="15" t="inlineStr">
        <is>
          <t xml:space="preserve">Attach within current CRS</t>
        </is>
      </c>
      <c r="O284" s="15"/>
      <c r="P284" s="15" t="inlineStr">
        <is>
          <t xml:space="preserve">Supplementary Reading</t>
        </is>
      </c>
      <c r="Q284" s="15" t="inlineStr">
        <is>
          <t xml:space="preserve">SRC-CANON-TEXT; SRC-KINGS-OVERVIEW; SRC-CHRONICLES-OVERVIEW; SRC-HEZEKIAH; SRC-WISDOM-CANON</t>
        </is>
      </c>
      <c r="R284" s="11" t="inlineStr">
        <is>
          <t xml:space="preserve">Needs Review</t>
        </is>
      </c>
      <c r="S284" s="15" t="inlineStr">
        <is>
          <t xml:space="preserve">Collection heading associates the material with Hezekiah's officials.</t>
        </is>
      </c>
    </row>
    <row r="285" ht="34" customHeight="1">
      <c r="A285" s="15" t="inlineStr">
        <is>
          <t xml:space="preserve">v0.3</t>
        </is>
      </c>
      <c r="B285" s="15" t="inlineStr">
        <is>
          <t xml:space="preserve">Bible_Journey_Canon_Map_v0_3_2Chronicles_Wisdom_2Kings.xlsx</t>
        </is>
      </c>
      <c r="C285" s="15" t="inlineStr">
        <is>
          <t xml:space="preserve">BLK-2K-019-01</t>
        </is>
      </c>
      <c r="D285" s="15" t="inlineStr">
        <is>
          <t xml:space="preserve">CRS-2K-019</t>
        </is>
      </c>
      <c r="E285" s="15">
        <v>1</v>
      </c>
      <c r="F285" s="15" t="inlineStr">
        <is>
          <t xml:space="preserve">2 Kings</t>
        </is>
      </c>
      <c r="G285" s="15" t="inlineStr">
        <is>
          <t xml:space="preserve">2 Kings 18:13-19:37</t>
        </is>
      </c>
      <c r="H285" s="15" t="inlineStr">
        <is>
          <t xml:space="preserve">Primary Account</t>
        </is>
      </c>
      <c r="I285" s="15" t="inlineStr">
        <is>
          <t xml:space="preserve">Yes</t>
        </is>
      </c>
      <c r="J285" s="15" t="inlineStr">
        <is>
          <t xml:space="preserve">Yes</t>
        </is>
      </c>
      <c r="K285" s="15" t="inlineStr">
        <is>
          <t xml:space="preserve">Yes</t>
        </is>
      </c>
      <c r="L285" s="15" t="inlineStr">
        <is>
          <t xml:space="preserve">High</t>
        </is>
      </c>
      <c r="M285" s="15" t="inlineStr">
        <is>
          <t xml:space="preserve">High</t>
        </is>
      </c>
      <c r="N285" s="15" t="inlineStr">
        <is>
          <t xml:space="preserve">New main-spine continuation</t>
        </is>
      </c>
      <c r="O285" s="15"/>
      <c r="P285" s="15" t="inlineStr">
        <is>
          <t xml:space="preserve">Primary Account</t>
        </is>
      </c>
      <c r="Q285" s="15" t="inlineStr">
        <is>
          <t xml:space="preserve">SRC-CANON-TEXT; SRC-KINGS-OVERVIEW; SRC-CHRONICLES-OVERVIEW; SRC-HEZEKIAH; SRC-JUDAH; SRC-ARCHAEOLOGY-JUDAH</t>
        </is>
      </c>
      <c r="R285" s="11" t="inlineStr">
        <is>
          <t xml:space="preserve">Needs Review</t>
        </is>
      </c>
      <c r="S285" s="15" t="inlineStr">
        <is>
          <t xml:space="preserve">Main 2 Kings account for this chronological reading set.</t>
        </is>
      </c>
    </row>
    <row r="286" ht="34" customHeight="1">
      <c r="A286" s="15" t="inlineStr">
        <is>
          <t xml:space="preserve">v0.3</t>
        </is>
      </c>
      <c r="B286" s="15" t="inlineStr">
        <is>
          <t xml:space="preserve">Bible_Journey_Canon_Map_v0_3_2Chronicles_Wisdom_2Kings.xlsx</t>
        </is>
      </c>
      <c r="C286" s="15" t="inlineStr">
        <is>
          <t xml:space="preserve">BLK-2K-019-02</t>
        </is>
      </c>
      <c r="D286" s="15" t="inlineStr">
        <is>
          <t xml:space="preserve">CRS-2K-019</t>
        </is>
      </c>
      <c r="E286" s="15">
        <v>2</v>
      </c>
      <c r="F286" s="15" t="inlineStr">
        <is>
          <t xml:space="preserve">2 Chronicles</t>
        </is>
      </c>
      <c r="G286" s="15" t="inlineStr">
        <is>
          <t xml:space="preserve">32:1-23</t>
        </is>
      </c>
      <c r="H286" s="15" t="inlineStr">
        <is>
          <t xml:space="preserve">Parallel / Complementary Account</t>
        </is>
      </c>
      <c r="I286" s="15" t="inlineStr">
        <is>
          <t xml:space="preserve">Yes</t>
        </is>
      </c>
      <c r="J286" s="15" t="inlineStr">
        <is>
          <t xml:space="preserve">Yes</t>
        </is>
      </c>
      <c r="K286" s="15" t="inlineStr">
        <is>
          <t xml:space="preserve">No</t>
        </is>
      </c>
      <c r="L286" s="15" t="inlineStr">
        <is>
          <t xml:space="preserve">High</t>
        </is>
      </c>
      <c r="M286" s="15" t="inlineStr">
        <is>
          <t xml:space="preserve">High</t>
        </is>
      </c>
      <c r="N286" s="15" t="inlineStr">
        <is>
          <t xml:space="preserve">Attach within current CRS</t>
        </is>
      </c>
      <c r="O286" s="15"/>
      <c r="P286" s="15" t="inlineStr">
        <is>
          <t xml:space="preserve">Parallel / Complementary Account</t>
        </is>
      </c>
      <c r="Q286" s="15" t="inlineStr">
        <is>
          <t xml:space="preserve">SRC-CANON-TEXT; SRC-KINGS-OVERVIEW; SRC-CHRONICLES-OVERVIEW; SRC-HEZEKIAH; SRC-JUDAH; SRC-ARCHAEOLOGY-JUDAH</t>
        </is>
      </c>
      <c r="R286" s="11" t="inlineStr">
        <is>
          <t xml:space="preserve">Needs Review</t>
        </is>
      </c>
      <c r="S286" s="15" t="inlineStr">
        <is>
          <t xml:space="preserve">Chronicles account of Sennacherib's campaign and deliverance.</t>
        </is>
      </c>
    </row>
    <row r="287" ht="34" customHeight="1">
      <c r="A287" s="15" t="inlineStr">
        <is>
          <t xml:space="preserve">v0.3</t>
        </is>
      </c>
      <c r="B287" s="15" t="inlineStr">
        <is>
          <t xml:space="preserve">Bible_Journey_Canon_Map_v0_3_2Chronicles_Wisdom_2Kings.xlsx</t>
        </is>
      </c>
      <c r="C287" s="15" t="inlineStr">
        <is>
          <t xml:space="preserve">BLK-2K-019-03</t>
        </is>
      </c>
      <c r="D287" s="15" t="inlineStr">
        <is>
          <t xml:space="preserve">CRS-2K-019</t>
        </is>
      </c>
      <c r="E287" s="15">
        <v>3</v>
      </c>
      <c r="F287" s="15" t="inlineStr">
        <is>
          <t xml:space="preserve">Isaiah</t>
        </is>
      </c>
      <c r="G287" s="15" t="inlineStr">
        <is>
          <t xml:space="preserve">36-37</t>
        </is>
      </c>
      <c r="H287" s="15" t="inlineStr">
        <is>
          <t xml:space="preserve">Future parallel account</t>
        </is>
      </c>
      <c r="I287" s="15" t="inlineStr">
        <is>
          <t xml:space="preserve">No</t>
        </is>
      </c>
      <c r="J287" s="15" t="inlineStr">
        <is>
          <t xml:space="preserve">No</t>
        </is>
      </c>
      <c r="K287" s="15" t="inlineStr">
        <is>
          <t xml:space="preserve">No</t>
        </is>
      </c>
      <c r="L287" s="15" t="inlineStr">
        <is>
          <t xml:space="preserve">High</t>
        </is>
      </c>
      <c r="M287" s="15" t="inlineStr">
        <is>
          <t xml:space="preserve">High</t>
        </is>
      </c>
      <c r="N287" s="15" t="inlineStr">
        <is>
          <t xml:space="preserve">Future map dependency</t>
        </is>
      </c>
      <c r="O287" s="15"/>
      <c r="P287" s="15" t="inlineStr">
        <is>
          <t xml:space="preserve">Future parallel account</t>
        </is>
      </c>
      <c r="Q287" s="15" t="inlineStr">
        <is>
          <t xml:space="preserve">SRC-CANON-TEXT; SRC-KINGS-OVERVIEW; SRC-CHRONICLES-OVERVIEW; SRC-HEZEKIAH; SRC-JUDAH; SRC-ARCHAEOLOGY-JUDAH</t>
        </is>
      </c>
      <c r="R287" s="11" t="inlineStr">
        <is>
          <t xml:space="preserve">Needs Review</t>
        </is>
      </c>
      <c r="S287" s="15" t="inlineStr">
        <is>
          <t xml:space="preserve">Future map dependency; not in this scope.</t>
        </is>
      </c>
    </row>
    <row r="288" ht="34" customHeight="1">
      <c r="A288" s="15" t="inlineStr">
        <is>
          <t xml:space="preserve">v0.3</t>
        </is>
      </c>
      <c r="B288" s="15" t="inlineStr">
        <is>
          <t xml:space="preserve">Bible_Journey_Canon_Map_v0_3_2Chronicles_Wisdom_2Kings.xlsx</t>
        </is>
      </c>
      <c r="C288" s="15" t="inlineStr">
        <is>
          <t xml:space="preserve">BLK-2K-020-01</t>
        </is>
      </c>
      <c r="D288" s="15" t="inlineStr">
        <is>
          <t xml:space="preserve">CRS-2K-020</t>
        </is>
      </c>
      <c r="E288" s="15">
        <v>1</v>
      </c>
      <c r="F288" s="15" t="inlineStr">
        <is>
          <t xml:space="preserve">2 Kings</t>
        </is>
      </c>
      <c r="G288" s="15" t="inlineStr">
        <is>
          <t xml:space="preserve">2 Kings 20</t>
        </is>
      </c>
      <c r="H288" s="15" t="inlineStr">
        <is>
          <t xml:space="preserve">Primary Account</t>
        </is>
      </c>
      <c r="I288" s="15" t="inlineStr">
        <is>
          <t xml:space="preserve">Yes</t>
        </is>
      </c>
      <c r="J288" s="15" t="inlineStr">
        <is>
          <t xml:space="preserve">Yes</t>
        </is>
      </c>
      <c r="K288" s="15" t="inlineStr">
        <is>
          <t xml:space="preserve">Yes</t>
        </is>
      </c>
      <c r="L288" s="15" t="inlineStr">
        <is>
          <t xml:space="preserve">High</t>
        </is>
      </c>
      <c r="M288" s="15" t="inlineStr">
        <is>
          <t xml:space="preserve">Debated</t>
        </is>
      </c>
      <c r="N288" s="15" t="inlineStr">
        <is>
          <t xml:space="preserve">New main-spine continuation</t>
        </is>
      </c>
      <c r="O288" s="15"/>
      <c r="P288" s="15" t="inlineStr">
        <is>
          <t xml:space="preserve">Primary Account</t>
        </is>
      </c>
      <c r="Q288" s="15" t="inlineStr">
        <is>
          <t xml:space="preserve">SRC-CANON-TEXT; SRC-KINGS-OVERVIEW; SRC-CHRONICLES-OVERVIEW; SRC-HEZEKIAH; SRC-ISAIAH</t>
        </is>
      </c>
      <c r="R288" s="11" t="inlineStr">
        <is>
          <t xml:space="preserve">Needs Review</t>
        </is>
      </c>
      <c r="S288" s="15" t="inlineStr">
        <is>
          <t xml:space="preserve">Main 2 Kings account for this chronological reading set.</t>
        </is>
      </c>
    </row>
    <row r="289" ht="34" customHeight="1">
      <c r="A289" s="15" t="inlineStr">
        <is>
          <t xml:space="preserve">v0.3</t>
        </is>
      </c>
      <c r="B289" s="15" t="inlineStr">
        <is>
          <t xml:space="preserve">Bible_Journey_Canon_Map_v0_3_2Chronicles_Wisdom_2Kings.xlsx</t>
        </is>
      </c>
      <c r="C289" s="15" t="inlineStr">
        <is>
          <t xml:space="preserve">BLK-2K-020-02</t>
        </is>
      </c>
      <c r="D289" s="15" t="inlineStr">
        <is>
          <t xml:space="preserve">CRS-2K-020</t>
        </is>
      </c>
      <c r="E289" s="15">
        <v>2</v>
      </c>
      <c r="F289" s="15" t="inlineStr">
        <is>
          <t xml:space="preserve">2 Chronicles</t>
        </is>
      </c>
      <c r="G289" s="15" t="inlineStr">
        <is>
          <t xml:space="preserve">32:24-31</t>
        </is>
      </c>
      <c r="H289" s="15" t="inlineStr">
        <is>
          <t xml:space="preserve">Complementary Account</t>
        </is>
      </c>
      <c r="I289" s="15" t="inlineStr">
        <is>
          <t xml:space="preserve">Yes</t>
        </is>
      </c>
      <c r="J289" s="15" t="inlineStr">
        <is>
          <t xml:space="preserve">Yes</t>
        </is>
      </c>
      <c r="K289" s="15" t="inlineStr">
        <is>
          <t xml:space="preserve">No</t>
        </is>
      </c>
      <c r="L289" s="15" t="inlineStr">
        <is>
          <t xml:space="preserve">High</t>
        </is>
      </c>
      <c r="M289" s="15" t="inlineStr">
        <is>
          <t xml:space="preserve">Debated</t>
        </is>
      </c>
      <c r="N289" s="15" t="inlineStr">
        <is>
          <t xml:space="preserve">Attach within current CRS</t>
        </is>
      </c>
      <c r="O289" s="15"/>
      <c r="P289" s="15" t="inlineStr">
        <is>
          <t xml:space="preserve">Complementary Account</t>
        </is>
      </c>
      <c r="Q289" s="15" t="inlineStr">
        <is>
          <t xml:space="preserve">SRC-CANON-TEXT; SRC-KINGS-OVERVIEW; SRC-CHRONICLES-OVERVIEW; SRC-HEZEKIAH; SRC-ISAIAH</t>
        </is>
      </c>
      <c r="R289" s="11" t="inlineStr">
        <is>
          <t xml:space="preserve">Needs Review</t>
        </is>
      </c>
      <c r="S289" s="15" t="inlineStr">
        <is>
          <t xml:space="preserve">Chronicles' illness/envoy material.</t>
        </is>
      </c>
    </row>
    <row r="290" ht="34" customHeight="1">
      <c r="A290" s="15" t="inlineStr">
        <is>
          <t xml:space="preserve">v0.3</t>
        </is>
      </c>
      <c r="B290" s="15" t="inlineStr">
        <is>
          <t xml:space="preserve">Bible_Journey_Canon_Map_v0_3_2Chronicles_Wisdom_2Kings.xlsx</t>
        </is>
      </c>
      <c r="C290" s="15" t="inlineStr">
        <is>
          <t xml:space="preserve">BLK-2K-020-03</t>
        </is>
      </c>
      <c r="D290" s="15" t="inlineStr">
        <is>
          <t xml:space="preserve">CRS-2K-020</t>
        </is>
      </c>
      <c r="E290" s="15">
        <v>3</v>
      </c>
      <c r="F290" s="15" t="inlineStr">
        <is>
          <t xml:space="preserve">Isaiah</t>
        </is>
      </c>
      <c r="G290" s="15" t="inlineStr">
        <is>
          <t xml:space="preserve">38-39</t>
        </is>
      </c>
      <c r="H290" s="15" t="inlineStr">
        <is>
          <t xml:space="preserve">Future parallel account</t>
        </is>
      </c>
      <c r="I290" s="15" t="inlineStr">
        <is>
          <t xml:space="preserve">No</t>
        </is>
      </c>
      <c r="J290" s="15" t="inlineStr">
        <is>
          <t xml:space="preserve">No</t>
        </is>
      </c>
      <c r="K290" s="15" t="inlineStr">
        <is>
          <t xml:space="preserve">No</t>
        </is>
      </c>
      <c r="L290" s="15" t="inlineStr">
        <is>
          <t xml:space="preserve">High</t>
        </is>
      </c>
      <c r="M290" s="15" t="inlineStr">
        <is>
          <t xml:space="preserve">Debated</t>
        </is>
      </c>
      <c r="N290" s="15" t="inlineStr">
        <is>
          <t xml:space="preserve">Future map dependency</t>
        </is>
      </c>
      <c r="O290" s="15"/>
      <c r="P290" s="15" t="inlineStr">
        <is>
          <t xml:space="preserve">Future parallel account</t>
        </is>
      </c>
      <c r="Q290" s="15" t="inlineStr">
        <is>
          <t xml:space="preserve">SRC-CANON-TEXT; SRC-KINGS-OVERVIEW; SRC-CHRONICLES-OVERVIEW; SRC-HEZEKIAH; SRC-ISAIAH</t>
        </is>
      </c>
      <c r="R290" s="11" t="inlineStr">
        <is>
          <t xml:space="preserve">Needs Review</t>
        </is>
      </c>
      <c r="S290" s="15" t="inlineStr">
        <is>
          <t xml:space="preserve">Future map dependency; not in this scope.</t>
        </is>
      </c>
    </row>
    <row r="291" ht="34" customHeight="1">
      <c r="A291" s="15" t="inlineStr">
        <is>
          <t xml:space="preserve">v0.3</t>
        </is>
      </c>
      <c r="B291" s="15" t="inlineStr">
        <is>
          <t xml:space="preserve">Bible_Journey_Canon_Map_v0_3_2Chronicles_Wisdom_2Kings.xlsx</t>
        </is>
      </c>
      <c r="C291" s="15" t="inlineStr">
        <is>
          <t xml:space="preserve">BLK-2K-021-01</t>
        </is>
      </c>
      <c r="D291" s="15" t="inlineStr">
        <is>
          <t xml:space="preserve">CRS-2K-021</t>
        </is>
      </c>
      <c r="E291" s="15">
        <v>1</v>
      </c>
      <c r="F291" s="15" t="inlineStr">
        <is>
          <t xml:space="preserve">2 Kings</t>
        </is>
      </c>
      <c r="G291" s="15" t="inlineStr">
        <is>
          <t xml:space="preserve">2 Kings 21</t>
        </is>
      </c>
      <c r="H291" s="15" t="inlineStr">
        <is>
          <t xml:space="preserve">Primary Account</t>
        </is>
      </c>
      <c r="I291" s="15" t="inlineStr">
        <is>
          <t xml:space="preserve">Yes</t>
        </is>
      </c>
      <c r="J291" s="15" t="inlineStr">
        <is>
          <t xml:space="preserve">Yes</t>
        </is>
      </c>
      <c r="K291" s="15" t="inlineStr">
        <is>
          <t xml:space="preserve">Yes</t>
        </is>
      </c>
      <c r="L291" s="15" t="inlineStr">
        <is>
          <t xml:space="preserve">High</t>
        </is>
      </c>
      <c r="M291" s="15" t="inlineStr">
        <is>
          <t xml:space="preserve">High</t>
        </is>
      </c>
      <c r="N291" s="15" t="inlineStr">
        <is>
          <t xml:space="preserve">New main-spine continuation</t>
        </is>
      </c>
      <c r="O291" s="15"/>
      <c r="P291" s="15" t="inlineStr">
        <is>
          <t xml:space="preserve">Primary Account</t>
        </is>
      </c>
      <c r="Q291" s="15" t="inlineStr">
        <is>
          <t xml:space="preserve">SRC-CANON-TEXT; SRC-KINGS-OVERVIEW; SRC-CHRONICLES-OVERVIEW; SRC-MANASSEH</t>
        </is>
      </c>
      <c r="R291" s="11" t="inlineStr">
        <is>
          <t xml:space="preserve">Needs Review</t>
        </is>
      </c>
      <c r="S291" s="15" t="inlineStr">
        <is>
          <t xml:space="preserve">Main 2 Kings account for this chronological reading set.</t>
        </is>
      </c>
    </row>
    <row r="292" ht="34" customHeight="1">
      <c r="A292" s="15" t="inlineStr">
        <is>
          <t xml:space="preserve">v0.3</t>
        </is>
      </c>
      <c r="B292" s="15" t="inlineStr">
        <is>
          <t xml:space="preserve">Bible_Journey_Canon_Map_v0_3_2Chronicles_Wisdom_2Kings.xlsx</t>
        </is>
      </c>
      <c r="C292" s="15" t="inlineStr">
        <is>
          <t xml:space="preserve">BLK-2K-021-02</t>
        </is>
      </c>
      <c r="D292" s="15" t="inlineStr">
        <is>
          <t xml:space="preserve">CRS-2K-021</t>
        </is>
      </c>
      <c r="E292" s="15">
        <v>2</v>
      </c>
      <c r="F292" s="15" t="inlineStr">
        <is>
          <t xml:space="preserve">2 Chronicles</t>
        </is>
      </c>
      <c r="G292" s="15" t="inlineStr">
        <is>
          <t xml:space="preserve">33</t>
        </is>
      </c>
      <c r="H292" s="15" t="inlineStr">
        <is>
          <t xml:space="preserve">Parallel / Complementary Account</t>
        </is>
      </c>
      <c r="I292" s="15" t="inlineStr">
        <is>
          <t xml:space="preserve">Yes</t>
        </is>
      </c>
      <c r="J292" s="15" t="inlineStr">
        <is>
          <t xml:space="preserve">Yes</t>
        </is>
      </c>
      <c r="K292" s="15" t="inlineStr">
        <is>
          <t xml:space="preserve">No</t>
        </is>
      </c>
      <c r="L292" s="15" t="inlineStr">
        <is>
          <t xml:space="preserve">High</t>
        </is>
      </c>
      <c r="M292" s="15" t="inlineStr">
        <is>
          <t xml:space="preserve">High</t>
        </is>
      </c>
      <c r="N292" s="15" t="inlineStr">
        <is>
          <t xml:space="preserve">Attach within current CRS</t>
        </is>
      </c>
      <c r="O292" s="15"/>
      <c r="P292" s="15" t="inlineStr">
        <is>
          <t xml:space="preserve">Parallel / Complementary Account</t>
        </is>
      </c>
      <c r="Q292" s="15" t="inlineStr">
        <is>
          <t xml:space="preserve">SRC-CANON-TEXT; SRC-KINGS-OVERVIEW; SRC-CHRONICLES-OVERVIEW; SRC-MANASSEH</t>
        </is>
      </c>
      <c r="R292" s="11" t="inlineStr">
        <is>
          <t xml:space="preserve">Needs Review</t>
        </is>
      </c>
      <c r="S292" s="15" t="inlineStr">
        <is>
          <t xml:space="preserve">Chronicles account includes captivity and repentance material not in Kings.</t>
        </is>
      </c>
    </row>
    <row r="293" ht="34" customHeight="1">
      <c r="A293" s="15" t="inlineStr">
        <is>
          <t xml:space="preserve">v0.3</t>
        </is>
      </c>
      <c r="B293" s="15" t="inlineStr">
        <is>
          <t xml:space="preserve">Bible_Journey_Canon_Map_v0_3_2Chronicles_Wisdom_2Kings.xlsx</t>
        </is>
      </c>
      <c r="C293" s="15" t="inlineStr">
        <is>
          <t xml:space="preserve">BLK-2K-022-01</t>
        </is>
      </c>
      <c r="D293" s="15" t="inlineStr">
        <is>
          <t xml:space="preserve">CRS-2K-022</t>
        </is>
      </c>
      <c r="E293" s="15">
        <v>1</v>
      </c>
      <c r="F293" s="15" t="inlineStr">
        <is>
          <t xml:space="preserve">2 Kings</t>
        </is>
      </c>
      <c r="G293" s="15" t="inlineStr">
        <is>
          <t xml:space="preserve">2 Kings 22</t>
        </is>
      </c>
      <c r="H293" s="15" t="inlineStr">
        <is>
          <t xml:space="preserve">Primary Account</t>
        </is>
      </c>
      <c r="I293" s="15" t="inlineStr">
        <is>
          <t xml:space="preserve">Yes</t>
        </is>
      </c>
      <c r="J293" s="15" t="inlineStr">
        <is>
          <t xml:space="preserve">Yes</t>
        </is>
      </c>
      <c r="K293" s="15" t="inlineStr">
        <is>
          <t xml:space="preserve">Yes</t>
        </is>
      </c>
      <c r="L293" s="15" t="inlineStr">
        <is>
          <t xml:space="preserve">High</t>
        </is>
      </c>
      <c r="M293" s="15" t="inlineStr">
        <is>
          <t xml:space="preserve">High</t>
        </is>
      </c>
      <c r="N293" s="15" t="inlineStr">
        <is>
          <t xml:space="preserve">New main-spine continuation</t>
        </is>
      </c>
      <c r="O293" s="15"/>
      <c r="P293" s="15" t="inlineStr">
        <is>
          <t xml:space="preserve">Primary Account</t>
        </is>
      </c>
      <c r="Q293" s="15" t="inlineStr">
        <is>
          <t xml:space="preserve">SRC-CANON-TEXT; SRC-KINGS-OVERVIEW; SRC-CHRONICLES-OVERVIEW; SRC-JUDAH</t>
        </is>
      </c>
      <c r="R293" s="11" t="inlineStr">
        <is>
          <t xml:space="preserve">Needs Review</t>
        </is>
      </c>
      <c r="S293" s="15" t="inlineStr">
        <is>
          <t xml:space="preserve">Main 2 Kings account for this chronological reading set.</t>
        </is>
      </c>
    </row>
    <row r="294" ht="34" customHeight="1">
      <c r="A294" s="15" t="inlineStr">
        <is>
          <t xml:space="preserve">v0.3</t>
        </is>
      </c>
      <c r="B294" s="15" t="inlineStr">
        <is>
          <t xml:space="preserve">Bible_Journey_Canon_Map_v0_3_2Chronicles_Wisdom_2Kings.xlsx</t>
        </is>
      </c>
      <c r="C294" s="15" t="inlineStr">
        <is>
          <t xml:space="preserve">BLK-2K-022-02</t>
        </is>
      </c>
      <c r="D294" s="15" t="inlineStr">
        <is>
          <t xml:space="preserve">CRS-2K-022</t>
        </is>
      </c>
      <c r="E294" s="15">
        <v>2</v>
      </c>
      <c r="F294" s="15" t="inlineStr">
        <is>
          <t xml:space="preserve">2 Chronicles</t>
        </is>
      </c>
      <c r="G294" s="15" t="inlineStr">
        <is>
          <t xml:space="preserve">34</t>
        </is>
      </c>
      <c r="H294" s="15" t="inlineStr">
        <is>
          <t xml:space="preserve">Parallel / Complementary Account</t>
        </is>
      </c>
      <c r="I294" s="15" t="inlineStr">
        <is>
          <t xml:space="preserve">Yes</t>
        </is>
      </c>
      <c r="J294" s="15" t="inlineStr">
        <is>
          <t xml:space="preserve">Yes</t>
        </is>
      </c>
      <c r="K294" s="15" t="inlineStr">
        <is>
          <t xml:space="preserve">No</t>
        </is>
      </c>
      <c r="L294" s="15" t="inlineStr">
        <is>
          <t xml:space="preserve">High</t>
        </is>
      </c>
      <c r="M294" s="15" t="inlineStr">
        <is>
          <t xml:space="preserve">High</t>
        </is>
      </c>
      <c r="N294" s="15" t="inlineStr">
        <is>
          <t xml:space="preserve">Attach within current CRS</t>
        </is>
      </c>
      <c r="O294" s="15"/>
      <c r="P294" s="15" t="inlineStr">
        <is>
          <t xml:space="preserve">Parallel / Complementary Account</t>
        </is>
      </c>
      <c r="Q294" s="15" t="inlineStr">
        <is>
          <t xml:space="preserve">SRC-CANON-TEXT; SRC-KINGS-OVERVIEW; SRC-CHRONICLES-OVERVIEW; SRC-JUDAH</t>
        </is>
      </c>
      <c r="R294" s="11" t="inlineStr">
        <is>
          <t xml:space="preserve">Needs Review</t>
        </is>
      </c>
      <c r="S294" s="15" t="inlineStr">
        <is>
          <t xml:space="preserve">Chronicles account of Josiah's reforms and discovery of the book.</t>
        </is>
      </c>
    </row>
    <row r="295" ht="34" customHeight="1">
      <c r="A295" s="15" t="inlineStr">
        <is>
          <t xml:space="preserve">v0.3</t>
        </is>
      </c>
      <c r="B295" s="15" t="inlineStr">
        <is>
          <t xml:space="preserve">Bible_Journey_Canon_Map_v0_3_2Chronicles_Wisdom_2Kings.xlsx</t>
        </is>
      </c>
      <c r="C295" s="15" t="inlineStr">
        <is>
          <t xml:space="preserve">BLK-2K-023-01</t>
        </is>
      </c>
      <c r="D295" s="15" t="inlineStr">
        <is>
          <t xml:space="preserve">CRS-2K-023</t>
        </is>
      </c>
      <c r="E295" s="15">
        <v>1</v>
      </c>
      <c r="F295" s="15" t="inlineStr">
        <is>
          <t xml:space="preserve">2 Kings</t>
        </is>
      </c>
      <c r="G295" s="15" t="inlineStr">
        <is>
          <t xml:space="preserve">2 Kings 23:1-30</t>
        </is>
      </c>
      <c r="H295" s="15" t="inlineStr">
        <is>
          <t xml:space="preserve">Primary Account</t>
        </is>
      </c>
      <c r="I295" s="15" t="inlineStr">
        <is>
          <t xml:space="preserve">Yes</t>
        </is>
      </c>
      <c r="J295" s="15" t="inlineStr">
        <is>
          <t xml:space="preserve">Yes</t>
        </is>
      </c>
      <c r="K295" s="15" t="inlineStr">
        <is>
          <t xml:space="preserve">Yes</t>
        </is>
      </c>
      <c r="L295" s="15" t="inlineStr">
        <is>
          <t xml:space="preserve">High</t>
        </is>
      </c>
      <c r="M295" s="15" t="inlineStr">
        <is>
          <t xml:space="preserve">High</t>
        </is>
      </c>
      <c r="N295" s="15" t="inlineStr">
        <is>
          <t xml:space="preserve">New main-spine continuation</t>
        </is>
      </c>
      <c r="O295" s="15"/>
      <c r="P295" s="15" t="inlineStr">
        <is>
          <t xml:space="preserve">Primary Account</t>
        </is>
      </c>
      <c r="Q295" s="15" t="inlineStr">
        <is>
          <t xml:space="preserve">SRC-CANON-TEXT; SRC-KINGS-OVERVIEW; SRC-CHRONICLES-OVERVIEW; SRC-JUDAH</t>
        </is>
      </c>
      <c r="R295" s="11" t="inlineStr">
        <is>
          <t xml:space="preserve">Needs Review</t>
        </is>
      </c>
      <c r="S295" s="15" t="inlineStr">
        <is>
          <t xml:space="preserve">Main 2 Kings account for this chronological reading set.</t>
        </is>
      </c>
    </row>
    <row r="296" ht="34" customHeight="1">
      <c r="A296" s="15" t="inlineStr">
        <is>
          <t xml:space="preserve">v0.3</t>
        </is>
      </c>
      <c r="B296" s="15" t="inlineStr">
        <is>
          <t xml:space="preserve">Bible_Journey_Canon_Map_v0_3_2Chronicles_Wisdom_2Kings.xlsx</t>
        </is>
      </c>
      <c r="C296" s="15" t="inlineStr">
        <is>
          <t xml:space="preserve">BLK-2K-023-02</t>
        </is>
      </c>
      <c r="D296" s="15" t="inlineStr">
        <is>
          <t xml:space="preserve">CRS-2K-023</t>
        </is>
      </c>
      <c r="E296" s="15">
        <v>2</v>
      </c>
      <c r="F296" s="15" t="inlineStr">
        <is>
          <t xml:space="preserve">2 Chronicles</t>
        </is>
      </c>
      <c r="G296" s="15" t="inlineStr">
        <is>
          <t xml:space="preserve">35</t>
        </is>
      </c>
      <c r="H296" s="15" t="inlineStr">
        <is>
          <t xml:space="preserve">Parallel / Complementary Account</t>
        </is>
      </c>
      <c r="I296" s="15" t="inlineStr">
        <is>
          <t xml:space="preserve">Yes</t>
        </is>
      </c>
      <c r="J296" s="15" t="inlineStr">
        <is>
          <t xml:space="preserve">Yes</t>
        </is>
      </c>
      <c r="K296" s="15" t="inlineStr">
        <is>
          <t xml:space="preserve">No</t>
        </is>
      </c>
      <c r="L296" s="15" t="inlineStr">
        <is>
          <t xml:space="preserve">High</t>
        </is>
      </c>
      <c r="M296" s="15" t="inlineStr">
        <is>
          <t xml:space="preserve">High</t>
        </is>
      </c>
      <c r="N296" s="15" t="inlineStr">
        <is>
          <t xml:space="preserve">Attach within current CRS</t>
        </is>
      </c>
      <c r="O296" s="15"/>
      <c r="P296" s="15" t="inlineStr">
        <is>
          <t xml:space="preserve">Parallel / Complementary Account</t>
        </is>
      </c>
      <c r="Q296" s="15" t="inlineStr">
        <is>
          <t xml:space="preserve">SRC-CANON-TEXT; SRC-KINGS-OVERVIEW; SRC-CHRONICLES-OVERVIEW; SRC-JUDAH</t>
        </is>
      </c>
      <c r="R296" s="11" t="inlineStr">
        <is>
          <t xml:space="preserve">Needs Review</t>
        </is>
      </c>
      <c r="S296" s="15" t="inlineStr">
        <is>
          <t xml:space="preserve">Chronicles' Passover and Josiah death account.</t>
        </is>
      </c>
    </row>
    <row r="297" ht="34" customHeight="1">
      <c r="A297" s="15" t="inlineStr">
        <is>
          <t xml:space="preserve">v0.3</t>
        </is>
      </c>
      <c r="B297" s="15" t="inlineStr">
        <is>
          <t xml:space="preserve">Bible_Journey_Canon_Map_v0_3_2Chronicles_Wisdom_2Kings.xlsx</t>
        </is>
      </c>
      <c r="C297" s="15" t="inlineStr">
        <is>
          <t xml:space="preserve">BLK-2K-024-01</t>
        </is>
      </c>
      <c r="D297" s="15" t="inlineStr">
        <is>
          <t xml:space="preserve">CRS-2K-024</t>
        </is>
      </c>
      <c r="E297" s="15">
        <v>1</v>
      </c>
      <c r="F297" s="15" t="inlineStr">
        <is>
          <t xml:space="preserve">2 Kings</t>
        </is>
      </c>
      <c r="G297" s="15" t="inlineStr">
        <is>
          <t xml:space="preserve">2 Kings 23:31-24:20</t>
        </is>
      </c>
      <c r="H297" s="15" t="inlineStr">
        <is>
          <t xml:space="preserve">Primary Account</t>
        </is>
      </c>
      <c r="I297" s="15" t="inlineStr">
        <is>
          <t xml:space="preserve">Yes</t>
        </is>
      </c>
      <c r="J297" s="15" t="inlineStr">
        <is>
          <t xml:space="preserve">Yes</t>
        </is>
      </c>
      <c r="K297" s="15" t="inlineStr">
        <is>
          <t xml:space="preserve">Yes</t>
        </is>
      </c>
      <c r="L297" s="15" t="inlineStr">
        <is>
          <t xml:space="preserve">High</t>
        </is>
      </c>
      <c r="M297" s="15" t="inlineStr">
        <is>
          <t xml:space="preserve">High</t>
        </is>
      </c>
      <c r="N297" s="15" t="inlineStr">
        <is>
          <t xml:space="preserve">New main-spine continuation</t>
        </is>
      </c>
      <c r="O297" s="15"/>
      <c r="P297" s="15" t="inlineStr">
        <is>
          <t xml:space="preserve">Primary Account</t>
        </is>
      </c>
      <c r="Q297" s="15" t="inlineStr">
        <is>
          <t xml:space="preserve">SRC-CANON-TEXT; SRC-KINGS-OVERVIEW; SRC-CHRONICLES-OVERVIEW; SRC-JUDAH; SRC-KINGS-TIMELINE</t>
        </is>
      </c>
      <c r="R297" s="11" t="inlineStr">
        <is>
          <t xml:space="preserve">Needs Review</t>
        </is>
      </c>
      <c r="S297" s="15" t="inlineStr">
        <is>
          <t xml:space="preserve">Main 2 Kings account for this chronological reading set.</t>
        </is>
      </c>
    </row>
    <row r="298" ht="34" customHeight="1">
      <c r="A298" s="15" t="inlineStr">
        <is>
          <t xml:space="preserve">v0.3</t>
        </is>
      </c>
      <c r="B298" s="15" t="inlineStr">
        <is>
          <t xml:space="preserve">Bible_Journey_Canon_Map_v0_3_2Chronicles_Wisdom_2Kings.xlsx</t>
        </is>
      </c>
      <c r="C298" s="15" t="inlineStr">
        <is>
          <t xml:space="preserve">BLK-2K-024-02</t>
        </is>
      </c>
      <c r="D298" s="15" t="inlineStr">
        <is>
          <t xml:space="preserve">CRS-2K-024</t>
        </is>
      </c>
      <c r="E298" s="15">
        <v>2</v>
      </c>
      <c r="F298" s="15" t="inlineStr">
        <is>
          <t xml:space="preserve">2 Chronicles</t>
        </is>
      </c>
      <c r="G298" s="15" t="inlineStr">
        <is>
          <t xml:space="preserve">36:1-21</t>
        </is>
      </c>
      <c r="H298" s="15" t="inlineStr">
        <is>
          <t xml:space="preserve">Parallel / Complementary Account</t>
        </is>
      </c>
      <c r="I298" s="15" t="inlineStr">
        <is>
          <t xml:space="preserve">Yes</t>
        </is>
      </c>
      <c r="J298" s="15" t="inlineStr">
        <is>
          <t xml:space="preserve">Yes</t>
        </is>
      </c>
      <c r="K298" s="15" t="inlineStr">
        <is>
          <t xml:space="preserve">No</t>
        </is>
      </c>
      <c r="L298" s="15" t="inlineStr">
        <is>
          <t xml:space="preserve">High</t>
        </is>
      </c>
      <c r="M298" s="15" t="inlineStr">
        <is>
          <t xml:space="preserve">High</t>
        </is>
      </c>
      <c r="N298" s="15" t="inlineStr">
        <is>
          <t xml:space="preserve">Attach within current CRS</t>
        </is>
      </c>
      <c r="O298" s="15"/>
      <c r="P298" s="15" t="inlineStr">
        <is>
          <t xml:space="preserve">Parallel / Complementary Account</t>
        </is>
      </c>
      <c r="Q298" s="15" t="inlineStr">
        <is>
          <t xml:space="preserve">SRC-CANON-TEXT; SRC-KINGS-OVERVIEW; SRC-CHRONICLES-OVERVIEW; SRC-JUDAH; SRC-KINGS-TIMELINE</t>
        </is>
      </c>
      <c r="R298" s="11" t="inlineStr">
        <is>
          <t xml:space="preserve">Needs Review</t>
        </is>
      </c>
      <c r="S298" s="15" t="inlineStr">
        <is>
          <t xml:space="preserve">Chronicles' final kings and exile account.</t>
        </is>
      </c>
    </row>
    <row r="299" ht="34" customHeight="1">
      <c r="A299" s="15" t="inlineStr">
        <is>
          <t xml:space="preserve">v0.3</t>
        </is>
      </c>
      <c r="B299" s="15" t="inlineStr">
        <is>
          <t xml:space="preserve">Bible_Journey_Canon_Map_v0_3_2Chronicles_Wisdom_2Kings.xlsx</t>
        </is>
      </c>
      <c r="C299" s="15" t="inlineStr">
        <is>
          <t xml:space="preserve">BLK-2K-025-01</t>
        </is>
      </c>
      <c r="D299" s="15" t="inlineStr">
        <is>
          <t xml:space="preserve">CRS-2K-025</t>
        </is>
      </c>
      <c r="E299" s="15">
        <v>1</v>
      </c>
      <c r="F299" s="15" t="inlineStr">
        <is>
          <t xml:space="preserve">2 Kings</t>
        </is>
      </c>
      <c r="G299" s="15" t="inlineStr">
        <is>
          <t xml:space="preserve">2 Kings 25</t>
        </is>
      </c>
      <c r="H299" s="15" t="inlineStr">
        <is>
          <t xml:space="preserve">Primary Account</t>
        </is>
      </c>
      <c r="I299" s="15" t="inlineStr">
        <is>
          <t xml:space="preserve">Yes</t>
        </is>
      </c>
      <c r="J299" s="15" t="inlineStr">
        <is>
          <t xml:space="preserve">Yes</t>
        </is>
      </c>
      <c r="K299" s="15" t="inlineStr">
        <is>
          <t xml:space="preserve">Yes</t>
        </is>
      </c>
      <c r="L299" s="15" t="inlineStr">
        <is>
          <t xml:space="preserve">High</t>
        </is>
      </c>
      <c r="M299" s="15" t="inlineStr">
        <is>
          <t xml:space="preserve">High</t>
        </is>
      </c>
      <c r="N299" s="15" t="inlineStr">
        <is>
          <t xml:space="preserve">New main-spine continuation</t>
        </is>
      </c>
      <c r="O299" s="15"/>
      <c r="P299" s="15" t="inlineStr">
        <is>
          <t xml:space="preserve">Primary Account</t>
        </is>
      </c>
      <c r="Q299" s="15" t="inlineStr">
        <is>
          <t xml:space="preserve">SRC-CANON-TEXT; SRC-KINGS-OVERVIEW; SRC-CHRONICLES-OVERVIEW; SRC-JUDAH; SRC-KINGS-TIMELINE</t>
        </is>
      </c>
      <c r="R299" s="11" t="inlineStr">
        <is>
          <t xml:space="preserve">Needs Review</t>
        </is>
      </c>
      <c r="S299" s="15" t="inlineStr">
        <is>
          <t xml:space="preserve">Main 2 Kings account for this chronological reading set.</t>
        </is>
      </c>
    </row>
    <row r="300" ht="34" customHeight="1">
      <c r="A300" s="15" t="inlineStr">
        <is>
          <t xml:space="preserve">v0.3</t>
        </is>
      </c>
      <c r="B300" s="15" t="inlineStr">
        <is>
          <t xml:space="preserve">Bible_Journey_Canon_Map_v0_3_2Chronicles_Wisdom_2Kings.xlsx</t>
        </is>
      </c>
      <c r="C300" s="15" t="inlineStr">
        <is>
          <t xml:space="preserve">BLK-2K-025-02</t>
        </is>
      </c>
      <c r="D300" s="15" t="inlineStr">
        <is>
          <t xml:space="preserve">CRS-2K-025</t>
        </is>
      </c>
      <c r="E300" s="15">
        <v>2</v>
      </c>
      <c r="F300" s="15" t="inlineStr">
        <is>
          <t xml:space="preserve">2 Chronicles</t>
        </is>
      </c>
      <c r="G300" s="15" t="inlineStr">
        <is>
          <t xml:space="preserve">36:22-23</t>
        </is>
      </c>
      <c r="H300" s="15" t="inlineStr">
        <is>
          <t xml:space="preserve">Supplementary Reading</t>
        </is>
      </c>
      <c r="I300" s="15" t="inlineStr">
        <is>
          <t xml:space="preserve">Yes</t>
        </is>
      </c>
      <c r="J300" s="15" t="inlineStr">
        <is>
          <t xml:space="preserve">Yes</t>
        </is>
      </c>
      <c r="K300" s="15" t="inlineStr">
        <is>
          <t xml:space="preserve">No</t>
        </is>
      </c>
      <c r="L300" s="15" t="inlineStr">
        <is>
          <t xml:space="preserve">High</t>
        </is>
      </c>
      <c r="M300" s="15" t="inlineStr">
        <is>
          <t xml:space="preserve">High</t>
        </is>
      </c>
      <c r="N300" s="15" t="inlineStr">
        <is>
          <t xml:space="preserve">Attach within current CRS</t>
        </is>
      </c>
      <c r="O300" s="15"/>
      <c r="P300" s="15" t="inlineStr">
        <is>
          <t xml:space="preserve">Supplementary Reading</t>
        </is>
      </c>
      <c r="Q300" s="15" t="inlineStr">
        <is>
          <t xml:space="preserve">SRC-CANON-TEXT; SRC-KINGS-OVERVIEW; SRC-CHRONICLES-OVERVIEW; SRC-JUDAH; SRC-KINGS-TIMELINE</t>
        </is>
      </c>
      <c r="R300" s="11" t="inlineStr">
        <is>
          <t xml:space="preserve">Needs Review</t>
        </is>
      </c>
      <c r="S300" s="15" t="inlineStr">
        <is>
          <t xml:space="preserve">Cyrus bridge to the return / Ezra.</t>
        </is>
      </c>
    </row>
    <row r="301" ht="34" customHeight="1">
      <c r="A301" s="15" t="inlineStr">
        <is>
          <t xml:space="preserve">v0.4</t>
        </is>
      </c>
      <c r="B301" s="15" t="inlineStr">
        <is>
          <t xml:space="preserve">Bible_Journey_Canon_Map_v0_4_Prophets_Exile.xlsx</t>
        </is>
      </c>
      <c r="C301" s="15" t="inlineStr">
        <is>
          <t xml:space="preserve">RB-04-001</t>
        </is>
      </c>
      <c r="D301" s="15" t="inlineStr">
        <is>
          <t xml:space="preserve">CRS-04-001</t>
        </is>
      </c>
      <c r="E301" s="15">
        <v>1</v>
      </c>
      <c r="F301" s="15" t="inlineStr">
        <is>
          <t xml:space="preserve">Jonah</t>
        </is>
      </c>
      <c r="G301" s="15" t="inlineStr">
        <is>
          <t xml:space="preserve">Jonah 1-4</t>
        </is>
      </c>
      <c r="H301" s="15" t="inlineStr">
        <is>
          <t xml:space="preserve">Primary Account</t>
        </is>
      </c>
      <c r="I301" s="15"/>
      <c r="J301" s="15" t="inlineStr">
        <is>
          <t xml:space="preserve">Required</t>
        </is>
      </c>
      <c r="K301" s="15" t="inlineStr">
        <is>
          <t xml:space="preserve">Include</t>
        </is>
      </c>
      <c r="L301" s="15" t="inlineStr">
        <is>
          <t xml:space="preserve">High</t>
        </is>
      </c>
      <c r="M301" s="15" t="inlineStr">
        <is>
          <t xml:space="preserve">Probable</t>
        </is>
      </c>
      <c r="N301" s="15" t="inlineStr">
        <is>
          <t xml:space="preserve">v0.3: 2 Kings 14:23-29</t>
        </is>
      </c>
      <c r="O301" s="15"/>
      <c r="P301" s="15"/>
      <c r="Q301" s="15" t="inlineStr">
        <is>
          <t xml:space="preserve">S1; S8; S7</t>
        </is>
      </c>
      <c r="R301" s="11" t="inlineStr">
        <is>
          <t xml:space="preserve">Not reviewed</t>
        </is>
      </c>
      <c r="S301" s="15" t="inlineStr">
        <is>
          <t xml:space="preserve">Jonah is linked by name to Jeroboam II in 2 Kings 14:25. The narrative book's date and setting remain separately debated, so the stream treats this as a transparent study placement.</t>
        </is>
      </c>
    </row>
    <row r="302" ht="34" customHeight="1">
      <c r="A302" s="15" t="inlineStr">
        <is>
          <t xml:space="preserve">v0.4</t>
        </is>
      </c>
      <c r="B302" s="15" t="inlineStr">
        <is>
          <t xml:space="preserve">Bible_Journey_Canon_Map_v0_4_Prophets_Exile.xlsx</t>
        </is>
      </c>
      <c r="C302" s="15" t="inlineStr">
        <is>
          <t xml:space="preserve">RB-04-002</t>
        </is>
      </c>
      <c r="D302" s="15" t="inlineStr">
        <is>
          <t xml:space="preserve">CRS-04-002</t>
        </is>
      </c>
      <c r="E302" s="15">
        <v>2</v>
      </c>
      <c r="F302" s="15" t="inlineStr">
        <is>
          <t xml:space="preserve">Amos</t>
        </is>
      </c>
      <c r="G302" s="15" t="inlineStr">
        <is>
          <t xml:space="preserve">Amos 1-2</t>
        </is>
      </c>
      <c r="H302" s="15" t="inlineStr">
        <is>
          <t xml:space="preserve">Primary Account</t>
        </is>
      </c>
      <c r="I302" s="15"/>
      <c r="J302" s="15" t="inlineStr">
        <is>
          <t xml:space="preserve">Required</t>
        </is>
      </c>
      <c r="K302" s="15" t="inlineStr">
        <is>
          <t xml:space="preserve">Include</t>
        </is>
      </c>
      <c r="L302" s="15" t="inlineStr">
        <is>
          <t xml:space="preserve">High</t>
        </is>
      </c>
      <c r="M302" s="15" t="inlineStr">
        <is>
          <t xml:space="preserve">High</t>
        </is>
      </c>
      <c r="N302" s="15" t="inlineStr">
        <is>
          <t xml:space="preserve">v0.3: 2 Kings 14:23-29; 2 Chronicles 26</t>
        </is>
      </c>
      <c r="O302" s="15"/>
      <c r="P302" s="15"/>
      <c r="Q302" s="15" t="inlineStr">
        <is>
          <t xml:space="preserve">S1; S8; S9</t>
        </is>
      </c>
      <c r="R302" s="11" t="inlineStr">
        <is>
          <t xml:space="preserve">Not reviewed</t>
        </is>
      </c>
      <c r="S302" s="15" t="inlineStr">
        <is>
          <t xml:space="preserve">Amos opens in the reigns of Uzziah and Jeroboam II. This block begins the book without pretending that every oracle can be dated to a single month or crisis.</t>
        </is>
      </c>
    </row>
    <row r="303" ht="34" customHeight="1">
      <c r="A303" s="15" t="inlineStr">
        <is>
          <t xml:space="preserve">v0.4</t>
        </is>
      </c>
      <c r="B303" s="15" t="inlineStr">
        <is>
          <t xml:space="preserve">Bible_Journey_Canon_Map_v0_4_Prophets_Exile.xlsx</t>
        </is>
      </c>
      <c r="C303" s="15" t="inlineStr">
        <is>
          <t xml:space="preserve">RB-04-003</t>
        </is>
      </c>
      <c r="D303" s="15" t="inlineStr">
        <is>
          <t xml:space="preserve">CRS-04-003</t>
        </is>
      </c>
      <c r="E303" s="15">
        <v>3</v>
      </c>
      <c r="F303" s="15" t="inlineStr">
        <is>
          <t xml:space="preserve">Amos</t>
        </is>
      </c>
      <c r="G303" s="15" t="inlineStr">
        <is>
          <t xml:space="preserve">Amos 3-6</t>
        </is>
      </c>
      <c r="H303" s="15" t="inlineStr">
        <is>
          <t xml:space="preserve">Primary Account</t>
        </is>
      </c>
      <c r="I303" s="15"/>
      <c r="J303" s="15" t="inlineStr">
        <is>
          <t xml:space="preserve">Required</t>
        </is>
      </c>
      <c r="K303" s="15" t="inlineStr">
        <is>
          <t xml:space="preserve">Include</t>
        </is>
      </c>
      <c r="L303" s="15" t="inlineStr">
        <is>
          <t xml:space="preserve">Probable</t>
        </is>
      </c>
      <c r="M303" s="15" t="inlineStr">
        <is>
          <t xml:space="preserve">High</t>
        </is>
      </c>
      <c r="N303" s="15" t="inlineStr">
        <is>
          <t xml:space="preserve">v0.3: 2 Kings 14:23-29</t>
        </is>
      </c>
      <c r="O303" s="15"/>
      <c r="P303" s="15"/>
      <c r="Q303" s="15" t="inlineStr">
        <is>
          <t xml:space="preserve">S8; S9; S7</t>
        </is>
      </c>
      <c r="R303" s="11" t="inlineStr">
        <is>
          <t xml:space="preserve">Not reviewed</t>
        </is>
      </c>
      <c r="S303" s="15" t="inlineStr">
        <is>
          <t xml:space="preserve">The stream places Amos's social critique amid northern prosperity, with a clear note that individual sayings are not all independently dated.</t>
        </is>
      </c>
    </row>
    <row r="304" ht="34" customHeight="1">
      <c r="A304" s="15" t="inlineStr">
        <is>
          <t xml:space="preserve">v0.4</t>
        </is>
      </c>
      <c r="B304" s="15" t="inlineStr">
        <is>
          <t xml:space="preserve">Bible_Journey_Canon_Map_v0_4_Prophets_Exile.xlsx</t>
        </is>
      </c>
      <c r="C304" s="15" t="inlineStr">
        <is>
          <t xml:space="preserve">RB-04-004</t>
        </is>
      </c>
      <c r="D304" s="15" t="inlineStr">
        <is>
          <t xml:space="preserve">CRS-04-004</t>
        </is>
      </c>
      <c r="E304" s="15">
        <v>4</v>
      </c>
      <c r="F304" s="15" t="inlineStr">
        <is>
          <t xml:space="preserve">Amos</t>
        </is>
      </c>
      <c r="G304" s="15" t="inlineStr">
        <is>
          <t xml:space="preserve">Amos 7-9</t>
        </is>
      </c>
      <c r="H304" s="15" t="inlineStr">
        <is>
          <t xml:space="preserve">Primary Account</t>
        </is>
      </c>
      <c r="I304" s="15"/>
      <c r="J304" s="15" t="inlineStr">
        <is>
          <t xml:space="preserve">Required</t>
        </is>
      </c>
      <c r="K304" s="15" t="inlineStr">
        <is>
          <t xml:space="preserve">Include</t>
        </is>
      </c>
      <c r="L304" s="15" t="inlineStr">
        <is>
          <t xml:space="preserve">Probable</t>
        </is>
      </c>
      <c r="M304" s="15" t="inlineStr">
        <is>
          <t xml:space="preserve">High</t>
        </is>
      </c>
      <c r="N304" s="15" t="inlineStr">
        <is>
          <t xml:space="preserve">v0.3: 2 Kings 14:23-29</t>
        </is>
      </c>
      <c r="O304" s="15"/>
      <c r="P304" s="15"/>
      <c r="Q304" s="15" t="inlineStr">
        <is>
          <t xml:space="preserve">S1; S8; S9; S7</t>
        </is>
      </c>
      <c r="R304" s="11" t="inlineStr">
        <is>
          <t xml:space="preserve">Not reviewed</t>
        </is>
      </c>
      <c r="S304" s="15" t="inlineStr">
        <is>
          <t xml:space="preserve">Visions and the confrontation at Bethel are retained as a continuous literary block under the eighth-century anchor.</t>
        </is>
      </c>
    </row>
    <row r="305" ht="34" customHeight="1">
      <c r="A305" s="15" t="inlineStr">
        <is>
          <t xml:space="preserve">v0.4</t>
        </is>
      </c>
      <c r="B305" s="15" t="inlineStr">
        <is>
          <t xml:space="preserve">Bible_Journey_Canon_Map_v0_4_Prophets_Exile.xlsx</t>
        </is>
      </c>
      <c r="C305" s="15" t="inlineStr">
        <is>
          <t xml:space="preserve">RB-04-005</t>
        </is>
      </c>
      <c r="D305" s="15" t="inlineStr">
        <is>
          <t xml:space="preserve">CRS-04-005</t>
        </is>
      </c>
      <c r="E305" s="15">
        <v>5</v>
      </c>
      <c r="F305" s="15" t="inlineStr">
        <is>
          <t xml:space="preserve">Hosea</t>
        </is>
      </c>
      <c r="G305" s="15" t="inlineStr">
        <is>
          <t xml:space="preserve">Hosea 1-3</t>
        </is>
      </c>
      <c r="H305" s="15" t="inlineStr">
        <is>
          <t xml:space="preserve">Primary Account</t>
        </is>
      </c>
      <c r="I305" s="15"/>
      <c r="J305" s="15" t="inlineStr">
        <is>
          <t xml:space="preserve">Required</t>
        </is>
      </c>
      <c r="K305" s="15" t="inlineStr">
        <is>
          <t xml:space="preserve">Include</t>
        </is>
      </c>
      <c r="L305" s="15" t="inlineStr">
        <is>
          <t xml:space="preserve">Probable</t>
        </is>
      </c>
      <c r="M305" s="15" t="inlineStr">
        <is>
          <t xml:space="preserve">High</t>
        </is>
      </c>
      <c r="N305" s="15" t="inlineStr">
        <is>
          <t xml:space="preserve">v0.3: 2 Kings 14-18</t>
        </is>
      </c>
      <c r="O305" s="15"/>
      <c r="P305" s="15"/>
      <c r="Q305" s="15" t="inlineStr">
        <is>
          <t xml:space="preserve">S1; S7; S8</t>
        </is>
      </c>
      <c r="R305" s="11" t="inlineStr">
        <is>
          <t xml:space="preserve">Not reviewed</t>
        </is>
      </c>
      <c r="S305" s="15" t="inlineStr">
        <is>
          <t xml:space="preserve">Hosea's heading spans several Judean reigns and Jeroboam II. The opening symbolic material is placed in the broad eighth-century northern context.</t>
        </is>
      </c>
    </row>
    <row r="306" ht="34" customHeight="1">
      <c r="A306" s="15" t="inlineStr">
        <is>
          <t xml:space="preserve">v0.4</t>
        </is>
      </c>
      <c r="B306" s="15" t="inlineStr">
        <is>
          <t xml:space="preserve">Bible_Journey_Canon_Map_v0_4_Prophets_Exile.xlsx</t>
        </is>
      </c>
      <c r="C306" s="15" t="inlineStr">
        <is>
          <t xml:space="preserve">RB-04-006</t>
        </is>
      </c>
      <c r="D306" s="15" t="inlineStr">
        <is>
          <t xml:space="preserve">CRS-04-006</t>
        </is>
      </c>
      <c r="E306" s="15">
        <v>6</v>
      </c>
      <c r="F306" s="15" t="inlineStr">
        <is>
          <t xml:space="preserve">Hosea</t>
        </is>
      </c>
      <c r="G306" s="15" t="inlineStr">
        <is>
          <t xml:space="preserve">Hosea 4-8</t>
        </is>
      </c>
      <c r="H306" s="15" t="inlineStr">
        <is>
          <t xml:space="preserve">Primary Account</t>
        </is>
      </c>
      <c r="I306" s="15"/>
      <c r="J306" s="15" t="inlineStr">
        <is>
          <t xml:space="preserve">Required</t>
        </is>
      </c>
      <c r="K306" s="15" t="inlineStr">
        <is>
          <t xml:space="preserve">Include</t>
        </is>
      </c>
      <c r="L306" s="15" t="inlineStr">
        <is>
          <t xml:space="preserve">Probable</t>
        </is>
      </c>
      <c r="M306" s="15" t="inlineStr">
        <is>
          <t xml:space="preserve">High</t>
        </is>
      </c>
      <c r="N306" s="15" t="inlineStr">
        <is>
          <t xml:space="preserve">v0.3: 2 Kings 14-18</t>
        </is>
      </c>
      <c r="O306" s="15"/>
      <c r="P306" s="15"/>
      <c r="Q306" s="15" t="inlineStr">
        <is>
          <t xml:space="preserve">S1; S7</t>
        </is>
      </c>
      <c r="R306" s="11" t="inlineStr">
        <is>
          <t xml:space="preserve">Not reviewed</t>
        </is>
      </c>
      <c r="S306" s="15" t="inlineStr">
        <is>
          <t xml:space="preserve">A continuous canonical block positioned before the fall of Samaria, with uncertainty preserved at oracle level.</t>
        </is>
      </c>
    </row>
    <row r="307" ht="34" customHeight="1">
      <c r="A307" s="15" t="inlineStr">
        <is>
          <t xml:space="preserve">v0.4</t>
        </is>
      </c>
      <c r="B307" s="15" t="inlineStr">
        <is>
          <t xml:space="preserve">Bible_Journey_Canon_Map_v0_4_Prophets_Exile.xlsx</t>
        </is>
      </c>
      <c r="C307" s="15" t="inlineStr">
        <is>
          <t xml:space="preserve">RB-04-007</t>
        </is>
      </c>
      <c r="D307" s="15" t="inlineStr">
        <is>
          <t xml:space="preserve">CRS-04-007</t>
        </is>
      </c>
      <c r="E307" s="15">
        <v>7</v>
      </c>
      <c r="F307" s="15" t="inlineStr">
        <is>
          <t xml:space="preserve">Hosea</t>
        </is>
      </c>
      <c r="G307" s="15" t="inlineStr">
        <is>
          <t xml:space="preserve">Hosea 9-14</t>
        </is>
      </c>
      <c r="H307" s="15" t="inlineStr">
        <is>
          <t xml:space="preserve">Primary Account</t>
        </is>
      </c>
      <c r="I307" s="15"/>
      <c r="J307" s="15" t="inlineStr">
        <is>
          <t xml:space="preserve">Required</t>
        </is>
      </c>
      <c r="K307" s="15" t="inlineStr">
        <is>
          <t xml:space="preserve">Include</t>
        </is>
      </c>
      <c r="L307" s="15" t="inlineStr">
        <is>
          <t xml:space="preserve">Probable</t>
        </is>
      </c>
      <c r="M307" s="15" t="inlineStr">
        <is>
          <t xml:space="preserve">High</t>
        </is>
      </c>
      <c r="N307" s="15" t="inlineStr">
        <is>
          <t xml:space="preserve">v0.3: 2 Kings 14-18</t>
        </is>
      </c>
      <c r="O307" s="15"/>
      <c r="P307" s="15"/>
      <c r="Q307" s="15" t="inlineStr">
        <is>
          <t xml:space="preserve">S1; S7</t>
        </is>
      </c>
      <c r="R307" s="11" t="inlineStr">
        <is>
          <t xml:space="preserve">Not reviewed</t>
        </is>
      </c>
      <c r="S307" s="15" t="inlineStr">
        <is>
          <t xml:space="preserve">The final Hosea block remains in the northern kingdom horizon, before the 722 BCE collapse.</t>
        </is>
      </c>
    </row>
    <row r="308" ht="34" customHeight="1">
      <c r="A308" s="15" t="inlineStr">
        <is>
          <t xml:space="preserve">v0.4</t>
        </is>
      </c>
      <c r="B308" s="15" t="inlineStr">
        <is>
          <t xml:space="preserve">Bible_Journey_Canon_Map_v0_4_Prophets_Exile.xlsx</t>
        </is>
      </c>
      <c r="C308" s="15" t="inlineStr">
        <is>
          <t xml:space="preserve">RB-04-008</t>
        </is>
      </c>
      <c r="D308" s="15" t="inlineStr">
        <is>
          <t xml:space="preserve">CRS-04-008</t>
        </is>
      </c>
      <c r="E308" s="15">
        <v>8</v>
      </c>
      <c r="F308" s="15" t="inlineStr">
        <is>
          <t xml:space="preserve">Isaiah</t>
        </is>
      </c>
      <c r="G308" s="15" t="inlineStr">
        <is>
          <t xml:space="preserve">Isaiah 1-5</t>
        </is>
      </c>
      <c r="H308" s="15" t="inlineStr">
        <is>
          <t xml:space="preserve">Primary Account</t>
        </is>
      </c>
      <c r="I308" s="15"/>
      <c r="J308" s="15" t="inlineStr">
        <is>
          <t xml:space="preserve">Required</t>
        </is>
      </c>
      <c r="K308" s="15" t="inlineStr">
        <is>
          <t xml:space="preserve">Include</t>
        </is>
      </c>
      <c r="L308" s="15" t="inlineStr">
        <is>
          <t xml:space="preserve">Probable</t>
        </is>
      </c>
      <c r="M308" s="15" t="inlineStr">
        <is>
          <t xml:space="preserve">High</t>
        </is>
      </c>
      <c r="N308" s="15" t="inlineStr">
        <is>
          <t xml:space="preserve">v0.3: 2 Kings 15; 2 Chronicles 26-27</t>
        </is>
      </c>
      <c r="O308" s="15"/>
      <c r="P308" s="15"/>
      <c r="Q308" s="15" t="inlineStr">
        <is>
          <t xml:space="preserve">S1; S2; S3; S7</t>
        </is>
      </c>
      <c r="R308" s="11" t="inlineStr">
        <is>
          <t xml:space="preserve">Not reviewed</t>
        </is>
      </c>
      <c r="S308" s="15" t="inlineStr">
        <is>
          <t xml:space="preserve">Isaiah 1-5 is placed within the prophet's eighth-century Judean ministry, while individual units remain difficult to pin to exact reign years.</t>
        </is>
      </c>
    </row>
    <row r="309" ht="34" customHeight="1">
      <c r="A309" s="15" t="inlineStr">
        <is>
          <t xml:space="preserve">v0.4</t>
        </is>
      </c>
      <c r="B309" s="15" t="inlineStr">
        <is>
          <t xml:space="preserve">Bible_Journey_Canon_Map_v0_4_Prophets_Exile.xlsx</t>
        </is>
      </c>
      <c r="C309" s="15" t="inlineStr">
        <is>
          <t xml:space="preserve">RB-04-009</t>
        </is>
      </c>
      <c r="D309" s="15" t="inlineStr">
        <is>
          <t xml:space="preserve">CRS-04-009</t>
        </is>
      </c>
      <c r="E309" s="15">
        <v>9</v>
      </c>
      <c r="F309" s="15" t="inlineStr">
        <is>
          <t xml:space="preserve">Isaiah</t>
        </is>
      </c>
      <c r="G309" s="15" t="inlineStr">
        <is>
          <t xml:space="preserve">Isaiah 6</t>
        </is>
      </c>
      <c r="H309" s="15" t="inlineStr">
        <is>
          <t xml:space="preserve">Primary Account</t>
        </is>
      </c>
      <c r="I309" s="15"/>
      <c r="J309" s="15" t="inlineStr">
        <is>
          <t xml:space="preserve">Required</t>
        </is>
      </c>
      <c r="K309" s="15" t="inlineStr">
        <is>
          <t xml:space="preserve">Include</t>
        </is>
      </c>
      <c r="L309" s="15" t="inlineStr">
        <is>
          <t xml:space="preserve">High</t>
        </is>
      </c>
      <c r="M309" s="15" t="inlineStr">
        <is>
          <t xml:space="preserve">High</t>
        </is>
      </c>
      <c r="N309" s="15" t="inlineStr">
        <is>
          <t xml:space="preserve">v0.3: 2 Chronicles 26; 2 Kings 15</t>
        </is>
      </c>
      <c r="O309" s="15"/>
      <c r="P309" s="15"/>
      <c r="Q309" s="15" t="inlineStr">
        <is>
          <t xml:space="preserve">S1; S2; S3</t>
        </is>
      </c>
      <c r="R309" s="11" t="inlineStr">
        <is>
          <t xml:space="preserve">Not reviewed</t>
        </is>
      </c>
      <c r="S309" s="15" t="inlineStr">
        <is>
          <t xml:space="preserve">Isaiah 6 provides an explicit internal chronological marker and functions as a stable anchor in the stream.</t>
        </is>
      </c>
    </row>
    <row r="310" ht="34" customHeight="1">
      <c r="A310" s="15" t="inlineStr">
        <is>
          <t xml:space="preserve">v0.4</t>
        </is>
      </c>
      <c r="B310" s="15" t="inlineStr">
        <is>
          <t xml:space="preserve">Bible_Journey_Canon_Map_v0_4_Prophets_Exile.xlsx</t>
        </is>
      </c>
      <c r="C310" s="15" t="inlineStr">
        <is>
          <t xml:space="preserve">RB-04-010</t>
        </is>
      </c>
      <c r="D310" s="15" t="inlineStr">
        <is>
          <t xml:space="preserve">CRS-04-010</t>
        </is>
      </c>
      <c r="E310" s="15">
        <v>10</v>
      </c>
      <c r="F310" s="15" t="inlineStr">
        <is>
          <t xml:space="preserve">Micah</t>
        </is>
      </c>
      <c r="G310" s="15" t="inlineStr">
        <is>
          <t xml:space="preserve">Micah 1-3</t>
        </is>
      </c>
      <c r="H310" s="15" t="inlineStr">
        <is>
          <t xml:space="preserve">Primary Account</t>
        </is>
      </c>
      <c r="I310" s="15"/>
      <c r="J310" s="15" t="inlineStr">
        <is>
          <t xml:space="preserve">Required</t>
        </is>
      </c>
      <c r="K310" s="15" t="inlineStr">
        <is>
          <t xml:space="preserve">Include</t>
        </is>
      </c>
      <c r="L310" s="15" t="inlineStr">
        <is>
          <t xml:space="preserve">Probable</t>
        </is>
      </c>
      <c r="M310" s="15" t="inlineStr">
        <is>
          <t xml:space="preserve">High</t>
        </is>
      </c>
      <c r="N310" s="15" t="inlineStr">
        <is>
          <t xml:space="preserve">v0.3: 2 Kings 15-18; 2 Chronicles 27-29</t>
        </is>
      </c>
      <c r="O310" s="15"/>
      <c r="P310" s="15"/>
      <c r="Q310" s="15" t="inlineStr">
        <is>
          <t xml:space="preserve">S1; S7</t>
        </is>
      </c>
      <c r="R310" s="11" t="inlineStr">
        <is>
          <t xml:space="preserve">Not reviewed</t>
        </is>
      </c>
      <c r="S310" s="15" t="inlineStr">
        <is>
          <t xml:space="preserve">Micah's heading spans Jotham, Ahaz, and Hezekiah. The stream places the opening judgment block in this broad eighth-century setting.</t>
        </is>
      </c>
    </row>
    <row r="311" ht="34" customHeight="1">
      <c r="A311" s="15" t="inlineStr">
        <is>
          <t xml:space="preserve">v0.4</t>
        </is>
      </c>
      <c r="B311" s="15" t="inlineStr">
        <is>
          <t xml:space="preserve">Bible_Journey_Canon_Map_v0_4_Prophets_Exile.xlsx</t>
        </is>
      </c>
      <c r="C311" s="15" t="inlineStr">
        <is>
          <t xml:space="preserve">RB-04-011</t>
        </is>
      </c>
      <c r="D311" s="15" t="inlineStr">
        <is>
          <t xml:space="preserve">CRS-04-011</t>
        </is>
      </c>
      <c r="E311" s="15">
        <v>11</v>
      </c>
      <c r="F311" s="15" t="inlineStr">
        <is>
          <t xml:space="preserve">Micah</t>
        </is>
      </c>
      <c r="G311" s="15" t="inlineStr">
        <is>
          <t xml:space="preserve">Micah 4-5</t>
        </is>
      </c>
      <c r="H311" s="15" t="inlineStr">
        <is>
          <t xml:space="preserve">Primary Account</t>
        </is>
      </c>
      <c r="I311" s="15"/>
      <c r="J311" s="15" t="inlineStr">
        <is>
          <t xml:space="preserve">Required</t>
        </is>
      </c>
      <c r="K311" s="15" t="inlineStr">
        <is>
          <t xml:space="preserve">Include</t>
        </is>
      </c>
      <c r="L311" s="15" t="inlineStr">
        <is>
          <t xml:space="preserve">Debated</t>
        </is>
      </c>
      <c r="M311" s="15" t="inlineStr">
        <is>
          <t xml:space="preserve">High</t>
        </is>
      </c>
      <c r="N311" s="15" t="inlineStr">
        <is>
          <t xml:space="preserve">v0.3: 2 Kings 15-18; 2 Chronicles 27-29</t>
        </is>
      </c>
      <c r="O311" s="15"/>
      <c r="P311" s="15"/>
      <c r="Q311" s="15" t="inlineStr">
        <is>
          <t xml:space="preserve">S1; S7</t>
        </is>
      </c>
      <c r="R311" s="11" t="inlineStr">
        <is>
          <t xml:space="preserve">Not reviewed</t>
        </is>
      </c>
      <c r="S311" s="15" t="inlineStr">
        <is>
          <t xml:space="preserve">The hope material remains connected to the same broad prophetic horizon but is not given an artificial exact date.</t>
        </is>
      </c>
    </row>
    <row r="312" ht="34" customHeight="1">
      <c r="A312" s="15" t="inlineStr">
        <is>
          <t xml:space="preserve">v0.4</t>
        </is>
      </c>
      <c r="B312" s="15" t="inlineStr">
        <is>
          <t xml:space="preserve">Bible_Journey_Canon_Map_v0_4_Prophets_Exile.xlsx</t>
        </is>
      </c>
      <c r="C312" s="15" t="inlineStr">
        <is>
          <t xml:space="preserve">RB-04-012</t>
        </is>
      </c>
      <c r="D312" s="15" t="inlineStr">
        <is>
          <t xml:space="preserve">CRS-04-012</t>
        </is>
      </c>
      <c r="E312" s="15">
        <v>12</v>
      </c>
      <c r="F312" s="15" t="inlineStr">
        <is>
          <t xml:space="preserve">Micah</t>
        </is>
      </c>
      <c r="G312" s="15" t="inlineStr">
        <is>
          <t xml:space="preserve">Micah 6-7</t>
        </is>
      </c>
      <c r="H312" s="15" t="inlineStr">
        <is>
          <t xml:space="preserve">Primary Account</t>
        </is>
      </c>
      <c r="I312" s="15"/>
      <c r="J312" s="15" t="inlineStr">
        <is>
          <t xml:space="preserve">Required</t>
        </is>
      </c>
      <c r="K312" s="15" t="inlineStr">
        <is>
          <t xml:space="preserve">Include</t>
        </is>
      </c>
      <c r="L312" s="15" t="inlineStr">
        <is>
          <t xml:space="preserve">Debated</t>
        </is>
      </c>
      <c r="M312" s="15" t="inlineStr">
        <is>
          <t xml:space="preserve">High</t>
        </is>
      </c>
      <c r="N312" s="15" t="inlineStr">
        <is>
          <t xml:space="preserve">v0.3: 2 Kings 15-18; 2 Chronicles 27-29</t>
        </is>
      </c>
      <c r="O312" s="15"/>
      <c r="P312" s="15"/>
      <c r="Q312" s="15" t="inlineStr">
        <is>
          <t xml:space="preserve">S1; S7</t>
        </is>
      </c>
      <c r="R312" s="11" t="inlineStr">
        <is>
          <t xml:space="preserve">Not reviewed</t>
        </is>
      </c>
      <c r="S312" s="15" t="inlineStr">
        <is>
          <t xml:space="preserve">Micah's closing chapters are read under the eighth-century heading without a false chronological granular claim.</t>
        </is>
      </c>
    </row>
    <row r="313" ht="34" customHeight="1">
      <c r="A313" s="15" t="inlineStr">
        <is>
          <t xml:space="preserve">v0.4</t>
        </is>
      </c>
      <c r="B313" s="15" t="inlineStr">
        <is>
          <t xml:space="preserve">Bible_Journey_Canon_Map_v0_4_Prophets_Exile.xlsx</t>
        </is>
      </c>
      <c r="C313" s="15" t="inlineStr">
        <is>
          <t xml:space="preserve">RB-04-013</t>
        </is>
      </c>
      <c r="D313" s="15" t="inlineStr">
        <is>
          <t xml:space="preserve">CRS-04-013</t>
        </is>
      </c>
      <c r="E313" s="15">
        <v>13</v>
      </c>
      <c r="F313" s="15" t="inlineStr">
        <is>
          <t xml:space="preserve">Isaiah</t>
        </is>
      </c>
      <c r="G313" s="15" t="inlineStr">
        <is>
          <t xml:space="preserve">Isaiah 7-12</t>
        </is>
      </c>
      <c r="H313" s="15" t="inlineStr">
        <is>
          <t xml:space="preserve">Primary Account</t>
        </is>
      </c>
      <c r="I313" s="15"/>
      <c r="J313" s="15" t="inlineStr">
        <is>
          <t xml:space="preserve">Required</t>
        </is>
      </c>
      <c r="K313" s="15" t="inlineStr">
        <is>
          <t xml:space="preserve">Include</t>
        </is>
      </c>
      <c r="L313" s="15" t="inlineStr">
        <is>
          <t xml:space="preserve">High</t>
        </is>
      </c>
      <c r="M313" s="15" t="inlineStr">
        <is>
          <t xml:space="preserve">High</t>
        </is>
      </c>
      <c r="N313" s="15" t="inlineStr">
        <is>
          <t xml:space="preserve">v0.3: 2 Kings 16; 2 Chronicles 28</t>
        </is>
      </c>
      <c r="O313" s="15"/>
      <c r="P313" s="15"/>
      <c r="Q313" s="15" t="inlineStr">
        <is>
          <t xml:space="preserve">S1; S3; S11</t>
        </is>
      </c>
      <c r="R313" s="11" t="inlineStr">
        <is>
          <t xml:space="preserve">Not reviewed</t>
        </is>
      </c>
      <c r="S313" s="15" t="inlineStr">
        <is>
          <t xml:space="preserve">Isaiah 7-12 is anchored to the Syro-Ephraimite crisis, with the app linking the passages to the reign of Ahaz and related historical accounts.</t>
        </is>
      </c>
    </row>
    <row r="314" ht="34" customHeight="1">
      <c r="A314" s="15" t="inlineStr">
        <is>
          <t xml:space="preserve">v0.4</t>
        </is>
      </c>
      <c r="B314" s="15" t="inlineStr">
        <is>
          <t xml:space="preserve">Bible_Journey_Canon_Map_v0_4_Prophets_Exile.xlsx</t>
        </is>
      </c>
      <c r="C314" s="15" t="inlineStr">
        <is>
          <t xml:space="preserve">RB-04-014</t>
        </is>
      </c>
      <c r="D314" s="15" t="inlineStr">
        <is>
          <t xml:space="preserve">CRS-04-014</t>
        </is>
      </c>
      <c r="E314" s="15">
        <v>14</v>
      </c>
      <c r="F314" s="15" t="inlineStr">
        <is>
          <t xml:space="preserve">Isaiah</t>
        </is>
      </c>
      <c r="G314" s="15" t="inlineStr">
        <is>
          <t xml:space="preserve">Isaiah 13-23</t>
        </is>
      </c>
      <c r="H314" s="15" t="inlineStr">
        <is>
          <t xml:space="preserve">Primary Account</t>
        </is>
      </c>
      <c r="I314" s="15"/>
      <c r="J314" s="15" t="inlineStr">
        <is>
          <t xml:space="preserve">Required</t>
        </is>
      </c>
      <c r="K314" s="15" t="inlineStr">
        <is>
          <t xml:space="preserve">Include</t>
        </is>
      </c>
      <c r="L314" s="15" t="inlineStr">
        <is>
          <t xml:space="preserve">Debated</t>
        </is>
      </c>
      <c r="M314" s="15" t="inlineStr">
        <is>
          <t xml:space="preserve">High</t>
        </is>
      </c>
      <c r="N314" s="15" t="inlineStr">
        <is>
          <t xml:space="preserve">v0.3: 2 Kings 16-20</t>
        </is>
      </c>
      <c r="O314" s="15"/>
      <c r="P314" s="15"/>
      <c r="Q314" s="15" t="inlineStr">
        <is>
          <t xml:space="preserve">S2; S3; S7</t>
        </is>
      </c>
      <c r="R314" s="11" t="inlineStr">
        <is>
          <t xml:space="preserve">Not reviewed</t>
        </is>
      </c>
      <c r="S314" s="15" t="inlineStr">
        <is>
          <t xml:space="preserve">A prophetic collection with varied historical allusions. The stream situates it in Isaiah's Assyrian-period corpus but flags individual date assignments as unresolved.</t>
        </is>
      </c>
    </row>
    <row r="315" ht="34" customHeight="1">
      <c r="A315" s="15" t="inlineStr">
        <is>
          <t xml:space="preserve">v0.4</t>
        </is>
      </c>
      <c r="B315" s="15" t="inlineStr">
        <is>
          <t xml:space="preserve">Bible_Journey_Canon_Map_v0_4_Prophets_Exile.xlsx</t>
        </is>
      </c>
      <c r="C315" s="15" t="inlineStr">
        <is>
          <t xml:space="preserve">RB-04-015</t>
        </is>
      </c>
      <c r="D315" s="15" t="inlineStr">
        <is>
          <t xml:space="preserve">CRS-04-015</t>
        </is>
      </c>
      <c r="E315" s="15">
        <v>15</v>
      </c>
      <c r="F315" s="15" t="inlineStr">
        <is>
          <t xml:space="preserve">Isaiah</t>
        </is>
      </c>
      <c r="G315" s="15" t="inlineStr">
        <is>
          <t xml:space="preserve">Isaiah 24-27</t>
        </is>
      </c>
      <c r="H315" s="15" t="inlineStr">
        <is>
          <t xml:space="preserve">Primary Account</t>
        </is>
      </c>
      <c r="I315" s="15"/>
      <c r="J315" s="15" t="inlineStr">
        <is>
          <t xml:space="preserve">Required</t>
        </is>
      </c>
      <c r="K315" s="15" t="inlineStr">
        <is>
          <t xml:space="preserve">Include</t>
        </is>
      </c>
      <c r="L315" s="15" t="inlineStr">
        <is>
          <t xml:space="preserve">Debated</t>
        </is>
      </c>
      <c r="M315" s="15" t="inlineStr">
        <is>
          <t xml:space="preserve">Probable</t>
        </is>
      </c>
      <c r="N315" s="15" t="inlineStr">
        <is>
          <t xml:space="preserve">v0.3: 2 Kings 16-20</t>
        </is>
      </c>
      <c r="O315" s="15"/>
      <c r="P315" s="15"/>
      <c r="Q315" s="15" t="inlineStr">
        <is>
          <t xml:space="preserve">S2; S7</t>
        </is>
      </c>
      <c r="R315" s="11" t="inlineStr">
        <is>
          <t xml:space="preserve">Not reviewed</t>
        </is>
      </c>
      <c r="S315" s="15" t="inlineStr">
        <is>
          <t xml:space="preserve">These chapters are presented as a literary-prophetic collection; the stream gives context without asserting a settled event-by-event order.</t>
        </is>
      </c>
    </row>
    <row r="316" ht="34" customHeight="1">
      <c r="A316" s="15" t="inlineStr">
        <is>
          <t xml:space="preserve">v0.4</t>
        </is>
      </c>
      <c r="B316" s="15" t="inlineStr">
        <is>
          <t xml:space="preserve">Bible_Journey_Canon_Map_v0_4_Prophets_Exile.xlsx</t>
        </is>
      </c>
      <c r="C316" s="15" t="inlineStr">
        <is>
          <t xml:space="preserve">RB-04-016</t>
        </is>
      </c>
      <c r="D316" s="15" t="inlineStr">
        <is>
          <t xml:space="preserve">CRS-04-016</t>
        </is>
      </c>
      <c r="E316" s="15">
        <v>16</v>
      </c>
      <c r="F316" s="15" t="inlineStr">
        <is>
          <t xml:space="preserve">Isaiah</t>
        </is>
      </c>
      <c r="G316" s="15" t="inlineStr">
        <is>
          <t xml:space="preserve">Isaiah 28-35</t>
        </is>
      </c>
      <c r="H316" s="15" t="inlineStr">
        <is>
          <t xml:space="preserve">Primary Account</t>
        </is>
      </c>
      <c r="I316" s="15"/>
      <c r="J316" s="15" t="inlineStr">
        <is>
          <t xml:space="preserve">Required</t>
        </is>
      </c>
      <c r="K316" s="15" t="inlineStr">
        <is>
          <t xml:space="preserve">Include</t>
        </is>
      </c>
      <c r="L316" s="15" t="inlineStr">
        <is>
          <t xml:space="preserve">Probable</t>
        </is>
      </c>
      <c r="M316" s="15" t="inlineStr">
        <is>
          <t xml:space="preserve">Probable</t>
        </is>
      </c>
      <c r="N316" s="15" t="inlineStr">
        <is>
          <t xml:space="preserve">v0.3: 2 Kings 18-20; 2 Chronicles 29-32</t>
        </is>
      </c>
      <c r="O316" s="15"/>
      <c r="P316" s="15"/>
      <c r="Q316" s="15" t="inlineStr">
        <is>
          <t xml:space="preserve">S2; S3; S7</t>
        </is>
      </c>
      <c r="R316" s="11" t="inlineStr">
        <is>
          <t xml:space="preserve">Not reviewed</t>
        </is>
      </c>
      <c r="S316" s="15" t="inlineStr">
        <is>
          <t xml:space="preserve">The stream places these chapters in the Hezekiah-Assyria horizon while retaining a note that not every unit can be independently dated.</t>
        </is>
      </c>
    </row>
    <row r="317" ht="34" customHeight="1">
      <c r="A317" s="15" t="inlineStr">
        <is>
          <t xml:space="preserve">v0.4</t>
        </is>
      </c>
      <c r="B317" s="15" t="inlineStr">
        <is>
          <t xml:space="preserve">Bible_Journey_Canon_Map_v0_4_Prophets_Exile.xlsx</t>
        </is>
      </c>
      <c r="C317" s="15" t="inlineStr">
        <is>
          <t xml:space="preserve">RB-04-017</t>
        </is>
      </c>
      <c r="D317" s="15" t="inlineStr">
        <is>
          <t xml:space="preserve">CRS-04-017</t>
        </is>
      </c>
      <c r="E317" s="15">
        <v>17</v>
      </c>
      <c r="F317" s="15" t="inlineStr">
        <is>
          <t xml:space="preserve">Isaiah</t>
        </is>
      </c>
      <c r="G317" s="15" t="inlineStr">
        <is>
          <t xml:space="preserve">Isaiah 36-37</t>
        </is>
      </c>
      <c r="H317" s="15" t="inlineStr">
        <is>
          <t xml:space="preserve">Parallel Account</t>
        </is>
      </c>
      <c r="I317" s="15"/>
      <c r="J317" s="15" t="inlineStr">
        <is>
          <t xml:space="preserve">Required</t>
        </is>
      </c>
      <c r="K317" s="15" t="inlineStr">
        <is>
          <t xml:space="preserve">Include</t>
        </is>
      </c>
      <c r="L317" s="15" t="inlineStr">
        <is>
          <t xml:space="preserve">High</t>
        </is>
      </c>
      <c r="M317" s="15" t="inlineStr">
        <is>
          <t xml:space="preserve">High</t>
        </is>
      </c>
      <c r="N317" s="15" t="inlineStr">
        <is>
          <t xml:space="preserve">v0.3: CRS-03-? Hezekiah crisis / 2 Kings 18-19; 2 Chronicles 32</t>
        </is>
      </c>
      <c r="O317" s="15" t="inlineStr">
        <is>
          <t xml:space="preserve">Hezekiah narratives</t>
        </is>
      </c>
      <c r="P317" s="15"/>
      <c r="Q317" s="15" t="inlineStr">
        <is>
          <t xml:space="preserve">S1; S2; S3</t>
        </is>
      </c>
      <c r="R317" s="11" t="inlineStr">
        <is>
          <t xml:space="preserve">Not reviewed</t>
        </is>
      </c>
      <c r="S317" s="15" t="inlineStr">
        <is>
          <t xml:space="preserve">Isaiah 36-37 parallels the crisis told in Kings and Chronicles. It is read immediately after the main historical account in Complete Chronological Reading.</t>
        </is>
      </c>
    </row>
    <row r="318" ht="34" customHeight="1">
      <c r="A318" s="15" t="inlineStr">
        <is>
          <t xml:space="preserve">v0.4</t>
        </is>
      </c>
      <c r="B318" s="15" t="inlineStr">
        <is>
          <t xml:space="preserve">Bible_Journey_Canon_Map_v0_4_Prophets_Exile.xlsx</t>
        </is>
      </c>
      <c r="C318" s="15" t="inlineStr">
        <is>
          <t xml:space="preserve">RB-04-018</t>
        </is>
      </c>
      <c r="D318" s="15" t="inlineStr">
        <is>
          <t xml:space="preserve">CRS-04-018</t>
        </is>
      </c>
      <c r="E318" s="15">
        <v>18</v>
      </c>
      <c r="F318" s="15" t="inlineStr">
        <is>
          <t xml:space="preserve">Isaiah</t>
        </is>
      </c>
      <c r="G318" s="15" t="inlineStr">
        <is>
          <t xml:space="preserve">Isaiah 38-39</t>
        </is>
      </c>
      <c r="H318" s="15" t="inlineStr">
        <is>
          <t xml:space="preserve">Parallel Account</t>
        </is>
      </c>
      <c r="I318" s="15"/>
      <c r="J318" s="15" t="inlineStr">
        <is>
          <t xml:space="preserve">Required</t>
        </is>
      </c>
      <c r="K318" s="15" t="inlineStr">
        <is>
          <t xml:space="preserve">Include</t>
        </is>
      </c>
      <c r="L318" s="15" t="inlineStr">
        <is>
          <t xml:space="preserve">Debated</t>
        </is>
      </c>
      <c r="M318" s="15" t="inlineStr">
        <is>
          <t xml:space="preserve">High</t>
        </is>
      </c>
      <c r="N318" s="15" t="inlineStr">
        <is>
          <t xml:space="preserve">v0.3: 2 Kings 20; 2 Chronicles 32</t>
        </is>
      </c>
      <c r="O318" s="15" t="inlineStr">
        <is>
          <t xml:space="preserve">Hezekiah narratives</t>
        </is>
      </c>
      <c r="P318" s="15"/>
      <c r="Q318" s="15" t="inlineStr">
        <is>
          <t xml:space="preserve">S1; S2; S3; S7</t>
        </is>
      </c>
      <c r="R318" s="11" t="inlineStr">
        <is>
          <t xml:space="preserve">Not reviewed</t>
        </is>
      </c>
      <c r="S318" s="15" t="inlineStr">
        <is>
          <t xml:space="preserve">Isaiah 38-39 is linked to the Hezekiah narratives. Sequence relative to the Sennacherib crisis is disclosed as debated rather than presented as closed.</t>
        </is>
      </c>
    </row>
    <row r="319" ht="34" customHeight="1">
      <c r="A319" s="15" t="inlineStr">
        <is>
          <t xml:space="preserve">v0.4</t>
        </is>
      </c>
      <c r="B319" s="15" t="inlineStr">
        <is>
          <t xml:space="preserve">Bible_Journey_Canon_Map_v0_4_Prophets_Exile.xlsx</t>
        </is>
      </c>
      <c r="C319" s="15" t="inlineStr">
        <is>
          <t xml:space="preserve">RB-04-019</t>
        </is>
      </c>
      <c r="D319" s="15" t="inlineStr">
        <is>
          <t xml:space="preserve">CRS-04-019</t>
        </is>
      </c>
      <c r="E319" s="15">
        <v>19</v>
      </c>
      <c r="F319" s="15" t="inlineStr">
        <is>
          <t xml:space="preserve">Nahum</t>
        </is>
      </c>
      <c r="G319" s="15" t="inlineStr">
        <is>
          <t xml:space="preserve">Nahum 1-3</t>
        </is>
      </c>
      <c r="H319" s="15" t="inlineStr">
        <is>
          <t xml:space="preserve">Primary Account</t>
        </is>
      </c>
      <c r="I319" s="15"/>
      <c r="J319" s="15" t="inlineStr">
        <is>
          <t xml:space="preserve">Required</t>
        </is>
      </c>
      <c r="K319" s="15" t="inlineStr">
        <is>
          <t xml:space="preserve">Include</t>
        </is>
      </c>
      <c r="L319" s="15" t="inlineStr">
        <is>
          <t xml:space="preserve">Debated</t>
        </is>
      </c>
      <c r="M319" s="15" t="inlineStr">
        <is>
          <t xml:space="preserve">Probable</t>
        </is>
      </c>
      <c r="N319" s="15" t="inlineStr">
        <is>
          <t xml:space="preserve">v0.3: 2 Kings 21-23; 2 Chronicles 33-35</t>
        </is>
      </c>
      <c r="O319" s="15"/>
      <c r="P319" s="15"/>
      <c r="Q319" s="15" t="inlineStr">
        <is>
          <t xml:space="preserve">S7</t>
        </is>
      </c>
      <c r="R319" s="11" t="inlineStr">
        <is>
          <t xml:space="preserve">Not reviewed</t>
        </is>
      </c>
      <c r="S319" s="15" t="inlineStr">
        <is>
          <t xml:space="preserve">Nahum is placed in the final decades of Assyrian power with transparent date uncertainty. It functions as a prophetic overlay, not a date-certain diary entry.</t>
        </is>
      </c>
    </row>
    <row r="320" ht="34" customHeight="1">
      <c r="A320" s="15" t="inlineStr">
        <is>
          <t xml:space="preserve">v0.4</t>
        </is>
      </c>
      <c r="B320" s="15" t="inlineStr">
        <is>
          <t xml:space="preserve">Bible_Journey_Canon_Map_v0_4_Prophets_Exile.xlsx</t>
        </is>
      </c>
      <c r="C320" s="15" t="inlineStr">
        <is>
          <t xml:space="preserve">RB-04-020</t>
        </is>
      </c>
      <c r="D320" s="15" t="inlineStr">
        <is>
          <t xml:space="preserve">CRS-04-020</t>
        </is>
      </c>
      <c r="E320" s="15">
        <v>20</v>
      </c>
      <c r="F320" s="15" t="inlineStr">
        <is>
          <t xml:space="preserve">Zephaniah</t>
        </is>
      </c>
      <c r="G320" s="15" t="inlineStr">
        <is>
          <t xml:space="preserve">Zephaniah 1-3</t>
        </is>
      </c>
      <c r="H320" s="15" t="inlineStr">
        <is>
          <t xml:space="preserve">Primary Account</t>
        </is>
      </c>
      <c r="I320" s="15"/>
      <c r="J320" s="15" t="inlineStr">
        <is>
          <t xml:space="preserve">Required</t>
        </is>
      </c>
      <c r="K320" s="15" t="inlineStr">
        <is>
          <t xml:space="preserve">Include</t>
        </is>
      </c>
      <c r="L320" s="15" t="inlineStr">
        <is>
          <t xml:space="preserve">High</t>
        </is>
      </c>
      <c r="M320" s="15" t="inlineStr">
        <is>
          <t xml:space="preserve">High</t>
        </is>
      </c>
      <c r="N320" s="15" t="inlineStr">
        <is>
          <t xml:space="preserve">v0.3: 2 Kings 22-23; 2 Chronicles 34-35</t>
        </is>
      </c>
      <c r="O320" s="15"/>
      <c r="P320" s="15"/>
      <c r="Q320" s="15" t="inlineStr">
        <is>
          <t xml:space="preserve">S1; S7</t>
        </is>
      </c>
      <c r="R320" s="11" t="inlineStr">
        <is>
          <t xml:space="preserve">Not reviewed</t>
        </is>
      </c>
      <c r="S320" s="15" t="inlineStr">
        <is>
          <t xml:space="preserve">Zephaniah's heading anchors the book in Josiah's reign. The stream connects it to Judah before its later Babylonian crisis.</t>
        </is>
      </c>
    </row>
    <row r="321" ht="34" customHeight="1">
      <c r="A321" s="15" t="inlineStr">
        <is>
          <t xml:space="preserve">v0.4</t>
        </is>
      </c>
      <c r="B321" s="15" t="inlineStr">
        <is>
          <t xml:space="preserve">Bible_Journey_Canon_Map_v0_4_Prophets_Exile.xlsx</t>
        </is>
      </c>
      <c r="C321" s="15" t="inlineStr">
        <is>
          <t xml:space="preserve">RB-04-021</t>
        </is>
      </c>
      <c r="D321" s="15" t="inlineStr">
        <is>
          <t xml:space="preserve">CRS-04-021</t>
        </is>
      </c>
      <c r="E321" s="15">
        <v>21</v>
      </c>
      <c r="F321" s="15" t="inlineStr">
        <is>
          <t xml:space="preserve">Jeremiah</t>
        </is>
      </c>
      <c r="G321" s="15" t="inlineStr">
        <is>
          <t xml:space="preserve">Jeremiah 1</t>
        </is>
      </c>
      <c r="H321" s="15" t="inlineStr">
        <is>
          <t xml:space="preserve">Primary Account</t>
        </is>
      </c>
      <c r="I321" s="15"/>
      <c r="J321" s="15" t="inlineStr">
        <is>
          <t xml:space="preserve">Required</t>
        </is>
      </c>
      <c r="K321" s="15" t="inlineStr">
        <is>
          <t xml:space="preserve">Include</t>
        </is>
      </c>
      <c r="L321" s="15" t="inlineStr">
        <is>
          <t xml:space="preserve">High</t>
        </is>
      </c>
      <c r="M321" s="15" t="inlineStr">
        <is>
          <t xml:space="preserve">High</t>
        </is>
      </c>
      <c r="N321" s="15" t="inlineStr">
        <is>
          <t xml:space="preserve">v0.3: 2 Kings 22; 2 Chronicles 34</t>
        </is>
      </c>
      <c r="O321" s="15"/>
      <c r="P321" s="15"/>
      <c r="Q321" s="15" t="inlineStr">
        <is>
          <t xml:space="preserve">S1; S5</t>
        </is>
      </c>
      <c r="R321" s="11" t="inlineStr">
        <is>
          <t xml:space="preserve">Not reviewed</t>
        </is>
      </c>
      <c r="S321" s="15" t="inlineStr">
        <is>
          <t xml:space="preserve">Jeremiah 1 gives an explicit call-date anchor and begins the stream's Jeremiah sequence.</t>
        </is>
      </c>
    </row>
    <row r="322" ht="34" customHeight="1">
      <c r="A322" s="15" t="inlineStr">
        <is>
          <t xml:space="preserve">v0.4</t>
        </is>
      </c>
      <c r="B322" s="15" t="inlineStr">
        <is>
          <t xml:space="preserve">Bible_Journey_Canon_Map_v0_4_Prophets_Exile.xlsx</t>
        </is>
      </c>
      <c r="C322" s="15" t="inlineStr">
        <is>
          <t xml:space="preserve">RB-04-022</t>
        </is>
      </c>
      <c r="D322" s="15" t="inlineStr">
        <is>
          <t xml:space="preserve">CRS-04-022</t>
        </is>
      </c>
      <c r="E322" s="15">
        <v>22</v>
      </c>
      <c r="F322" s="15" t="inlineStr">
        <is>
          <t xml:space="preserve">Jeremiah</t>
        </is>
      </c>
      <c r="G322" s="15" t="inlineStr">
        <is>
          <t xml:space="preserve">Jeremiah 2-6</t>
        </is>
      </c>
      <c r="H322" s="15" t="inlineStr">
        <is>
          <t xml:space="preserve">Primary Account</t>
        </is>
      </c>
      <c r="I322" s="15"/>
      <c r="J322" s="15" t="inlineStr">
        <is>
          <t xml:space="preserve">Required</t>
        </is>
      </c>
      <c r="K322" s="15" t="inlineStr">
        <is>
          <t xml:space="preserve">Include</t>
        </is>
      </c>
      <c r="L322" s="15" t="inlineStr">
        <is>
          <t xml:space="preserve">Debated</t>
        </is>
      </c>
      <c r="M322" s="15" t="inlineStr">
        <is>
          <t xml:space="preserve">Probable</t>
        </is>
      </c>
      <c r="N322" s="15" t="inlineStr">
        <is>
          <t xml:space="preserve">v0.3: 2 Kings 22-23; 2 Chronicles 34-35</t>
        </is>
      </c>
      <c r="O322" s="15"/>
      <c r="P322" s="15"/>
      <c r="Q322" s="15" t="inlineStr">
        <is>
          <t xml:space="preserve">S1; S5; S7</t>
        </is>
      </c>
      <c r="R322" s="11" t="inlineStr">
        <is>
          <t xml:space="preserve">Not reviewed</t>
        </is>
      </c>
      <c r="S322" s="15" t="inlineStr">
        <is>
          <t xml:space="preserve">A broad early-ministry placement for Jeremiah 2-6. The app avoids overstating whether each speech predates or follows every reform episode.</t>
        </is>
      </c>
    </row>
    <row r="323" ht="34" customHeight="1">
      <c r="A323" s="15" t="inlineStr">
        <is>
          <t xml:space="preserve">v0.4</t>
        </is>
      </c>
      <c r="B323" s="15" t="inlineStr">
        <is>
          <t xml:space="preserve">Bible_Journey_Canon_Map_v0_4_Prophets_Exile.xlsx</t>
        </is>
      </c>
      <c r="C323" s="15" t="inlineStr">
        <is>
          <t xml:space="preserve">RB-04-023</t>
        </is>
      </c>
      <c r="D323" s="15" t="inlineStr">
        <is>
          <t xml:space="preserve">CRS-04-023</t>
        </is>
      </c>
      <c r="E323" s="15">
        <v>23</v>
      </c>
      <c r="F323" s="15" t="inlineStr">
        <is>
          <t xml:space="preserve">Jeremiah</t>
        </is>
      </c>
      <c r="G323" s="15" t="inlineStr">
        <is>
          <t xml:space="preserve">Jeremiah 26</t>
        </is>
      </c>
      <c r="H323" s="15" t="inlineStr">
        <is>
          <t xml:space="preserve">Primary Account</t>
        </is>
      </c>
      <c r="I323" s="15"/>
      <c r="J323" s="15" t="inlineStr">
        <is>
          <t xml:space="preserve">Required</t>
        </is>
      </c>
      <c r="K323" s="15" t="inlineStr">
        <is>
          <t xml:space="preserve">Include</t>
        </is>
      </c>
      <c r="L323" s="15" t="inlineStr">
        <is>
          <t xml:space="preserve">High</t>
        </is>
      </c>
      <c r="M323" s="15" t="inlineStr">
        <is>
          <t xml:space="preserve">High</t>
        </is>
      </c>
      <c r="N323" s="15" t="inlineStr">
        <is>
          <t xml:space="preserve">v0.3: 2 Kings 23:36-24:7; 2 Chronicles 36:5-8</t>
        </is>
      </c>
      <c r="O323" s="15"/>
      <c r="P323" s="15"/>
      <c r="Q323" s="15" t="inlineStr">
        <is>
          <t xml:space="preserve">S1; S5; S6</t>
        </is>
      </c>
      <c r="R323" s="11" t="inlineStr">
        <is>
          <t xml:space="preserve">Not reviewed</t>
        </is>
      </c>
      <c r="S323" s="15" t="inlineStr">
        <is>
          <t xml:space="preserve">Jeremiah 26 is explicitly dated to the beginning of Jehoiakim's reign and anchors this early Jehoiakim segment.</t>
        </is>
      </c>
    </row>
    <row r="324" ht="34" customHeight="1">
      <c r="A324" s="15" t="inlineStr">
        <is>
          <t xml:space="preserve">v0.4</t>
        </is>
      </c>
      <c r="B324" s="15" t="inlineStr">
        <is>
          <t xml:space="preserve">Bible_Journey_Canon_Map_v0_4_Prophets_Exile.xlsx</t>
        </is>
      </c>
      <c r="C324" s="15" t="inlineStr">
        <is>
          <t xml:space="preserve">RB-04-024</t>
        </is>
      </c>
      <c r="D324" s="15" t="inlineStr">
        <is>
          <t xml:space="preserve">CRS-04-024</t>
        </is>
      </c>
      <c r="E324" s="15">
        <v>24</v>
      </c>
      <c r="F324" s="15" t="inlineStr">
        <is>
          <t xml:space="preserve">Jeremiah</t>
        </is>
      </c>
      <c r="G324" s="15" t="inlineStr">
        <is>
          <t xml:space="preserve">Jeremiah 7-10</t>
        </is>
      </c>
      <c r="H324" s="15" t="inlineStr">
        <is>
          <t xml:space="preserve">Primary Account</t>
        </is>
      </c>
      <c r="I324" s="15"/>
      <c r="J324" s="15" t="inlineStr">
        <is>
          <t xml:space="preserve">Required</t>
        </is>
      </c>
      <c r="K324" s="15" t="inlineStr">
        <is>
          <t xml:space="preserve">Include</t>
        </is>
      </c>
      <c r="L324" s="15" t="inlineStr">
        <is>
          <t xml:space="preserve">Debated</t>
        </is>
      </c>
      <c r="M324" s="15" t="inlineStr">
        <is>
          <t xml:space="preserve">Probable</t>
        </is>
      </c>
      <c r="N324" s="15" t="inlineStr">
        <is>
          <t xml:space="preserve">v0.3: 2 Kings 23:36-24:7</t>
        </is>
      </c>
      <c r="O324" s="15"/>
      <c r="P324" s="15"/>
      <c r="Q324" s="15" t="inlineStr">
        <is>
          <t xml:space="preserve">S5; S6; S7</t>
        </is>
      </c>
      <c r="R324" s="11" t="inlineStr">
        <is>
          <t xml:space="preserve">Not reviewed</t>
        </is>
      </c>
      <c r="S324" s="15" t="inlineStr">
        <is>
          <t xml:space="preserve">Jeremiah 7-10 is placed in the Jehoiakim horizon as a transparent editorial choice; exact dating is not stated as certain.</t>
        </is>
      </c>
    </row>
    <row r="325" ht="34" customHeight="1">
      <c r="A325" s="15" t="inlineStr">
        <is>
          <t xml:space="preserve">v0.4</t>
        </is>
      </c>
      <c r="B325" s="15" t="inlineStr">
        <is>
          <t xml:space="preserve">Bible_Journey_Canon_Map_v0_4_Prophets_Exile.xlsx</t>
        </is>
      </c>
      <c r="C325" s="15" t="inlineStr">
        <is>
          <t xml:space="preserve">RB-04-025</t>
        </is>
      </c>
      <c r="D325" s="15" t="inlineStr">
        <is>
          <t xml:space="preserve">CRS-04-025</t>
        </is>
      </c>
      <c r="E325" s="15">
        <v>25</v>
      </c>
      <c r="F325" s="15" t="inlineStr">
        <is>
          <t xml:space="preserve">Jeremiah</t>
        </is>
      </c>
      <c r="G325" s="15" t="inlineStr">
        <is>
          <t xml:space="preserve">Jeremiah 11-20</t>
        </is>
      </c>
      <c r="H325" s="15" t="inlineStr">
        <is>
          <t xml:space="preserve">Primary Account</t>
        </is>
      </c>
      <c r="I325" s="15"/>
      <c r="J325" s="15" t="inlineStr">
        <is>
          <t xml:space="preserve">Required</t>
        </is>
      </c>
      <c r="K325" s="15" t="inlineStr">
        <is>
          <t xml:space="preserve">Include</t>
        </is>
      </c>
      <c r="L325" s="15" t="inlineStr">
        <is>
          <t xml:space="preserve">Debated</t>
        </is>
      </c>
      <c r="M325" s="15" t="inlineStr">
        <is>
          <t xml:space="preserve">Probable</t>
        </is>
      </c>
      <c r="N325" s="15" t="inlineStr">
        <is>
          <t xml:space="preserve">v0.3: 2 Kings 23:36-24:7</t>
        </is>
      </c>
      <c r="O325" s="15"/>
      <c r="P325" s="15"/>
      <c r="Q325" s="15" t="inlineStr">
        <is>
          <t xml:space="preserve">S5; S6; S7</t>
        </is>
      </c>
      <c r="R325" s="11" t="inlineStr">
        <is>
          <t xml:space="preserve">Not reviewed</t>
        </is>
      </c>
      <c r="S325" s="15" t="inlineStr">
        <is>
          <t xml:space="preserve">This continuous block remains in the broad Jehoiakim period, with chapter-level order kept canonical because detailed dating is uneven.</t>
        </is>
      </c>
    </row>
    <row r="326" ht="34" customHeight="1">
      <c r="A326" s="15" t="inlineStr">
        <is>
          <t xml:space="preserve">v0.4</t>
        </is>
      </c>
      <c r="B326" s="15" t="inlineStr">
        <is>
          <t xml:space="preserve">Bible_Journey_Canon_Map_v0_4_Prophets_Exile.xlsx</t>
        </is>
      </c>
      <c r="C326" s="15" t="inlineStr">
        <is>
          <t xml:space="preserve">RB-04-026</t>
        </is>
      </c>
      <c r="D326" s="15" t="inlineStr">
        <is>
          <t xml:space="preserve">CRS-04-026</t>
        </is>
      </c>
      <c r="E326" s="15">
        <v>26</v>
      </c>
      <c r="F326" s="15" t="inlineStr">
        <is>
          <t xml:space="preserve">Jeremiah</t>
        </is>
      </c>
      <c r="G326" s="15" t="inlineStr">
        <is>
          <t xml:space="preserve">Jeremiah 22</t>
        </is>
      </c>
      <c r="H326" s="15" t="inlineStr">
        <is>
          <t xml:space="preserve">Primary Account</t>
        </is>
      </c>
      <c r="I326" s="15"/>
      <c r="J326" s="15" t="inlineStr">
        <is>
          <t xml:space="preserve">Required</t>
        </is>
      </c>
      <c r="K326" s="15" t="inlineStr">
        <is>
          <t xml:space="preserve">Include</t>
        </is>
      </c>
      <c r="L326" s="15" t="inlineStr">
        <is>
          <t xml:space="preserve">Debated</t>
        </is>
      </c>
      <c r="M326" s="15" t="inlineStr">
        <is>
          <t xml:space="preserve">Probable</t>
        </is>
      </c>
      <c r="N326" s="15" t="inlineStr">
        <is>
          <t xml:space="preserve">v0.3: 2 Kings 23-24; 2 Chronicles 36</t>
        </is>
      </c>
      <c r="O326" s="15"/>
      <c r="P326" s="15"/>
      <c r="Q326" s="15" t="inlineStr">
        <is>
          <t xml:space="preserve">S1; S5; S6; S7</t>
        </is>
      </c>
      <c r="R326" s="11" t="inlineStr">
        <is>
          <t xml:space="preserve">Not reviewed</t>
        </is>
      </c>
      <c r="S326" s="15" t="inlineStr">
        <is>
          <t xml:space="preserve">Jeremiah 22 gathers royal oracles associated with more than one ruler. It is intentionally treated as a contextual collection.</t>
        </is>
      </c>
    </row>
    <row r="327" ht="34" customHeight="1">
      <c r="A327" s="15" t="inlineStr">
        <is>
          <t xml:space="preserve">v0.4</t>
        </is>
      </c>
      <c r="B327" s="15" t="inlineStr">
        <is>
          <t xml:space="preserve">Bible_Journey_Canon_Map_v0_4_Prophets_Exile.xlsx</t>
        </is>
      </c>
      <c r="C327" s="15" t="inlineStr">
        <is>
          <t xml:space="preserve">RB-04-027</t>
        </is>
      </c>
      <c r="D327" s="15" t="inlineStr">
        <is>
          <t xml:space="preserve">CRS-04-027</t>
        </is>
      </c>
      <c r="E327" s="15">
        <v>27</v>
      </c>
      <c r="F327" s="15" t="inlineStr">
        <is>
          <t xml:space="preserve">Jeremiah</t>
        </is>
      </c>
      <c r="G327" s="15" t="inlineStr">
        <is>
          <t xml:space="preserve">Jeremiah 35</t>
        </is>
      </c>
      <c r="H327" s="15" t="inlineStr">
        <is>
          <t xml:space="preserve">Primary Account</t>
        </is>
      </c>
      <c r="I327" s="15"/>
      <c r="J327" s="15" t="inlineStr">
        <is>
          <t xml:space="preserve">Required</t>
        </is>
      </c>
      <c r="K327" s="15" t="inlineStr">
        <is>
          <t xml:space="preserve">Include</t>
        </is>
      </c>
      <c r="L327" s="15" t="inlineStr">
        <is>
          <t xml:space="preserve">High</t>
        </is>
      </c>
      <c r="M327" s="15" t="inlineStr">
        <is>
          <t xml:space="preserve">High</t>
        </is>
      </c>
      <c r="N327" s="15" t="inlineStr">
        <is>
          <t xml:space="preserve">v0.3: 2 Kings 23:36-24:7</t>
        </is>
      </c>
      <c r="O327" s="15"/>
      <c r="P327" s="15"/>
      <c r="Q327" s="15" t="inlineStr">
        <is>
          <t xml:space="preserve">S1; S5</t>
        </is>
      </c>
      <c r="R327" s="11" t="inlineStr">
        <is>
          <t xml:space="preserve">Not reviewed</t>
        </is>
      </c>
      <c r="S327" s="15" t="inlineStr">
        <is>
          <t xml:space="preserve">Jeremiah 35 is located in Jehoiakim's reign by its own narrative superscription.</t>
        </is>
      </c>
    </row>
    <row r="328" ht="34" customHeight="1">
      <c r="A328" s="15" t="inlineStr">
        <is>
          <t xml:space="preserve">v0.4</t>
        </is>
      </c>
      <c r="B328" s="15" t="inlineStr">
        <is>
          <t xml:space="preserve">Bible_Journey_Canon_Map_v0_4_Prophets_Exile.xlsx</t>
        </is>
      </c>
      <c r="C328" s="15" t="inlineStr">
        <is>
          <t xml:space="preserve">RB-04-028</t>
        </is>
      </c>
      <c r="D328" s="15" t="inlineStr">
        <is>
          <t xml:space="preserve">CRS-04-028</t>
        </is>
      </c>
      <c r="E328" s="15">
        <v>28</v>
      </c>
      <c r="F328" s="15" t="inlineStr">
        <is>
          <t xml:space="preserve">Jeremiah</t>
        </is>
      </c>
      <c r="G328" s="15" t="inlineStr">
        <is>
          <t xml:space="preserve">Jeremiah 25</t>
        </is>
      </c>
      <c r="H328" s="15" t="inlineStr">
        <is>
          <t xml:space="preserve">Primary Account</t>
        </is>
      </c>
      <c r="I328" s="15"/>
      <c r="J328" s="15" t="inlineStr">
        <is>
          <t xml:space="preserve">Required</t>
        </is>
      </c>
      <c r="K328" s="15" t="inlineStr">
        <is>
          <t xml:space="preserve">Include</t>
        </is>
      </c>
      <c r="L328" s="15" t="inlineStr">
        <is>
          <t xml:space="preserve">High</t>
        </is>
      </c>
      <c r="M328" s="15" t="inlineStr">
        <is>
          <t xml:space="preserve">High</t>
        </is>
      </c>
      <c r="N328" s="15" t="inlineStr">
        <is>
          <t xml:space="preserve">v0.3: 2 Kings 24:1-7; 2 Chronicles 36:5-8</t>
        </is>
      </c>
      <c r="O328" s="15" t="inlineStr">
        <is>
          <t xml:space="preserve">Jeremiah 605</t>
        </is>
      </c>
      <c r="P328" s="15"/>
      <c r="Q328" s="15" t="inlineStr">
        <is>
          <t xml:space="preserve">S1; S5; S6</t>
        </is>
      </c>
      <c r="R328" s="11" t="inlineStr">
        <is>
          <t xml:space="preserve">Not reviewed</t>
        </is>
      </c>
      <c r="S328" s="15" t="inlineStr">
        <is>
          <t xml:space="preserve">These dated passages are grouped around the fourth year of Jehoiakim, preserving each chapter as a distinct biblical block.</t>
        </is>
      </c>
    </row>
    <row r="329" ht="34" customHeight="1">
      <c r="A329" s="15" t="inlineStr">
        <is>
          <t xml:space="preserve">v0.4</t>
        </is>
      </c>
      <c r="B329" s="15" t="inlineStr">
        <is>
          <t xml:space="preserve">Bible_Journey_Canon_Map_v0_4_Prophets_Exile.xlsx</t>
        </is>
      </c>
      <c r="C329" s="15" t="inlineStr">
        <is>
          <t xml:space="preserve">RB-04-029</t>
        </is>
      </c>
      <c r="D329" s="15" t="inlineStr">
        <is>
          <t xml:space="preserve">CRS-04-028</t>
        </is>
      </c>
      <c r="E329" s="15">
        <v>28</v>
      </c>
      <c r="F329" s="15" t="inlineStr">
        <is>
          <t xml:space="preserve">Jeremiah</t>
        </is>
      </c>
      <c r="G329" s="15" t="inlineStr">
        <is>
          <t xml:space="preserve">Jeremiah 36</t>
        </is>
      </c>
      <c r="H329" s="15" t="inlineStr">
        <is>
          <t xml:space="preserve">Complementary Account</t>
        </is>
      </c>
      <c r="I329" s="15"/>
      <c r="J329" s="15" t="inlineStr">
        <is>
          <t xml:space="preserve">Required</t>
        </is>
      </c>
      <c r="K329" s="15" t="inlineStr">
        <is>
          <t xml:space="preserve">Include</t>
        </is>
      </c>
      <c r="L329" s="15" t="inlineStr">
        <is>
          <t xml:space="preserve">High</t>
        </is>
      </c>
      <c r="M329" s="15" t="inlineStr">
        <is>
          <t xml:space="preserve">High</t>
        </is>
      </c>
      <c r="N329" s="15" t="inlineStr">
        <is>
          <t xml:space="preserve">v0.3: 2 Kings 24:1-7; 2 Chronicles 36:5-8</t>
        </is>
      </c>
      <c r="O329" s="15" t="inlineStr">
        <is>
          <t xml:space="preserve">Jeremiah 605</t>
        </is>
      </c>
      <c r="P329" s="15"/>
      <c r="Q329" s="15" t="inlineStr">
        <is>
          <t xml:space="preserve">S1; S5; S6</t>
        </is>
      </c>
      <c r="R329" s="11" t="inlineStr">
        <is>
          <t xml:space="preserve">Not reviewed</t>
        </is>
      </c>
      <c r="S329" s="15" t="inlineStr">
        <is>
          <t xml:space="preserve">These dated passages are grouped around the fourth year of Jehoiakim, preserving each chapter as a distinct biblical block.</t>
        </is>
      </c>
    </row>
    <row r="330" ht="34" customHeight="1">
      <c r="A330" s="15" t="inlineStr">
        <is>
          <t xml:space="preserve">v0.4</t>
        </is>
      </c>
      <c r="B330" s="15" t="inlineStr">
        <is>
          <t xml:space="preserve">Bible_Journey_Canon_Map_v0_4_Prophets_Exile.xlsx</t>
        </is>
      </c>
      <c r="C330" s="15" t="inlineStr">
        <is>
          <t xml:space="preserve">RB-04-030</t>
        </is>
      </c>
      <c r="D330" s="15" t="inlineStr">
        <is>
          <t xml:space="preserve">CRS-04-028</t>
        </is>
      </c>
      <c r="E330" s="15">
        <v>28</v>
      </c>
      <c r="F330" s="15" t="inlineStr">
        <is>
          <t xml:space="preserve">Jeremiah</t>
        </is>
      </c>
      <c r="G330" s="15" t="inlineStr">
        <is>
          <t xml:space="preserve">Jeremiah 45</t>
        </is>
      </c>
      <c r="H330" s="15" t="inlineStr">
        <is>
          <t xml:space="preserve">Complementary Account</t>
        </is>
      </c>
      <c r="I330" s="15"/>
      <c r="J330" s="15" t="inlineStr">
        <is>
          <t xml:space="preserve">Required</t>
        </is>
      </c>
      <c r="K330" s="15" t="inlineStr">
        <is>
          <t xml:space="preserve">Include</t>
        </is>
      </c>
      <c r="L330" s="15" t="inlineStr">
        <is>
          <t xml:space="preserve">High</t>
        </is>
      </c>
      <c r="M330" s="15" t="inlineStr">
        <is>
          <t xml:space="preserve">High</t>
        </is>
      </c>
      <c r="N330" s="15" t="inlineStr">
        <is>
          <t xml:space="preserve">v0.3: 2 Kings 24:1-7; 2 Chronicles 36:5-8</t>
        </is>
      </c>
      <c r="O330" s="15" t="inlineStr">
        <is>
          <t xml:space="preserve">Jeremiah 605</t>
        </is>
      </c>
      <c r="P330" s="15"/>
      <c r="Q330" s="15" t="inlineStr">
        <is>
          <t xml:space="preserve">S1; S5; S6</t>
        </is>
      </c>
      <c r="R330" s="11" t="inlineStr">
        <is>
          <t xml:space="preserve">Not reviewed</t>
        </is>
      </c>
      <c r="S330" s="15" t="inlineStr">
        <is>
          <t xml:space="preserve">These dated passages are grouped around the fourth year of Jehoiakim, preserving each chapter as a distinct biblical block.</t>
        </is>
      </c>
    </row>
    <row r="331" ht="34" customHeight="1">
      <c r="A331" s="15" t="inlineStr">
        <is>
          <t xml:space="preserve">v0.4</t>
        </is>
      </c>
      <c r="B331" s="15" t="inlineStr">
        <is>
          <t xml:space="preserve">Bible_Journey_Canon_Map_v0_4_Prophets_Exile.xlsx</t>
        </is>
      </c>
      <c r="C331" s="15" t="inlineStr">
        <is>
          <t xml:space="preserve">RB-04-031</t>
        </is>
      </c>
      <c r="D331" s="15" t="inlineStr">
        <is>
          <t xml:space="preserve">CRS-04-029</t>
        </is>
      </c>
      <c r="E331" s="15">
        <v>29</v>
      </c>
      <c r="F331" s="15" t="inlineStr">
        <is>
          <t xml:space="preserve">Jeremiah</t>
        </is>
      </c>
      <c r="G331" s="15" t="inlineStr">
        <is>
          <t xml:space="preserve">Jeremiah 46-51</t>
        </is>
      </c>
      <c r="H331" s="15" t="inlineStr">
        <is>
          <t xml:space="preserve">Primary Account</t>
        </is>
      </c>
      <c r="I331" s="15"/>
      <c r="J331" s="15" t="inlineStr">
        <is>
          <t xml:space="preserve">Required</t>
        </is>
      </c>
      <c r="K331" s="15" t="inlineStr">
        <is>
          <t xml:space="preserve">Defer to collection pass</t>
        </is>
      </c>
      <c r="L331" s="15" t="inlineStr">
        <is>
          <t xml:space="preserve">Debated</t>
        </is>
      </c>
      <c r="M331" s="15" t="inlineStr">
        <is>
          <t xml:space="preserve">Probable</t>
        </is>
      </c>
      <c r="N331" s="15" t="inlineStr">
        <is>
          <t xml:space="preserve">v0.3: 2 Kings 24</t>
        </is>
      </c>
      <c r="O331" s="15"/>
      <c r="P331" s="15"/>
      <c r="Q331" s="15" t="inlineStr">
        <is>
          <t xml:space="preserve">S5; S6; S7</t>
        </is>
      </c>
      <c r="R331" s="11" t="inlineStr">
        <is>
          <t xml:space="preserve">Not reviewed</t>
        </is>
      </c>
      <c r="S331" s="15" t="inlineStr">
        <is>
          <t xml:space="preserve">The foreign-nation oracles are read as a transparent collection. Some have dated headings; others do not. Narrative Flow may save them for the collection pass, while Complete Chronological Reading includes them here.</t>
        </is>
      </c>
    </row>
    <row r="332" ht="34" customHeight="1">
      <c r="A332" s="15" t="inlineStr">
        <is>
          <t xml:space="preserve">v0.4</t>
        </is>
      </c>
      <c r="B332" s="15" t="inlineStr">
        <is>
          <t xml:space="preserve">Bible_Journey_Canon_Map_v0_4_Prophets_Exile.xlsx</t>
        </is>
      </c>
      <c r="C332" s="15" t="inlineStr">
        <is>
          <t xml:space="preserve">RB-04-032</t>
        </is>
      </c>
      <c r="D332" s="15" t="inlineStr">
        <is>
          <t xml:space="preserve">CRS-04-030</t>
        </is>
      </c>
      <c r="E332" s="15">
        <v>30</v>
      </c>
      <c r="F332" s="15" t="inlineStr">
        <is>
          <t xml:space="preserve">Jeremiah</t>
        </is>
      </c>
      <c r="G332" s="15" t="inlineStr">
        <is>
          <t xml:space="preserve">Jeremiah 21</t>
        </is>
      </c>
      <c r="H332" s="15" t="inlineStr">
        <is>
          <t xml:space="preserve">Primary Account</t>
        </is>
      </c>
      <c r="I332" s="15"/>
      <c r="J332" s="15" t="inlineStr">
        <is>
          <t xml:space="preserve">Required</t>
        </is>
      </c>
      <c r="K332" s="15" t="inlineStr">
        <is>
          <t xml:space="preserve">Include</t>
        </is>
      </c>
      <c r="L332" s="15" t="inlineStr">
        <is>
          <t xml:space="preserve">High</t>
        </is>
      </c>
      <c r="M332" s="15" t="inlineStr">
        <is>
          <t xml:space="preserve">High</t>
        </is>
      </c>
      <c r="N332" s="15" t="inlineStr">
        <is>
          <t xml:space="preserve">v0.3: 2 Kings 24:18-25:7; 2 Chronicles 36:11-14</t>
        </is>
      </c>
      <c r="O332" s="15"/>
      <c r="P332" s="15"/>
      <c r="Q332" s="15" t="inlineStr">
        <is>
          <t xml:space="preserve">S1; S5</t>
        </is>
      </c>
      <c r="R332" s="11" t="inlineStr">
        <is>
          <t xml:space="preserve">Not reviewed</t>
        </is>
      </c>
      <c r="S332" s="15" t="inlineStr">
        <is>
          <t xml:space="preserve">Jeremiah 21 directly anchors an inquiry from Zedekiah during the Babylonian threat.</t>
        </is>
      </c>
    </row>
    <row r="333" ht="34" customHeight="1">
      <c r="A333" s="15" t="inlineStr">
        <is>
          <t xml:space="preserve">v0.4</t>
        </is>
      </c>
      <c r="B333" s="15" t="inlineStr">
        <is>
          <t xml:space="preserve">Bible_Journey_Canon_Map_v0_4_Prophets_Exile.xlsx</t>
        </is>
      </c>
      <c r="C333" s="15" t="inlineStr">
        <is>
          <t xml:space="preserve">RB-04-033</t>
        </is>
      </c>
      <c r="D333" s="15" t="inlineStr">
        <is>
          <t xml:space="preserve">CRS-04-031</t>
        </is>
      </c>
      <c r="E333" s="15">
        <v>31</v>
      </c>
      <c r="F333" s="15" t="inlineStr">
        <is>
          <t xml:space="preserve">Jeremiah</t>
        </is>
      </c>
      <c r="G333" s="15" t="inlineStr">
        <is>
          <t xml:space="preserve">Jeremiah 23</t>
        </is>
      </c>
      <c r="H333" s="15" t="inlineStr">
        <is>
          <t xml:space="preserve">Primary Account</t>
        </is>
      </c>
      <c r="I333" s="15"/>
      <c r="J333" s="15" t="inlineStr">
        <is>
          <t xml:space="preserve">Required</t>
        </is>
      </c>
      <c r="K333" s="15" t="inlineStr">
        <is>
          <t xml:space="preserve">Include</t>
        </is>
      </c>
      <c r="L333" s="15" t="inlineStr">
        <is>
          <t xml:space="preserve">Debated</t>
        </is>
      </c>
      <c r="M333" s="15" t="inlineStr">
        <is>
          <t xml:space="preserve">Probable</t>
        </is>
      </c>
      <c r="N333" s="15" t="inlineStr">
        <is>
          <t xml:space="preserve">v0.3: 2 Kings 24-25; 2 Chronicles 36</t>
        </is>
      </c>
      <c r="O333" s="15"/>
      <c r="P333" s="15"/>
      <c r="Q333" s="15" t="inlineStr">
        <is>
          <t xml:space="preserve">S5; S6; S7</t>
        </is>
      </c>
      <c r="R333" s="11" t="inlineStr">
        <is>
          <t xml:space="preserve">Not reviewed</t>
        </is>
      </c>
      <c r="S333" s="15" t="inlineStr">
        <is>
          <t xml:space="preserve">Jeremiah 23 is placed as a late-monarchic collection with uncertainty preserved about individual units.</t>
        </is>
      </c>
    </row>
    <row r="334" ht="34" customHeight="1">
      <c r="A334" s="15" t="inlineStr">
        <is>
          <t xml:space="preserve">v0.4</t>
        </is>
      </c>
      <c r="B334" s="15" t="inlineStr">
        <is>
          <t xml:space="preserve">Bible_Journey_Canon_Map_v0_4_Prophets_Exile.xlsx</t>
        </is>
      </c>
      <c r="C334" s="15" t="inlineStr">
        <is>
          <t xml:space="preserve">RB-04-034</t>
        </is>
      </c>
      <c r="D334" s="15" t="inlineStr">
        <is>
          <t xml:space="preserve">CRS-04-032</t>
        </is>
      </c>
      <c r="E334" s="15">
        <v>32</v>
      </c>
      <c r="F334" s="15" t="inlineStr">
        <is>
          <t xml:space="preserve">Jeremiah</t>
        </is>
      </c>
      <c r="G334" s="15" t="inlineStr">
        <is>
          <t xml:space="preserve">Jeremiah 24</t>
        </is>
      </c>
      <c r="H334" s="15" t="inlineStr">
        <is>
          <t xml:space="preserve">Primary Account</t>
        </is>
      </c>
      <c r="I334" s="15"/>
      <c r="J334" s="15" t="inlineStr">
        <is>
          <t xml:space="preserve">Required</t>
        </is>
      </c>
      <c r="K334" s="15" t="inlineStr">
        <is>
          <t xml:space="preserve">Include</t>
        </is>
      </c>
      <c r="L334" s="15" t="inlineStr">
        <is>
          <t xml:space="preserve">High</t>
        </is>
      </c>
      <c r="M334" s="15" t="inlineStr">
        <is>
          <t xml:space="preserve">High</t>
        </is>
      </c>
      <c r="N334" s="15" t="inlineStr">
        <is>
          <t xml:space="preserve">v0.3: 2 Kings 24:10-17; 2 Chronicles 36:9-10</t>
        </is>
      </c>
      <c r="O334" s="15"/>
      <c r="P334" s="15"/>
      <c r="Q334" s="15" t="inlineStr">
        <is>
          <t xml:space="preserve">S1; S5</t>
        </is>
      </c>
      <c r="R334" s="11" t="inlineStr">
        <is>
          <t xml:space="preserve">Not reviewed</t>
        </is>
      </c>
      <c r="S334" s="15" t="inlineStr">
        <is>
          <t xml:space="preserve">Jeremiah 24 is explicitly located after the deportation of Jeconiah and is a stable anchor for the early Zedekiah era.</t>
        </is>
      </c>
    </row>
    <row r="335" ht="34" customHeight="1">
      <c r="A335" s="15" t="inlineStr">
        <is>
          <t xml:space="preserve">v0.4</t>
        </is>
      </c>
      <c r="B335" s="15" t="inlineStr">
        <is>
          <t xml:space="preserve">Bible_Journey_Canon_Map_v0_4_Prophets_Exile.xlsx</t>
        </is>
      </c>
      <c r="C335" s="15" t="inlineStr">
        <is>
          <t xml:space="preserve">RB-04-035</t>
        </is>
      </c>
      <c r="D335" s="15" t="inlineStr">
        <is>
          <t xml:space="preserve">CRS-04-033</t>
        </is>
      </c>
      <c r="E335" s="15">
        <v>33</v>
      </c>
      <c r="F335" s="15" t="inlineStr">
        <is>
          <t xml:space="preserve">Jeremiah</t>
        </is>
      </c>
      <c r="G335" s="15" t="inlineStr">
        <is>
          <t xml:space="preserve">Jeremiah 27</t>
        </is>
      </c>
      <c r="H335" s="15" t="inlineStr">
        <is>
          <t xml:space="preserve">Primary Account</t>
        </is>
      </c>
      <c r="I335" s="15"/>
      <c r="J335" s="15" t="inlineStr">
        <is>
          <t xml:space="preserve">Required</t>
        </is>
      </c>
      <c r="K335" s="15" t="inlineStr">
        <is>
          <t xml:space="preserve">Include</t>
        </is>
      </c>
      <c r="L335" s="15" t="inlineStr">
        <is>
          <t xml:space="preserve">High</t>
        </is>
      </c>
      <c r="M335" s="15" t="inlineStr">
        <is>
          <t xml:space="preserve">High</t>
        </is>
      </c>
      <c r="N335" s="15" t="inlineStr">
        <is>
          <t xml:space="preserve">v0.3: 2 Kings 24:18-25:7</t>
        </is>
      </c>
      <c r="O335" s="15"/>
      <c r="P335" s="15"/>
      <c r="Q335" s="15" t="inlineStr">
        <is>
          <t xml:space="preserve">S1; S5</t>
        </is>
      </c>
      <c r="R335" s="11" t="inlineStr">
        <is>
          <t xml:space="preserve">Not reviewed</t>
        </is>
      </c>
      <c r="S335" s="15" t="inlineStr">
        <is>
          <t xml:space="preserve">Jeremiah 27 is set during Zedekiah's reign and provides a clear international crisis context.</t>
        </is>
      </c>
    </row>
    <row r="336" ht="34" customHeight="1">
      <c r="A336" s="15" t="inlineStr">
        <is>
          <t xml:space="preserve">v0.4</t>
        </is>
      </c>
      <c r="B336" s="15" t="inlineStr">
        <is>
          <t xml:space="preserve">Bible_Journey_Canon_Map_v0_4_Prophets_Exile.xlsx</t>
        </is>
      </c>
      <c r="C336" s="15" t="inlineStr">
        <is>
          <t xml:space="preserve">RB-04-036</t>
        </is>
      </c>
      <c r="D336" s="15" t="inlineStr">
        <is>
          <t xml:space="preserve">CRS-04-034</t>
        </is>
      </c>
      <c r="E336" s="15">
        <v>34</v>
      </c>
      <c r="F336" s="15" t="inlineStr">
        <is>
          <t xml:space="preserve">Jeremiah</t>
        </is>
      </c>
      <c r="G336" s="15" t="inlineStr">
        <is>
          <t xml:space="preserve">Jeremiah 28</t>
        </is>
      </c>
      <c r="H336" s="15" t="inlineStr">
        <is>
          <t xml:space="preserve">Primary Account</t>
        </is>
      </c>
      <c r="I336" s="15"/>
      <c r="J336" s="15" t="inlineStr">
        <is>
          <t xml:space="preserve">Required</t>
        </is>
      </c>
      <c r="K336" s="15" t="inlineStr">
        <is>
          <t xml:space="preserve">Include</t>
        </is>
      </c>
      <c r="L336" s="15" t="inlineStr">
        <is>
          <t xml:space="preserve">High</t>
        </is>
      </c>
      <c r="M336" s="15" t="inlineStr">
        <is>
          <t xml:space="preserve">High</t>
        </is>
      </c>
      <c r="N336" s="15" t="inlineStr">
        <is>
          <t xml:space="preserve">v0.3: 2 Kings 24:18-25:7</t>
        </is>
      </c>
      <c r="O336" s="15"/>
      <c r="P336" s="15"/>
      <c r="Q336" s="15" t="inlineStr">
        <is>
          <t xml:space="preserve">S1; S5</t>
        </is>
      </c>
      <c r="R336" s="11" t="inlineStr">
        <is>
          <t xml:space="preserve">Not reviewed</t>
        </is>
      </c>
      <c r="S336" s="15" t="inlineStr">
        <is>
          <t xml:space="preserve">Jeremiah 28 is explicitly dated in Zedekiah's fourth year. The chapter is kept distinct from the wider foreign-nations collection.</t>
        </is>
      </c>
    </row>
    <row r="337" ht="34" customHeight="1">
      <c r="A337" s="15" t="inlineStr">
        <is>
          <t xml:space="preserve">v0.4</t>
        </is>
      </c>
      <c r="B337" s="15" t="inlineStr">
        <is>
          <t xml:space="preserve">Bible_Journey_Canon_Map_v0_4_Prophets_Exile.xlsx</t>
        </is>
      </c>
      <c r="C337" s="15" t="inlineStr">
        <is>
          <t xml:space="preserve">RB-04-037</t>
        </is>
      </c>
      <c r="D337" s="15" t="inlineStr">
        <is>
          <t xml:space="preserve">CRS-04-035</t>
        </is>
      </c>
      <c r="E337" s="15">
        <v>35</v>
      </c>
      <c r="F337" s="15" t="inlineStr">
        <is>
          <t xml:space="preserve">Jeremiah</t>
        </is>
      </c>
      <c r="G337" s="15" t="inlineStr">
        <is>
          <t xml:space="preserve">Jeremiah 29</t>
        </is>
      </c>
      <c r="H337" s="15" t="inlineStr">
        <is>
          <t xml:space="preserve">Primary Account</t>
        </is>
      </c>
      <c r="I337" s="15"/>
      <c r="J337" s="15" t="inlineStr">
        <is>
          <t xml:space="preserve">Required</t>
        </is>
      </c>
      <c r="K337" s="15" t="inlineStr">
        <is>
          <t xml:space="preserve">Include</t>
        </is>
      </c>
      <c r="L337" s="15" t="inlineStr">
        <is>
          <t xml:space="preserve">High</t>
        </is>
      </c>
      <c r="M337" s="15" t="inlineStr">
        <is>
          <t xml:space="preserve">High</t>
        </is>
      </c>
      <c r="N337" s="15" t="inlineStr">
        <is>
          <t xml:space="preserve">v0.3: 2 Kings 24:10-17</t>
        </is>
      </c>
      <c r="O337" s="15"/>
      <c r="P337" s="15"/>
      <c r="Q337" s="15" t="inlineStr">
        <is>
          <t xml:space="preserve">S1; S5</t>
        </is>
      </c>
      <c r="R337" s="11" t="inlineStr">
        <is>
          <t xml:space="preserve">Not reviewed</t>
        </is>
      </c>
      <c r="S337" s="15" t="inlineStr">
        <is>
          <t xml:space="preserve">Jeremiah 29 is linked to the community deported with Jeconiah and belongs alongside the early Zedekiah setting.</t>
        </is>
      </c>
    </row>
    <row r="338" ht="34" customHeight="1">
      <c r="A338" s="15" t="inlineStr">
        <is>
          <t xml:space="preserve">v0.4</t>
        </is>
      </c>
      <c r="B338" s="15" t="inlineStr">
        <is>
          <t xml:space="preserve">Bible_Journey_Canon_Map_v0_4_Prophets_Exile.xlsx</t>
        </is>
      </c>
      <c r="C338" s="15" t="inlineStr">
        <is>
          <t xml:space="preserve">RB-04-038</t>
        </is>
      </c>
      <c r="D338" s="15" t="inlineStr">
        <is>
          <t xml:space="preserve">CRS-04-036</t>
        </is>
      </c>
      <c r="E338" s="15">
        <v>36</v>
      </c>
      <c r="F338" s="15" t="inlineStr">
        <is>
          <t xml:space="preserve">Jeremiah</t>
        </is>
      </c>
      <c r="G338" s="15" t="inlineStr">
        <is>
          <t xml:space="preserve">Jeremiah 30-31</t>
        </is>
      </c>
      <c r="H338" s="15" t="inlineStr">
        <is>
          <t xml:space="preserve">Primary Account</t>
        </is>
      </c>
      <c r="I338" s="15"/>
      <c r="J338" s="15" t="inlineStr">
        <is>
          <t xml:space="preserve">Required</t>
        </is>
      </c>
      <c r="K338" s="15" t="inlineStr">
        <is>
          <t xml:space="preserve">Include</t>
        </is>
      </c>
      <c r="L338" s="15" t="inlineStr">
        <is>
          <t xml:space="preserve">Debated</t>
        </is>
      </c>
      <c r="M338" s="15" t="inlineStr">
        <is>
          <t xml:space="preserve">Probable</t>
        </is>
      </c>
      <c r="N338" s="15" t="inlineStr">
        <is>
          <t xml:space="preserve">v0.3: 2 Kings 24-25; 2 Chronicles 36</t>
        </is>
      </c>
      <c r="O338" s="15"/>
      <c r="P338" s="15"/>
      <c r="Q338" s="15" t="inlineStr">
        <is>
          <t xml:space="preserve">S5; S6; S7</t>
        </is>
      </c>
      <c r="R338" s="11" t="inlineStr">
        <is>
          <t xml:space="preserve">Not reviewed</t>
        </is>
      </c>
      <c r="S338" s="15" t="inlineStr">
        <is>
          <t xml:space="preserve">Jeremiah 30-31 is presented as a literary restoration collection in the Zedekiah-era stream, marked as probable rather than date-certain.</t>
        </is>
      </c>
    </row>
    <row r="339" ht="34" customHeight="1">
      <c r="A339" s="15" t="inlineStr">
        <is>
          <t xml:space="preserve">v0.4</t>
        </is>
      </c>
      <c r="B339" s="15" t="inlineStr">
        <is>
          <t xml:space="preserve">Bible_Journey_Canon_Map_v0_4_Prophets_Exile.xlsx</t>
        </is>
      </c>
      <c r="C339" s="15" t="inlineStr">
        <is>
          <t xml:space="preserve">RB-04-039</t>
        </is>
      </c>
      <c r="D339" s="15" t="inlineStr">
        <is>
          <t xml:space="preserve">CRS-04-037</t>
        </is>
      </c>
      <c r="E339" s="15">
        <v>37</v>
      </c>
      <c r="F339" s="15" t="inlineStr">
        <is>
          <t xml:space="preserve">Jeremiah</t>
        </is>
      </c>
      <c r="G339" s="15" t="inlineStr">
        <is>
          <t xml:space="preserve">Jeremiah 32-33</t>
        </is>
      </c>
      <c r="H339" s="15" t="inlineStr">
        <is>
          <t xml:space="preserve">Primary Account</t>
        </is>
      </c>
      <c r="I339" s="15"/>
      <c r="J339" s="15" t="inlineStr">
        <is>
          <t xml:space="preserve">Required</t>
        </is>
      </c>
      <c r="K339" s="15" t="inlineStr">
        <is>
          <t xml:space="preserve">Include</t>
        </is>
      </c>
      <c r="L339" s="15" t="inlineStr">
        <is>
          <t xml:space="preserve">High</t>
        </is>
      </c>
      <c r="M339" s="15" t="inlineStr">
        <is>
          <t xml:space="preserve">High</t>
        </is>
      </c>
      <c r="N339" s="15" t="inlineStr">
        <is>
          <t xml:space="preserve">v0.3: 2 Kings 25:1-7; 2 Chronicles 36:11-14</t>
        </is>
      </c>
      <c r="O339" s="15"/>
      <c r="P339" s="15"/>
      <c r="Q339" s="15" t="inlineStr">
        <is>
          <t xml:space="preserve">S1; S5</t>
        </is>
      </c>
      <c r="R339" s="11" t="inlineStr">
        <is>
          <t xml:space="preserve">Not reviewed</t>
        </is>
      </c>
      <c r="S339" s="15" t="inlineStr">
        <is>
          <t xml:space="preserve">Jeremiah 32 explicitly dates the field purchase during the siege; Jeremiah 33 is linked to the same imprisonment context.</t>
        </is>
      </c>
    </row>
    <row r="340" ht="34" customHeight="1">
      <c r="A340" s="15" t="inlineStr">
        <is>
          <t xml:space="preserve">v0.4</t>
        </is>
      </c>
      <c r="B340" s="15" t="inlineStr">
        <is>
          <t xml:space="preserve">Bible_Journey_Canon_Map_v0_4_Prophets_Exile.xlsx</t>
        </is>
      </c>
      <c r="C340" s="15" t="inlineStr">
        <is>
          <t xml:space="preserve">RB-04-040</t>
        </is>
      </c>
      <c r="D340" s="15" t="inlineStr">
        <is>
          <t xml:space="preserve">CRS-04-038</t>
        </is>
      </c>
      <c r="E340" s="15">
        <v>38</v>
      </c>
      <c r="F340" s="15" t="inlineStr">
        <is>
          <t xml:space="preserve">Jeremiah</t>
        </is>
      </c>
      <c r="G340" s="15" t="inlineStr">
        <is>
          <t xml:space="preserve">Jeremiah 34</t>
        </is>
      </c>
      <c r="H340" s="15" t="inlineStr">
        <is>
          <t xml:space="preserve">Primary Account</t>
        </is>
      </c>
      <c r="I340" s="15"/>
      <c r="J340" s="15" t="inlineStr">
        <is>
          <t xml:space="preserve">Required</t>
        </is>
      </c>
      <c r="K340" s="15" t="inlineStr">
        <is>
          <t xml:space="preserve">Include</t>
        </is>
      </c>
      <c r="L340" s="15" t="inlineStr">
        <is>
          <t xml:space="preserve">Probable</t>
        </is>
      </c>
      <c r="M340" s="15" t="inlineStr">
        <is>
          <t xml:space="preserve">High</t>
        </is>
      </c>
      <c r="N340" s="15" t="inlineStr">
        <is>
          <t xml:space="preserve">v0.3: 2 Kings 25:1-7</t>
        </is>
      </c>
      <c r="O340" s="15"/>
      <c r="P340" s="15"/>
      <c r="Q340" s="15" t="inlineStr">
        <is>
          <t xml:space="preserve">S1; S5; S7</t>
        </is>
      </c>
      <c r="R340" s="11" t="inlineStr">
        <is>
          <t xml:space="preserve">Not reviewed</t>
        </is>
      </c>
      <c r="S340" s="15" t="inlineStr">
        <is>
          <t xml:space="preserve">Jeremiah 34 is linked to Zedekiah and the siege, though its exact relation to all siege episodes needs modest framing.</t>
        </is>
      </c>
    </row>
    <row r="341" ht="34" customHeight="1">
      <c r="A341" s="15" t="inlineStr">
        <is>
          <t xml:space="preserve">v0.4</t>
        </is>
      </c>
      <c r="B341" s="15" t="inlineStr">
        <is>
          <t xml:space="preserve">Bible_Journey_Canon_Map_v0_4_Prophets_Exile.xlsx</t>
        </is>
      </c>
      <c r="C341" s="15" t="inlineStr">
        <is>
          <t xml:space="preserve">RB-04-041</t>
        </is>
      </c>
      <c r="D341" s="15" t="inlineStr">
        <is>
          <t xml:space="preserve">CRS-04-039</t>
        </is>
      </c>
      <c r="E341" s="15">
        <v>39</v>
      </c>
      <c r="F341" s="15" t="inlineStr">
        <is>
          <t xml:space="preserve">Jeremiah</t>
        </is>
      </c>
      <c r="G341" s="15" t="inlineStr">
        <is>
          <t xml:space="preserve">Jeremiah 37-39</t>
        </is>
      </c>
      <c r="H341" s="15" t="inlineStr">
        <is>
          <t xml:space="preserve">Primary Account</t>
        </is>
      </c>
      <c r="I341" s="15"/>
      <c r="J341" s="15" t="inlineStr">
        <is>
          <t xml:space="preserve">Required</t>
        </is>
      </c>
      <c r="K341" s="15" t="inlineStr">
        <is>
          <t xml:space="preserve">Include</t>
        </is>
      </c>
      <c r="L341" s="15" t="inlineStr">
        <is>
          <t xml:space="preserve">High</t>
        </is>
      </c>
      <c r="M341" s="15" t="inlineStr">
        <is>
          <t xml:space="preserve">High</t>
        </is>
      </c>
      <c r="N341" s="15" t="inlineStr">
        <is>
          <t xml:space="preserve">v0.3: 2 Kings 25:1-21; 2 Chronicles 36:15-21</t>
        </is>
      </c>
      <c r="O341" s="15" t="inlineStr">
        <is>
          <t xml:space="preserve">Final fall</t>
        </is>
      </c>
      <c r="P341" s="15"/>
      <c r="Q341" s="15" t="inlineStr">
        <is>
          <t xml:space="preserve">S1; S5</t>
        </is>
      </c>
      <c r="R341" s="11" t="inlineStr">
        <is>
          <t xml:space="preserve">Not reviewed</t>
        </is>
      </c>
      <c r="S341" s="15" t="inlineStr">
        <is>
          <t xml:space="preserve">Jeremiah 37-39 is read alongside the final Zedekiah narrative in Kings and Chronicles, with Compare Accounts available.</t>
        </is>
      </c>
    </row>
    <row r="342" ht="34" customHeight="1">
      <c r="A342" s="15" t="inlineStr">
        <is>
          <t xml:space="preserve">v0.4</t>
        </is>
      </c>
      <c r="B342" s="15" t="inlineStr">
        <is>
          <t xml:space="preserve">Bible_Journey_Canon_Map_v0_4_Prophets_Exile.xlsx</t>
        </is>
      </c>
      <c r="C342" s="15" t="inlineStr">
        <is>
          <t xml:space="preserve">RB-04-042</t>
        </is>
      </c>
      <c r="D342" s="15" t="inlineStr">
        <is>
          <t xml:space="preserve">CRS-04-040</t>
        </is>
      </c>
      <c r="E342" s="15">
        <v>40</v>
      </c>
      <c r="F342" s="15" t="inlineStr">
        <is>
          <t xml:space="preserve">Jeremiah</t>
        </is>
      </c>
      <c r="G342" s="15" t="inlineStr">
        <is>
          <t xml:space="preserve">Jeremiah 40-41</t>
        </is>
      </c>
      <c r="H342" s="15" t="inlineStr">
        <is>
          <t xml:space="preserve">Primary Account</t>
        </is>
      </c>
      <c r="I342" s="15"/>
      <c r="J342" s="15" t="inlineStr">
        <is>
          <t xml:space="preserve">Required</t>
        </is>
      </c>
      <c r="K342" s="15" t="inlineStr">
        <is>
          <t xml:space="preserve">Include</t>
        </is>
      </c>
      <c r="L342" s="15" t="inlineStr">
        <is>
          <t xml:space="preserve">High</t>
        </is>
      </c>
      <c r="M342" s="15" t="inlineStr">
        <is>
          <t xml:space="preserve">High</t>
        </is>
      </c>
      <c r="N342" s="15" t="inlineStr">
        <is>
          <t xml:space="preserve">v0.3: 2 Kings 25:22-26</t>
        </is>
      </c>
      <c r="O342" s="15" t="inlineStr">
        <is>
          <t xml:space="preserve">Final fall</t>
        </is>
      </c>
      <c r="P342" s="15"/>
      <c r="Q342" s="15" t="inlineStr">
        <is>
          <t xml:space="preserve">S1; S5</t>
        </is>
      </c>
      <c r="R342" s="11" t="inlineStr">
        <is>
          <t xml:space="preserve">Not reviewed</t>
        </is>
      </c>
      <c r="S342" s="15" t="inlineStr">
        <is>
          <t xml:space="preserve">Jeremiah 40-41 follows the fall with the Gedaliah narrative and is linked to 2 Kings 25:22-26.</t>
        </is>
      </c>
    </row>
    <row r="343" ht="34" customHeight="1">
      <c r="A343" s="15" t="inlineStr">
        <is>
          <t xml:space="preserve">v0.4</t>
        </is>
      </c>
      <c r="B343" s="15" t="inlineStr">
        <is>
          <t xml:space="preserve">Bible_Journey_Canon_Map_v0_4_Prophets_Exile.xlsx</t>
        </is>
      </c>
      <c r="C343" s="15" t="inlineStr">
        <is>
          <t xml:space="preserve">RB-04-043</t>
        </is>
      </c>
      <c r="D343" s="15" t="inlineStr">
        <is>
          <t xml:space="preserve">CRS-04-041</t>
        </is>
      </c>
      <c r="E343" s="15">
        <v>41</v>
      </c>
      <c r="F343" s="15" t="inlineStr">
        <is>
          <t xml:space="preserve">Jeremiah</t>
        </is>
      </c>
      <c r="G343" s="15" t="inlineStr">
        <is>
          <t xml:space="preserve">Jeremiah 42-44</t>
        </is>
      </c>
      <c r="H343" s="15" t="inlineStr">
        <is>
          <t xml:space="preserve">Primary Account</t>
        </is>
      </c>
      <c r="I343" s="15"/>
      <c r="J343" s="15" t="inlineStr">
        <is>
          <t xml:space="preserve">Required</t>
        </is>
      </c>
      <c r="K343" s="15" t="inlineStr">
        <is>
          <t xml:space="preserve">Include</t>
        </is>
      </c>
      <c r="L343" s="15" t="inlineStr">
        <is>
          <t xml:space="preserve">High</t>
        </is>
      </c>
      <c r="M343" s="15" t="inlineStr">
        <is>
          <t xml:space="preserve">High</t>
        </is>
      </c>
      <c r="N343" s="15" t="inlineStr">
        <is>
          <t xml:space="preserve">v0.3: 2 Kings 25:22-26</t>
        </is>
      </c>
      <c r="O343" s="15"/>
      <c r="P343" s="15"/>
      <c r="Q343" s="15" t="inlineStr">
        <is>
          <t xml:space="preserve">S1; S5</t>
        </is>
      </c>
      <c r="R343" s="11" t="inlineStr">
        <is>
          <t xml:space="preserve">Not reviewed</t>
        </is>
      </c>
      <c r="S343" s="15" t="inlineStr">
        <is>
          <t xml:space="preserve">Jeremiah 42-44 follows the decision to flee toward Egypt. It forms a distinct post-fall Reading Set.</t>
        </is>
      </c>
    </row>
    <row r="344" ht="34" customHeight="1">
      <c r="A344" s="15" t="inlineStr">
        <is>
          <t xml:space="preserve">v0.4</t>
        </is>
      </c>
      <c r="B344" s="15" t="inlineStr">
        <is>
          <t xml:space="preserve">Bible_Journey_Canon_Map_v0_4_Prophets_Exile.xlsx</t>
        </is>
      </c>
      <c r="C344" s="15" t="inlineStr">
        <is>
          <t xml:space="preserve">RB-04-044</t>
        </is>
      </c>
      <c r="D344" s="15" t="inlineStr">
        <is>
          <t xml:space="preserve">CRS-04-042</t>
        </is>
      </c>
      <c r="E344" s="15">
        <v>42</v>
      </c>
      <c r="F344" s="15" t="inlineStr">
        <is>
          <t xml:space="preserve">Jeremiah</t>
        </is>
      </c>
      <c r="G344" s="15" t="inlineStr">
        <is>
          <t xml:space="preserve">Jeremiah 52</t>
        </is>
      </c>
      <c r="H344" s="15" t="inlineStr">
        <is>
          <t xml:space="preserve">Parallel Account</t>
        </is>
      </c>
      <c r="I344" s="15"/>
      <c r="J344" s="15" t="inlineStr">
        <is>
          <t xml:space="preserve">Required</t>
        </is>
      </c>
      <c r="K344" s="15" t="inlineStr">
        <is>
          <t xml:space="preserve">Include</t>
        </is>
      </c>
      <c r="L344" s="15" t="inlineStr">
        <is>
          <t xml:space="preserve">High</t>
        </is>
      </c>
      <c r="M344" s="15" t="inlineStr">
        <is>
          <t xml:space="preserve">High</t>
        </is>
      </c>
      <c r="N344" s="15" t="inlineStr">
        <is>
          <t xml:space="preserve">v0.3: 2 Kings 24:18-25:30; 2 Chronicles 36:11-23</t>
        </is>
      </c>
      <c r="O344" s="15" t="inlineStr">
        <is>
          <t xml:space="preserve">Final fall</t>
        </is>
      </c>
      <c r="P344" s="15"/>
      <c r="Q344" s="15" t="inlineStr">
        <is>
          <t xml:space="preserve">S1; S5; S6</t>
        </is>
      </c>
      <c r="R344" s="11" t="inlineStr">
        <is>
          <t xml:space="preserve">Not reviewed</t>
        </is>
      </c>
      <c r="S344" s="15" t="inlineStr">
        <is>
          <t xml:space="preserve">Jeremiah 52 parallels the final Kings narrative and is displayed as an appendix-like parallel account, not as a separate later event.</t>
        </is>
      </c>
    </row>
    <row r="345" ht="34" customHeight="1">
      <c r="A345" s="15" t="inlineStr">
        <is>
          <t xml:space="preserve">v0.4</t>
        </is>
      </c>
      <c r="B345" s="15" t="inlineStr">
        <is>
          <t xml:space="preserve">Bible_Journey_Canon_Map_v0_4_Prophets_Exile.xlsx</t>
        </is>
      </c>
      <c r="C345" s="15" t="inlineStr">
        <is>
          <t xml:space="preserve">RB-04-045</t>
        </is>
      </c>
      <c r="D345" s="15" t="inlineStr">
        <is>
          <t xml:space="preserve">CRS-04-043</t>
        </is>
      </c>
      <c r="E345" s="15">
        <v>43</v>
      </c>
      <c r="F345" s="15" t="inlineStr">
        <is>
          <t xml:space="preserve">Lamentations</t>
        </is>
      </c>
      <c r="G345" s="15" t="inlineStr">
        <is>
          <t xml:space="preserve">Lamentations 1-2</t>
        </is>
      </c>
      <c r="H345" s="15" t="inlineStr">
        <is>
          <t xml:space="preserve">Primary Account</t>
        </is>
      </c>
      <c r="I345" s="15"/>
      <c r="J345" s="15" t="inlineStr">
        <is>
          <t xml:space="preserve">Required</t>
        </is>
      </c>
      <c r="K345" s="15" t="inlineStr">
        <is>
          <t xml:space="preserve">Include</t>
        </is>
      </c>
      <c r="L345" s="15" t="inlineStr">
        <is>
          <t xml:space="preserve">Probable</t>
        </is>
      </c>
      <c r="M345" s="15" t="inlineStr">
        <is>
          <t xml:space="preserve">High</t>
        </is>
      </c>
      <c r="N345" s="15" t="inlineStr">
        <is>
          <t xml:space="preserve">v0.3: 2 Kings 25; 2 Chronicles 36</t>
        </is>
      </c>
      <c r="O345" s="15"/>
      <c r="P345" s="15"/>
      <c r="Q345" s="15" t="inlineStr">
        <is>
          <t xml:space="preserve">S5; S7</t>
        </is>
      </c>
      <c r="R345" s="11" t="inlineStr">
        <is>
          <t xml:space="preserve">Not reviewed</t>
        </is>
      </c>
      <c r="S345" s="15" t="inlineStr">
        <is>
          <t xml:space="preserve">Lamentations is read after the fall of Jerusalem as a post-destruction poetic collection, with authorship and precise composition history not presented as settled.</t>
        </is>
      </c>
    </row>
    <row r="346" ht="34" customHeight="1">
      <c r="A346" s="15" t="inlineStr">
        <is>
          <t xml:space="preserve">v0.4</t>
        </is>
      </c>
      <c r="B346" s="15" t="inlineStr">
        <is>
          <t xml:space="preserve">Bible_Journey_Canon_Map_v0_4_Prophets_Exile.xlsx</t>
        </is>
      </c>
      <c r="C346" s="15" t="inlineStr">
        <is>
          <t xml:space="preserve">RB-04-046</t>
        </is>
      </c>
      <c r="D346" s="15" t="inlineStr">
        <is>
          <t xml:space="preserve">CRS-04-044</t>
        </is>
      </c>
      <c r="E346" s="15">
        <v>44</v>
      </c>
      <c r="F346" s="15" t="inlineStr">
        <is>
          <t xml:space="preserve">Lamentations</t>
        </is>
      </c>
      <c r="G346" s="15" t="inlineStr">
        <is>
          <t xml:space="preserve">Lamentations 3</t>
        </is>
      </c>
      <c r="H346" s="15" t="inlineStr">
        <is>
          <t xml:space="preserve">Primary Account</t>
        </is>
      </c>
      <c r="I346" s="15"/>
      <c r="J346" s="15" t="inlineStr">
        <is>
          <t xml:space="preserve">Required</t>
        </is>
      </c>
      <c r="K346" s="15" t="inlineStr">
        <is>
          <t xml:space="preserve">Include</t>
        </is>
      </c>
      <c r="L346" s="15" t="inlineStr">
        <is>
          <t xml:space="preserve">Probable</t>
        </is>
      </c>
      <c r="M346" s="15" t="inlineStr">
        <is>
          <t xml:space="preserve">High</t>
        </is>
      </c>
      <c r="N346" s="15" t="inlineStr">
        <is>
          <t xml:space="preserve">v0.3: 2 Kings 25; 2 Chronicles 36</t>
        </is>
      </c>
      <c r="O346" s="15"/>
      <c r="P346" s="15"/>
      <c r="Q346" s="15" t="inlineStr">
        <is>
          <t xml:space="preserve">S5; S7</t>
        </is>
      </c>
      <c r="R346" s="11" t="inlineStr">
        <is>
          <t xml:space="preserve">Not reviewed</t>
        </is>
      </c>
      <c r="S346" s="15" t="inlineStr">
        <is>
          <t xml:space="preserve">The central poem is retained as its own reading unit to respect literary form and reading pace.</t>
        </is>
      </c>
    </row>
    <row r="347" ht="34" customHeight="1">
      <c r="A347" s="15" t="inlineStr">
        <is>
          <t xml:space="preserve">v0.4</t>
        </is>
      </c>
      <c r="B347" s="15" t="inlineStr">
        <is>
          <t xml:space="preserve">Bible_Journey_Canon_Map_v0_4_Prophets_Exile.xlsx</t>
        </is>
      </c>
      <c r="C347" s="15" t="inlineStr">
        <is>
          <t xml:space="preserve">RB-04-047</t>
        </is>
      </c>
      <c r="D347" s="15" t="inlineStr">
        <is>
          <t xml:space="preserve">CRS-04-045</t>
        </is>
      </c>
      <c r="E347" s="15">
        <v>45</v>
      </c>
      <c r="F347" s="15" t="inlineStr">
        <is>
          <t xml:space="preserve">Lamentations</t>
        </is>
      </c>
      <c r="G347" s="15" t="inlineStr">
        <is>
          <t xml:space="preserve">Lamentations 4-5</t>
        </is>
      </c>
      <c r="H347" s="15" t="inlineStr">
        <is>
          <t xml:space="preserve">Primary Account</t>
        </is>
      </c>
      <c r="I347" s="15"/>
      <c r="J347" s="15" t="inlineStr">
        <is>
          <t xml:space="preserve">Required</t>
        </is>
      </c>
      <c r="K347" s="15" t="inlineStr">
        <is>
          <t xml:space="preserve">Include</t>
        </is>
      </c>
      <c r="L347" s="15" t="inlineStr">
        <is>
          <t xml:space="preserve">Probable</t>
        </is>
      </c>
      <c r="M347" s="15" t="inlineStr">
        <is>
          <t xml:space="preserve">High</t>
        </is>
      </c>
      <c r="N347" s="15" t="inlineStr">
        <is>
          <t xml:space="preserve">v0.3: 2 Kings 25; 2 Chronicles 36</t>
        </is>
      </c>
      <c r="O347" s="15"/>
      <c r="P347" s="15"/>
      <c r="Q347" s="15" t="inlineStr">
        <is>
          <t xml:space="preserve">S5; S7</t>
        </is>
      </c>
      <c r="R347" s="11" t="inlineStr">
        <is>
          <t xml:space="preserve">Not reviewed</t>
        </is>
      </c>
      <c r="S347" s="15" t="inlineStr">
        <is>
          <t xml:space="preserve">The final poems are read as part of the post-fall mourning collection.</t>
        </is>
      </c>
    </row>
    <row r="348" ht="34" customHeight="1">
      <c r="A348" s="15" t="inlineStr">
        <is>
          <t xml:space="preserve">v0.4</t>
        </is>
      </c>
      <c r="B348" s="15" t="inlineStr">
        <is>
          <t xml:space="preserve">Bible_Journey_Canon_Map_v0_4_Prophets_Exile.xlsx</t>
        </is>
      </c>
      <c r="C348" s="15" t="inlineStr">
        <is>
          <t xml:space="preserve">RB-04-048</t>
        </is>
      </c>
      <c r="D348" s="15" t="inlineStr">
        <is>
          <t xml:space="preserve">CRS-04-046</t>
        </is>
      </c>
      <c r="E348" s="15">
        <v>46</v>
      </c>
      <c r="F348" s="15" t="inlineStr">
        <is>
          <t xml:space="preserve">Isaiah</t>
        </is>
      </c>
      <c r="G348" s="15" t="inlineStr">
        <is>
          <t xml:space="preserve">Isaiah 40-48</t>
        </is>
      </c>
      <c r="H348" s="15" t="inlineStr">
        <is>
          <t xml:space="preserve">Primary Account</t>
        </is>
      </c>
      <c r="I348" s="15"/>
      <c r="J348" s="15" t="inlineStr">
        <is>
          <t xml:space="preserve">Required</t>
        </is>
      </c>
      <c r="K348" s="15" t="inlineStr">
        <is>
          <t xml:space="preserve">Include</t>
        </is>
      </c>
      <c r="L348" s="15" t="inlineStr">
        <is>
          <t xml:space="preserve">Debated</t>
        </is>
      </c>
      <c r="M348" s="15" t="inlineStr">
        <is>
          <t xml:space="preserve">Probable</t>
        </is>
      </c>
      <c r="N348" s="15" t="inlineStr">
        <is>
          <t xml:space="preserve">v0.3: 2 Kings 25; future Ezra/Cyrus node</t>
        </is>
      </c>
      <c r="O348" s="15"/>
      <c r="P348" s="15"/>
      <c r="Q348" s="15" t="inlineStr">
        <is>
          <t xml:space="preserve">S2; S4; S10; S12</t>
        </is>
      </c>
      <c r="R348" s="11" t="inlineStr">
        <is>
          <t xml:space="preserve">Not reviewed</t>
        </is>
      </c>
      <c r="S348" s="15" t="inlineStr">
        <is>
          <t xml:space="preserve">Isaiah 40-48 is placed as an exilic horizon reading set in accordance with a common scholarly division of Isaiah, while keeping a visible note that compositional models vary.</t>
        </is>
      </c>
    </row>
    <row r="349" ht="34" customHeight="1">
      <c r="A349" s="15" t="inlineStr">
        <is>
          <t xml:space="preserve">v0.4</t>
        </is>
      </c>
      <c r="B349" s="15" t="inlineStr">
        <is>
          <t xml:space="preserve">Bible_Journey_Canon_Map_v0_4_Prophets_Exile.xlsx</t>
        </is>
      </c>
      <c r="C349" s="15" t="inlineStr">
        <is>
          <t xml:space="preserve">RB-04-049</t>
        </is>
      </c>
      <c r="D349" s="15" t="inlineStr">
        <is>
          <t xml:space="preserve">CRS-04-047</t>
        </is>
      </c>
      <c r="E349" s="15">
        <v>47</v>
      </c>
      <c r="F349" s="15" t="inlineStr">
        <is>
          <t xml:space="preserve">Isaiah</t>
        </is>
      </c>
      <c r="G349" s="15" t="inlineStr">
        <is>
          <t xml:space="preserve">Isaiah 49-55</t>
        </is>
      </c>
      <c r="H349" s="15" t="inlineStr">
        <is>
          <t xml:space="preserve">Primary Account</t>
        </is>
      </c>
      <c r="I349" s="15"/>
      <c r="J349" s="15" t="inlineStr">
        <is>
          <t xml:space="preserve">Required</t>
        </is>
      </c>
      <c r="K349" s="15" t="inlineStr">
        <is>
          <t xml:space="preserve">Include</t>
        </is>
      </c>
      <c r="L349" s="15" t="inlineStr">
        <is>
          <t xml:space="preserve">Debated</t>
        </is>
      </c>
      <c r="M349" s="15" t="inlineStr">
        <is>
          <t xml:space="preserve">Probable</t>
        </is>
      </c>
      <c r="N349" s="15" t="inlineStr">
        <is>
          <t xml:space="preserve">Future Ezra / return node</t>
        </is>
      </c>
      <c r="O349" s="15"/>
      <c r="P349" s="15"/>
      <c r="Q349" s="15" t="inlineStr">
        <is>
          <t xml:space="preserve">S2; S4; S10; S12</t>
        </is>
      </c>
      <c r="R349" s="11" t="inlineStr">
        <is>
          <t xml:space="preserve">Not reviewed</t>
        </is>
      </c>
      <c r="S349" s="15" t="inlineStr">
        <is>
          <t xml:space="preserve">Isaiah 49-55 continues the exilic restoration horizon with the same transparency protocol.</t>
        </is>
      </c>
    </row>
    <row r="350" ht="34" customHeight="1">
      <c r="A350" s="15" t="inlineStr">
        <is>
          <t xml:space="preserve">v0.4</t>
        </is>
      </c>
      <c r="B350" s="15" t="inlineStr">
        <is>
          <t xml:space="preserve">Bible_Journey_Canon_Map_v0_4_Prophets_Exile.xlsx</t>
        </is>
      </c>
      <c r="C350" s="15" t="inlineStr">
        <is>
          <t xml:space="preserve">RB-04-050</t>
        </is>
      </c>
      <c r="D350" s="15" t="inlineStr">
        <is>
          <t xml:space="preserve">CRS-04-048</t>
        </is>
      </c>
      <c r="E350" s="15">
        <v>48</v>
      </c>
      <c r="F350" s="15" t="inlineStr">
        <is>
          <t xml:space="preserve">Isaiah</t>
        </is>
      </c>
      <c r="G350" s="15" t="inlineStr">
        <is>
          <t xml:space="preserve">Isaiah 56-58</t>
        </is>
      </c>
      <c r="H350" s="15" t="inlineStr">
        <is>
          <t xml:space="preserve">Primary Account</t>
        </is>
      </c>
      <c r="I350" s="15"/>
      <c r="J350" s="15" t="inlineStr">
        <is>
          <t xml:space="preserve">Required</t>
        </is>
      </c>
      <c r="K350" s="15" t="inlineStr">
        <is>
          <t xml:space="preserve">Include</t>
        </is>
      </c>
      <c r="L350" s="15" t="inlineStr">
        <is>
          <t xml:space="preserve">Debated</t>
        </is>
      </c>
      <c r="M350" s="15" t="inlineStr">
        <is>
          <t xml:space="preserve">Probable</t>
        </is>
      </c>
      <c r="N350" s="15" t="inlineStr">
        <is>
          <t xml:space="preserve">Future Ezra-Nehemiah node</t>
        </is>
      </c>
      <c r="O350" s="15"/>
      <c r="P350" s="15"/>
      <c r="Q350" s="15" t="inlineStr">
        <is>
          <t xml:space="preserve">S2; S4; S7</t>
        </is>
      </c>
      <c r="R350" s="11" t="inlineStr">
        <is>
          <t xml:space="preserve">Not reviewed</t>
        </is>
      </c>
      <c r="S350" s="15" t="inlineStr">
        <is>
          <t xml:space="preserve">Isaiah 56-58 is placed in a post-exilic horizon in common scholarly outlines, with an explicit note that interpretive models vary.</t>
        </is>
      </c>
    </row>
    <row r="351" ht="34" customHeight="1">
      <c r="A351" s="15" t="inlineStr">
        <is>
          <t xml:space="preserve">v0.4</t>
        </is>
      </c>
      <c r="B351" s="15" t="inlineStr">
        <is>
          <t xml:space="preserve">Bible_Journey_Canon_Map_v0_4_Prophets_Exile.xlsx</t>
        </is>
      </c>
      <c r="C351" s="15" t="inlineStr">
        <is>
          <t xml:space="preserve">RB-04-051</t>
        </is>
      </c>
      <c r="D351" s="15" t="inlineStr">
        <is>
          <t xml:space="preserve">CRS-04-049</t>
        </is>
      </c>
      <c r="E351" s="15">
        <v>49</v>
      </c>
      <c r="F351" s="15" t="inlineStr">
        <is>
          <t xml:space="preserve">Isaiah</t>
        </is>
      </c>
      <c r="G351" s="15" t="inlineStr">
        <is>
          <t xml:space="preserve">Isaiah 59</t>
        </is>
      </c>
      <c r="H351" s="15" t="inlineStr">
        <is>
          <t xml:space="preserve">Primary Account</t>
        </is>
      </c>
      <c r="I351" s="15"/>
      <c r="J351" s="15" t="inlineStr">
        <is>
          <t xml:space="preserve">Required</t>
        </is>
      </c>
      <c r="K351" s="15" t="inlineStr">
        <is>
          <t xml:space="preserve">Include</t>
        </is>
      </c>
      <c r="L351" s="15" t="inlineStr">
        <is>
          <t xml:space="preserve">Debated</t>
        </is>
      </c>
      <c r="M351" s="15" t="inlineStr">
        <is>
          <t xml:space="preserve">Probable</t>
        </is>
      </c>
      <c r="N351" s="15" t="inlineStr">
        <is>
          <t xml:space="preserve">Future Ezra-Nehemiah node</t>
        </is>
      </c>
      <c r="O351" s="15"/>
      <c r="P351" s="15"/>
      <c r="Q351" s="15" t="inlineStr">
        <is>
          <t xml:space="preserve">S2; S4; S7</t>
        </is>
      </c>
      <c r="R351" s="11" t="inlineStr">
        <is>
          <t xml:space="preserve">Not reviewed</t>
        </is>
      </c>
      <c r="S351" s="15" t="inlineStr">
        <is>
          <t xml:space="preserve">Isaiah 59 is treated as a distinct literary unit within the post-exilic horizon.</t>
        </is>
      </c>
    </row>
    <row r="352" ht="34" customHeight="1">
      <c r="A352" s="15" t="inlineStr">
        <is>
          <t xml:space="preserve">v0.4</t>
        </is>
      </c>
      <c r="B352" s="15" t="inlineStr">
        <is>
          <t xml:space="preserve">Bible_Journey_Canon_Map_v0_4_Prophets_Exile.xlsx</t>
        </is>
      </c>
      <c r="C352" s="15" t="inlineStr">
        <is>
          <t xml:space="preserve">RB-04-052</t>
        </is>
      </c>
      <c r="D352" s="15" t="inlineStr">
        <is>
          <t xml:space="preserve">CRS-04-050</t>
        </is>
      </c>
      <c r="E352" s="15">
        <v>50</v>
      </c>
      <c r="F352" s="15" t="inlineStr">
        <is>
          <t xml:space="preserve">Isaiah</t>
        </is>
      </c>
      <c r="G352" s="15" t="inlineStr">
        <is>
          <t xml:space="preserve">Isaiah 60-62</t>
        </is>
      </c>
      <c r="H352" s="15" t="inlineStr">
        <is>
          <t xml:space="preserve">Primary Account</t>
        </is>
      </c>
      <c r="I352" s="15"/>
      <c r="J352" s="15" t="inlineStr">
        <is>
          <t xml:space="preserve">Required</t>
        </is>
      </c>
      <c r="K352" s="15" t="inlineStr">
        <is>
          <t xml:space="preserve">Include</t>
        </is>
      </c>
      <c r="L352" s="15" t="inlineStr">
        <is>
          <t xml:space="preserve">Debated</t>
        </is>
      </c>
      <c r="M352" s="15" t="inlineStr">
        <is>
          <t xml:space="preserve">Probable</t>
        </is>
      </c>
      <c r="N352" s="15" t="inlineStr">
        <is>
          <t xml:space="preserve">Future Ezra-Nehemiah node</t>
        </is>
      </c>
      <c r="O352" s="15"/>
      <c r="P352" s="15"/>
      <c r="Q352" s="15" t="inlineStr">
        <is>
          <t xml:space="preserve">S2; S4; S7</t>
        </is>
      </c>
      <c r="R352" s="11" t="inlineStr">
        <is>
          <t xml:space="preserve">Not reviewed</t>
        </is>
      </c>
      <c r="S352" s="15" t="inlineStr">
        <is>
          <t xml:space="preserve">Isaiah 60-62 is presented as a coherent restoration block.</t>
        </is>
      </c>
    </row>
    <row r="353" ht="34" customHeight="1">
      <c r="A353" s="15" t="inlineStr">
        <is>
          <t xml:space="preserve">v0.4</t>
        </is>
      </c>
      <c r="B353" s="15" t="inlineStr">
        <is>
          <t xml:space="preserve">Bible_Journey_Canon_Map_v0_4_Prophets_Exile.xlsx</t>
        </is>
      </c>
      <c r="C353" s="15" t="inlineStr">
        <is>
          <t xml:space="preserve">RB-04-053</t>
        </is>
      </c>
      <c r="D353" s="15" t="inlineStr">
        <is>
          <t xml:space="preserve">CRS-04-051</t>
        </is>
      </c>
      <c r="E353" s="15">
        <v>51</v>
      </c>
      <c r="F353" s="15" t="inlineStr">
        <is>
          <t xml:space="preserve">Isaiah</t>
        </is>
      </c>
      <c r="G353" s="15" t="inlineStr">
        <is>
          <t xml:space="preserve">Isaiah 63-66</t>
        </is>
      </c>
      <c r="H353" s="15" t="inlineStr">
        <is>
          <t xml:space="preserve">Primary Account</t>
        </is>
      </c>
      <c r="I353" s="15"/>
      <c r="J353" s="15" t="inlineStr">
        <is>
          <t xml:space="preserve">Required</t>
        </is>
      </c>
      <c r="K353" s="15" t="inlineStr">
        <is>
          <t xml:space="preserve">Include</t>
        </is>
      </c>
      <c r="L353" s="15" t="inlineStr">
        <is>
          <t xml:space="preserve">Debated</t>
        </is>
      </c>
      <c r="M353" s="15" t="inlineStr">
        <is>
          <t xml:space="preserve">Probable</t>
        </is>
      </c>
      <c r="N353" s="15" t="inlineStr">
        <is>
          <t xml:space="preserve">Future Ezra-Nehemiah node</t>
        </is>
      </c>
      <c r="O353" s="15"/>
      <c r="P353" s="15"/>
      <c r="Q353" s="15" t="inlineStr">
        <is>
          <t xml:space="preserve">S2; S4; S7</t>
        </is>
      </c>
      <c r="R353" s="11" t="inlineStr">
        <is>
          <t xml:space="preserve">Not reviewed</t>
        </is>
      </c>
      <c r="S353" s="15" t="inlineStr">
        <is>
          <t xml:space="preserve">Isaiah 63-66 closes the book in the post-exilic horizon under the same transparent uncertainty model.</t>
        </is>
      </c>
    </row>
    <row r="354" ht="34" customHeight="1">
      <c r="A354" s="15" t="inlineStr">
        <is>
          <t xml:space="preserve">v0.4</t>
        </is>
      </c>
      <c r="B354" s="15" t="inlineStr">
        <is>
          <t xml:space="preserve">Bible_Journey_Canon_Map_v0_4_Prophets_Exile.xlsx</t>
        </is>
      </c>
      <c r="C354" s="15" t="inlineStr">
        <is>
          <t xml:space="preserve">RB-04-054</t>
        </is>
      </c>
      <c r="D354" s="15" t="inlineStr">
        <is>
          <t xml:space="preserve">CRS-04-052</t>
        </is>
      </c>
      <c r="E354" s="15">
        <v>52</v>
      </c>
      <c r="F354" s="15" t="inlineStr">
        <is>
          <t xml:space="preserve">Joel</t>
        </is>
      </c>
      <c r="G354" s="15" t="inlineStr">
        <is>
          <t xml:space="preserve">Joel 1-3</t>
        </is>
      </c>
      <c r="H354" s="15" t="inlineStr">
        <is>
          <t xml:space="preserve">Primary Account</t>
        </is>
      </c>
      <c r="I354" s="15"/>
      <c r="J354" s="15" t="inlineStr">
        <is>
          <t xml:space="preserve">Required</t>
        </is>
      </c>
      <c r="K354" s="15" t="inlineStr">
        <is>
          <t xml:space="preserve">Include</t>
        </is>
      </c>
      <c r="L354" s="15" t="inlineStr">
        <is>
          <t xml:space="preserve">Debated</t>
        </is>
      </c>
      <c r="M354" s="15" t="inlineStr">
        <is>
          <t xml:space="preserve">Debated</t>
        </is>
      </c>
      <c r="N354" s="15" t="inlineStr">
        <is>
          <t xml:space="preserve">Future post-exilic node</t>
        </is>
      </c>
      <c r="O354" s="15"/>
      <c r="P354" s="15"/>
      <c r="Q354" s="15" t="inlineStr">
        <is>
          <t xml:space="preserve">S7</t>
        </is>
      </c>
      <c r="R354" s="11" t="inlineStr">
        <is>
          <t xml:space="preserve">Not reviewed</t>
        </is>
      </c>
      <c r="S354" s="15" t="inlineStr">
        <is>
          <t xml:space="preserve">Joel is placed in a dedicated transparent study node because its date is debated. This version uses a post-exilic study arrangement but exposes alternatives in the context panel.</t>
        </is>
      </c>
    </row>
    <row r="355" ht="34" customHeight="1">
      <c r="A355" s="15" t="inlineStr">
        <is>
          <t xml:space="preserve">v0.5</t>
        </is>
      </c>
      <c r="B355" s="15" t="inlineStr">
        <is>
          <t xml:space="preserve">Bible_Journey_Canon_Map_v0_5_Exile_Return_Persia.xlsx</t>
        </is>
      </c>
      <c r="C355" s="15" t="inlineStr">
        <is>
          <t xml:space="preserve">BLK-05-001</t>
        </is>
      </c>
      <c r="D355" s="15" t="inlineStr">
        <is>
          <t xml:space="preserve">CRS-05-001</t>
        </is>
      </c>
      <c r="E355" s="15">
        <v>1</v>
      </c>
      <c r="F355" s="15" t="inlineStr">
        <is>
          <t xml:space="preserve">Habakkuk</t>
        </is>
      </c>
      <c r="G355" s="15" t="inlineStr">
        <is>
          <t xml:space="preserve">Habakkuk 1-3</t>
        </is>
      </c>
      <c r="H355" s="15" t="inlineStr">
        <is>
          <t xml:space="preserve">Prophetic Context</t>
        </is>
      </c>
      <c r="I355" s="15"/>
      <c r="J355" s="15" t="inlineStr">
        <is>
          <t xml:space="preserve">Yes</t>
        </is>
      </c>
      <c r="K355" s="15" t="inlineStr">
        <is>
          <t xml:space="preserve">Yes</t>
        </is>
      </c>
      <c r="L355" s="15" t="inlineStr">
        <is>
          <t xml:space="preserve">Probable</t>
        </is>
      </c>
      <c r="M355" s="15" t="inlineStr">
        <is>
          <t xml:space="preserve">Probable</t>
        </is>
      </c>
      <c r="N355" s="15" t="inlineStr">
        <is>
          <t xml:space="preserve">Habakkuk</t>
        </is>
      </c>
      <c r="O355" s="15"/>
      <c r="P355" s="15" t="inlineStr">
        <is>
          <t xml:space="preserve">3:end</t>
        </is>
      </c>
      <c r="Q355" s="15" t="inlineStr">
        <is>
          <t xml:space="preserve">SRC-01</t>
        </is>
      </c>
      <c r="R355" s="15"/>
      <c r="S355" s="15" t="inlineStr">
        <is>
          <t xml:space="preserve">Review placement with v0.4 late-monarchy ledger.</t>
        </is>
      </c>
    </row>
    <row r="356" ht="34" customHeight="1">
      <c r="A356" s="15" t="inlineStr">
        <is>
          <t xml:space="preserve">v0.5</t>
        </is>
      </c>
      <c r="B356" s="15" t="inlineStr">
        <is>
          <t xml:space="preserve">Bible_Journey_Canon_Map_v0_5_Exile_Return_Persia.xlsx</t>
        </is>
      </c>
      <c r="C356" s="15" t="inlineStr">
        <is>
          <t xml:space="preserve">BLK-05-002</t>
        </is>
      </c>
      <c r="D356" s="15" t="inlineStr">
        <is>
          <t xml:space="preserve">CRS-05-002</t>
        </is>
      </c>
      <c r="E356" s="15">
        <v>1</v>
      </c>
      <c r="F356" s="15" t="inlineStr">
        <is>
          <t xml:space="preserve">Daniel</t>
        </is>
      </c>
      <c r="G356" s="15" t="inlineStr">
        <is>
          <t xml:space="preserve">Daniel 1</t>
        </is>
      </c>
      <c r="H356" s="15" t="inlineStr">
        <is>
          <t xml:space="preserve">Primary Account</t>
        </is>
      </c>
      <c r="I356" s="15"/>
      <c r="J356" s="15" t="inlineStr">
        <is>
          <t xml:space="preserve">Yes</t>
        </is>
      </c>
      <c r="K356" s="15" t="inlineStr">
        <is>
          <t xml:space="preserve">Yes</t>
        </is>
      </c>
      <c r="L356" s="15" t="inlineStr">
        <is>
          <t xml:space="preserve">High</t>
        </is>
      </c>
      <c r="M356" s="15" t="inlineStr">
        <is>
          <t xml:space="preserve">Debated</t>
        </is>
      </c>
      <c r="N356" s="15" t="inlineStr">
        <is>
          <t xml:space="preserve">Narrative setting used; composition layer separate.</t>
        </is>
      </c>
      <c r="O356" s="15"/>
      <c r="P356" s="15" t="inlineStr">
        <is>
          <t xml:space="preserve">1:end</t>
        </is>
      </c>
      <c r="Q356" s="15" t="inlineStr">
        <is>
          <t xml:space="preserve">SRC-05; SRC-06</t>
        </is>
      </c>
      <c r="R356" s="15"/>
      <c r="S356" s="15" t="inlineStr">
        <is>
          <t xml:space="preserve">Do not present composition date as a biblical event date.</t>
        </is>
      </c>
    </row>
    <row r="357" ht="34" customHeight="1">
      <c r="A357" s="15" t="inlineStr">
        <is>
          <t xml:space="preserve">v0.5</t>
        </is>
      </c>
      <c r="B357" s="15" t="inlineStr">
        <is>
          <t xml:space="preserve">Bible_Journey_Canon_Map_v0_5_Exile_Return_Persia.xlsx</t>
        </is>
      </c>
      <c r="C357" s="15" t="inlineStr">
        <is>
          <t xml:space="preserve">BLK-05-003</t>
        </is>
      </c>
      <c r="D357" s="15" t="inlineStr">
        <is>
          <t xml:space="preserve">CRS-05-003</t>
        </is>
      </c>
      <c r="E357" s="15">
        <v>1</v>
      </c>
      <c r="F357" s="15" t="inlineStr">
        <is>
          <t xml:space="preserve">Daniel</t>
        </is>
      </c>
      <c r="G357" s="15" t="inlineStr">
        <is>
          <t xml:space="preserve">Daniel 2-4</t>
        </is>
      </c>
      <c r="H357" s="15" t="inlineStr">
        <is>
          <t xml:space="preserve">Primary Account</t>
        </is>
      </c>
      <c r="I357" s="15"/>
      <c r="J357" s="15" t="inlineStr">
        <is>
          <t xml:space="preserve">Yes</t>
        </is>
      </c>
      <c r="K357" s="15" t="inlineStr">
        <is>
          <t xml:space="preserve">Yes</t>
        </is>
      </c>
      <c r="L357" s="15" t="inlineStr">
        <is>
          <t xml:space="preserve">Probable</t>
        </is>
      </c>
      <c r="M357" s="15" t="inlineStr">
        <is>
          <t xml:space="preserve">Debated</t>
        </is>
      </c>
      <c r="N357" s="15" t="inlineStr">
        <is>
          <t xml:space="preserve">Narrative setting used; composition layer separate.</t>
        </is>
      </c>
      <c r="O357" s="15"/>
      <c r="P357" s="15" t="inlineStr">
        <is>
          <t xml:space="preserve">4:end</t>
        </is>
      </c>
      <c r="Q357" s="15" t="inlineStr">
        <is>
          <t xml:space="preserve">SRC-05; SRC-06</t>
        </is>
      </c>
      <c r="R357" s="15"/>
      <c r="S357" s="15" t="inlineStr">
        <is>
          <t xml:space="preserve">Wide event window, not a precise date.</t>
        </is>
      </c>
    </row>
    <row r="358" ht="34" customHeight="1">
      <c r="A358" s="15" t="inlineStr">
        <is>
          <t xml:space="preserve">v0.5</t>
        </is>
      </c>
      <c r="B358" s="15" t="inlineStr">
        <is>
          <t xml:space="preserve">Bible_Journey_Canon_Map_v0_5_Exile_Return_Persia.xlsx</t>
        </is>
      </c>
      <c r="C358" s="15" t="inlineStr">
        <is>
          <t xml:space="preserve">BLK-05-004</t>
        </is>
      </c>
      <c r="D358" s="15" t="inlineStr">
        <is>
          <t xml:space="preserve">CRS-05-004</t>
        </is>
      </c>
      <c r="E358" s="15">
        <v>1</v>
      </c>
      <c r="F358" s="15" t="inlineStr">
        <is>
          <t xml:space="preserve">Ezekiel</t>
        </is>
      </c>
      <c r="G358" s="15" t="inlineStr">
        <is>
          <t xml:space="preserve">Ezekiel 1-3:15</t>
        </is>
      </c>
      <c r="H358" s="15" t="inlineStr">
        <is>
          <t xml:space="preserve">Primary Account</t>
        </is>
      </c>
      <c r="I358" s="15"/>
      <c r="J358" s="15" t="inlineStr">
        <is>
          <t xml:space="preserve">Yes</t>
        </is>
      </c>
      <c r="K358" s="15" t="inlineStr">
        <is>
          <t xml:space="preserve">Yes</t>
        </is>
      </c>
      <c r="L358" s="15" t="inlineStr">
        <is>
          <t xml:space="preserve">High</t>
        </is>
      </c>
      <c r="M358" s="15" t="inlineStr">
        <is>
          <t xml:space="preserve">High</t>
        </is>
      </c>
      <c r="N358" s="15" t="inlineStr">
        <is>
          <t xml:space="preserve">Ezekiel</t>
        </is>
      </c>
      <c r="O358" s="15"/>
      <c r="P358" s="15" t="inlineStr">
        <is>
          <t xml:space="preserve">3:15</t>
        </is>
      </c>
      <c r="Q358" s="15" t="inlineStr">
        <is>
          <t xml:space="preserve">SRC-03</t>
        </is>
      </c>
      <c r="R358" s="15"/>
      <c r="S358" s="15"/>
    </row>
    <row r="359" ht="34" customHeight="1">
      <c r="A359" s="15" t="inlineStr">
        <is>
          <t xml:space="preserve">v0.5</t>
        </is>
      </c>
      <c r="B359" s="15" t="inlineStr">
        <is>
          <t xml:space="preserve">Bible_Journey_Canon_Map_v0_5_Exile_Return_Persia.xlsx</t>
        </is>
      </c>
      <c r="C359" s="15" t="inlineStr">
        <is>
          <t xml:space="preserve">BLK-05-005</t>
        </is>
      </c>
      <c r="D359" s="15" t="inlineStr">
        <is>
          <t xml:space="preserve">CRS-05-005</t>
        </is>
      </c>
      <c r="E359" s="15">
        <v>1</v>
      </c>
      <c r="F359" s="15" t="inlineStr">
        <is>
          <t xml:space="preserve">Ezekiel</t>
        </is>
      </c>
      <c r="G359" s="15" t="inlineStr">
        <is>
          <t xml:space="preserve">Ezekiel 3:16-7</t>
        </is>
      </c>
      <c r="H359" s="15" t="inlineStr">
        <is>
          <t xml:space="preserve">Primary Account</t>
        </is>
      </c>
      <c r="I359" s="15"/>
      <c r="J359" s="15" t="inlineStr">
        <is>
          <t xml:space="preserve">Yes</t>
        </is>
      </c>
      <c r="K359" s="15" t="inlineStr">
        <is>
          <t xml:space="preserve">Yes</t>
        </is>
      </c>
      <c r="L359" s="15" t="inlineStr">
        <is>
          <t xml:space="preserve">High</t>
        </is>
      </c>
      <c r="M359" s="15" t="inlineStr">
        <is>
          <t xml:space="preserve">High</t>
        </is>
      </c>
      <c r="N359" s="15" t="inlineStr">
        <is>
          <t xml:space="preserve">Chapter 3 split.</t>
        </is>
      </c>
      <c r="O359" s="15"/>
      <c r="P359" s="15" t="inlineStr">
        <is>
          <t xml:space="preserve">7:end</t>
        </is>
      </c>
      <c r="Q359" s="15" t="inlineStr">
        <is>
          <t xml:space="preserve">SRC-03</t>
        </is>
      </c>
      <c r="R359" s="15"/>
      <c r="S359" s="15"/>
    </row>
    <row r="360" ht="34" customHeight="1">
      <c r="A360" s="15" t="inlineStr">
        <is>
          <t xml:space="preserve">v0.5</t>
        </is>
      </c>
      <c r="B360" s="15" t="inlineStr">
        <is>
          <t xml:space="preserve">Bible_Journey_Canon_Map_v0_5_Exile_Return_Persia.xlsx</t>
        </is>
      </c>
      <c r="C360" s="15" t="inlineStr">
        <is>
          <t xml:space="preserve">BLK-05-006</t>
        </is>
      </c>
      <c r="D360" s="15" t="inlineStr">
        <is>
          <t xml:space="preserve">CRS-05-006</t>
        </is>
      </c>
      <c r="E360" s="15">
        <v>1</v>
      </c>
      <c r="F360" s="15" t="inlineStr">
        <is>
          <t xml:space="preserve">Ezekiel</t>
        </is>
      </c>
      <c r="G360" s="15" t="inlineStr">
        <is>
          <t xml:space="preserve">Ezekiel 8-11</t>
        </is>
      </c>
      <c r="H360" s="15" t="inlineStr">
        <is>
          <t xml:space="preserve">Primary Account</t>
        </is>
      </c>
      <c r="I360" s="15"/>
      <c r="J360" s="15" t="inlineStr">
        <is>
          <t xml:space="preserve">Yes</t>
        </is>
      </c>
      <c r="K360" s="15" t="inlineStr">
        <is>
          <t xml:space="preserve">Yes</t>
        </is>
      </c>
      <c r="L360" s="15" t="inlineStr">
        <is>
          <t xml:space="preserve">High</t>
        </is>
      </c>
      <c r="M360" s="15" t="inlineStr">
        <is>
          <t xml:space="preserve">High</t>
        </is>
      </c>
      <c r="N360" s="15" t="inlineStr">
        <is>
          <t xml:space="preserve">Ezekiel</t>
        </is>
      </c>
      <c r="O360" s="15"/>
      <c r="P360" s="15" t="inlineStr">
        <is>
          <t xml:space="preserve">11:end</t>
        </is>
      </c>
      <c r="Q360" s="15" t="inlineStr">
        <is>
          <t xml:space="preserve">SRC-03</t>
        </is>
      </c>
      <c r="R360" s="15"/>
      <c r="S360" s="15"/>
    </row>
    <row r="361" ht="34" customHeight="1">
      <c r="A361" s="15" t="inlineStr">
        <is>
          <t xml:space="preserve">v0.5</t>
        </is>
      </c>
      <c r="B361" s="15" t="inlineStr">
        <is>
          <t xml:space="preserve">Bible_Journey_Canon_Map_v0_5_Exile_Return_Persia.xlsx</t>
        </is>
      </c>
      <c r="C361" s="15" t="inlineStr">
        <is>
          <t xml:space="preserve">BLK-05-007</t>
        </is>
      </c>
      <c r="D361" s="15" t="inlineStr">
        <is>
          <t xml:space="preserve">CRS-05-007</t>
        </is>
      </c>
      <c r="E361" s="15">
        <v>1</v>
      </c>
      <c r="F361" s="15" t="inlineStr">
        <is>
          <t xml:space="preserve">Ezekiel</t>
        </is>
      </c>
      <c r="G361" s="15" t="inlineStr">
        <is>
          <t xml:space="preserve">Ezekiel 12-19</t>
        </is>
      </c>
      <c r="H361" s="15" t="inlineStr">
        <is>
          <t xml:space="preserve">Primary Account</t>
        </is>
      </c>
      <c r="I361" s="15"/>
      <c r="J361" s="15" t="inlineStr">
        <is>
          <t xml:space="preserve">Yes</t>
        </is>
      </c>
      <c r="K361" s="15" t="inlineStr">
        <is>
          <t xml:space="preserve">Yes</t>
        </is>
      </c>
      <c r="L361" s="15" t="inlineStr">
        <is>
          <t xml:space="preserve">Probable</t>
        </is>
      </c>
      <c r="M361" s="15" t="inlineStr">
        <is>
          <t xml:space="preserve">Probable</t>
        </is>
      </c>
      <c r="N361" s="15" t="inlineStr">
        <is>
          <t xml:space="preserve">Ezekiel</t>
        </is>
      </c>
      <c r="O361" s="15"/>
      <c r="P361" s="15" t="inlineStr">
        <is>
          <t xml:space="preserve">19:end</t>
        </is>
      </c>
      <c r="Q361" s="15" t="inlineStr">
        <is>
          <t xml:space="preserve">SRC-03</t>
        </is>
      </c>
      <c r="R361" s="15"/>
      <c r="S361" s="15"/>
    </row>
    <row r="362" ht="34" customHeight="1">
      <c r="A362" s="15" t="inlineStr">
        <is>
          <t xml:space="preserve">v0.5</t>
        </is>
      </c>
      <c r="B362" s="15" t="inlineStr">
        <is>
          <t xml:space="preserve">Bible_Journey_Canon_Map_v0_5_Exile_Return_Persia.xlsx</t>
        </is>
      </c>
      <c r="C362" s="15" t="inlineStr">
        <is>
          <t xml:space="preserve">BLK-05-008</t>
        </is>
      </c>
      <c r="D362" s="15" t="inlineStr">
        <is>
          <t xml:space="preserve">CRS-05-008</t>
        </is>
      </c>
      <c r="E362" s="15">
        <v>1</v>
      </c>
      <c r="F362" s="15" t="inlineStr">
        <is>
          <t xml:space="preserve">Ezekiel</t>
        </is>
      </c>
      <c r="G362" s="15" t="inlineStr">
        <is>
          <t xml:space="preserve">Ezekiel 20-24</t>
        </is>
      </c>
      <c r="H362" s="15" t="inlineStr">
        <is>
          <t xml:space="preserve">Primary Account</t>
        </is>
      </c>
      <c r="I362" s="15"/>
      <c r="J362" s="15" t="inlineStr">
        <is>
          <t xml:space="preserve">Yes</t>
        </is>
      </c>
      <c r="K362" s="15" t="inlineStr">
        <is>
          <t xml:space="preserve">Yes</t>
        </is>
      </c>
      <c r="L362" s="15" t="inlineStr">
        <is>
          <t xml:space="preserve">High</t>
        </is>
      </c>
      <c r="M362" s="15" t="inlineStr">
        <is>
          <t xml:space="preserve">Probable</t>
        </is>
      </c>
      <c r="N362" s="15" t="inlineStr">
        <is>
          <t xml:space="preserve">Ezekiel</t>
        </is>
      </c>
      <c r="O362" s="15"/>
      <c r="P362" s="15" t="inlineStr">
        <is>
          <t xml:space="preserve">24:end</t>
        </is>
      </c>
      <c r="Q362" s="15" t="inlineStr">
        <is>
          <t xml:space="preserve">SRC-03</t>
        </is>
      </c>
      <c r="R362" s="15"/>
      <c r="S362" s="15"/>
    </row>
    <row r="363" ht="34" customHeight="1">
      <c r="A363" s="15" t="inlineStr">
        <is>
          <t xml:space="preserve">v0.5</t>
        </is>
      </c>
      <c r="B363" s="15" t="inlineStr">
        <is>
          <t xml:space="preserve">Bible_Journey_Canon_Map_v0_5_Exile_Return_Persia.xlsx</t>
        </is>
      </c>
      <c r="C363" s="15" t="inlineStr">
        <is>
          <t xml:space="preserve">BLK-05-009</t>
        </is>
      </c>
      <c r="D363" s="15" t="inlineStr">
        <is>
          <t xml:space="preserve">CRS-05-009</t>
        </is>
      </c>
      <c r="E363" s="15">
        <v>1</v>
      </c>
      <c r="F363" s="15" t="inlineStr">
        <is>
          <t xml:space="preserve">Ezekiel</t>
        </is>
      </c>
      <c r="G363" s="15" t="inlineStr">
        <is>
          <t xml:space="preserve">Ezekiel 25-28</t>
        </is>
      </c>
      <c r="H363" s="15" t="inlineStr">
        <is>
          <t xml:space="preserve">Primary Account</t>
        </is>
      </c>
      <c r="I363" s="15"/>
      <c r="J363" s="15" t="inlineStr">
        <is>
          <t xml:space="preserve">Yes</t>
        </is>
      </c>
      <c r="K363" s="15" t="inlineStr">
        <is>
          <t xml:space="preserve">Yes</t>
        </is>
      </c>
      <c r="L363" s="15" t="inlineStr">
        <is>
          <t xml:space="preserve">Probable</t>
        </is>
      </c>
      <c r="M363" s="15" t="inlineStr">
        <is>
          <t xml:space="preserve">Probable</t>
        </is>
      </c>
      <c r="N363" s="15" t="inlineStr">
        <is>
          <t xml:space="preserve">Ezekiel</t>
        </is>
      </c>
      <c r="O363" s="15"/>
      <c r="P363" s="15" t="inlineStr">
        <is>
          <t xml:space="preserve">28:end</t>
        </is>
      </c>
      <c r="Q363" s="15" t="inlineStr">
        <is>
          <t xml:space="preserve">SRC-03</t>
        </is>
      </c>
      <c r="R363" s="15"/>
      <c r="S363" s="15"/>
    </row>
    <row r="364" ht="34" customHeight="1">
      <c r="A364" s="15" t="inlineStr">
        <is>
          <t xml:space="preserve">v0.5</t>
        </is>
      </c>
      <c r="B364" s="15" t="inlineStr">
        <is>
          <t xml:space="preserve">Bible_Journey_Canon_Map_v0_5_Exile_Return_Persia.xlsx</t>
        </is>
      </c>
      <c r="C364" s="15" t="inlineStr">
        <is>
          <t xml:space="preserve">BLK-05-010</t>
        </is>
      </c>
      <c r="D364" s="15" t="inlineStr">
        <is>
          <t xml:space="preserve">CRS-05-010</t>
        </is>
      </c>
      <c r="E364" s="15">
        <v>1</v>
      </c>
      <c r="F364" s="15" t="inlineStr">
        <is>
          <t xml:space="preserve">Ezekiel</t>
        </is>
      </c>
      <c r="G364" s="15" t="inlineStr">
        <is>
          <t xml:space="preserve">Ezekiel 29:1-16</t>
        </is>
      </c>
      <c r="H364" s="15" t="inlineStr">
        <is>
          <t xml:space="preserve">Primary Account</t>
        </is>
      </c>
      <c r="I364" s="15"/>
      <c r="J364" s="15" t="inlineStr">
        <is>
          <t xml:space="preserve">Yes</t>
        </is>
      </c>
      <c r="K364" s="15" t="inlineStr">
        <is>
          <t xml:space="preserve">Yes</t>
        </is>
      </c>
      <c r="L364" s="15" t="inlineStr">
        <is>
          <t xml:space="preserve">High</t>
        </is>
      </c>
      <c r="M364" s="15" t="inlineStr">
        <is>
          <t xml:space="preserve">High</t>
        </is>
      </c>
      <c r="N364" s="15" t="inlineStr">
        <is>
          <t xml:space="preserve">Chapter 29 split.</t>
        </is>
      </c>
      <c r="O364" s="15"/>
      <c r="P364" s="15" t="inlineStr">
        <is>
          <t xml:space="preserve">29:16</t>
        </is>
      </c>
      <c r="Q364" s="15" t="inlineStr">
        <is>
          <t xml:space="preserve">SRC-03</t>
        </is>
      </c>
      <c r="R364" s="15"/>
      <c r="S364" s="15"/>
    </row>
    <row r="365" ht="34" customHeight="1">
      <c r="A365" s="15" t="inlineStr">
        <is>
          <t xml:space="preserve">v0.5</t>
        </is>
      </c>
      <c r="B365" s="15" t="inlineStr">
        <is>
          <t xml:space="preserve">Bible_Journey_Canon_Map_v0_5_Exile_Return_Persia.xlsx</t>
        </is>
      </c>
      <c r="C365" s="15" t="inlineStr">
        <is>
          <t xml:space="preserve">BLK-05-011</t>
        </is>
      </c>
      <c r="D365" s="15" t="inlineStr">
        <is>
          <t xml:space="preserve">CRS-05-011</t>
        </is>
      </c>
      <c r="E365" s="15">
        <v>1</v>
      </c>
      <c r="F365" s="15" t="inlineStr">
        <is>
          <t xml:space="preserve">Ezekiel</t>
        </is>
      </c>
      <c r="G365" s="15" t="inlineStr">
        <is>
          <t xml:space="preserve">Ezekiel 30-31</t>
        </is>
      </c>
      <c r="H365" s="15" t="inlineStr">
        <is>
          <t xml:space="preserve">Primary Account</t>
        </is>
      </c>
      <c r="I365" s="15"/>
      <c r="J365" s="15" t="inlineStr">
        <is>
          <t xml:space="preserve">Yes</t>
        </is>
      </c>
      <c r="K365" s="15" t="inlineStr">
        <is>
          <t xml:space="preserve">Yes</t>
        </is>
      </c>
      <c r="L365" s="15" t="inlineStr">
        <is>
          <t xml:space="preserve">Probable</t>
        </is>
      </c>
      <c r="M365" s="15" t="inlineStr">
        <is>
          <t xml:space="preserve">Probable</t>
        </is>
      </c>
      <c r="N365" s="15" t="inlineStr">
        <is>
          <t xml:space="preserve">Ezekiel</t>
        </is>
      </c>
      <c r="O365" s="15"/>
      <c r="P365" s="15" t="inlineStr">
        <is>
          <t xml:space="preserve">31:end</t>
        </is>
      </c>
      <c r="Q365" s="15" t="inlineStr">
        <is>
          <t xml:space="preserve">SRC-03</t>
        </is>
      </c>
      <c r="R365" s="15"/>
      <c r="S365" s="15"/>
    </row>
    <row r="366" ht="34" customHeight="1">
      <c r="A366" s="15" t="inlineStr">
        <is>
          <t xml:space="preserve">v0.5</t>
        </is>
      </c>
      <c r="B366" s="15" t="inlineStr">
        <is>
          <t xml:space="preserve">Bible_Journey_Canon_Map_v0_5_Exile_Return_Persia.xlsx</t>
        </is>
      </c>
      <c r="C366" s="15" t="inlineStr">
        <is>
          <t xml:space="preserve">BLK-05-012</t>
        </is>
      </c>
      <c r="D366" s="15" t="inlineStr">
        <is>
          <t xml:space="preserve">CRS-05-012</t>
        </is>
      </c>
      <c r="E366" s="15">
        <v>1</v>
      </c>
      <c r="F366" s="15" t="inlineStr">
        <is>
          <t xml:space="preserve">Ezekiel</t>
        </is>
      </c>
      <c r="G366" s="15" t="inlineStr">
        <is>
          <t xml:space="preserve">Ezekiel 32</t>
        </is>
      </c>
      <c r="H366" s="15" t="inlineStr">
        <is>
          <t xml:space="preserve">Primary Account</t>
        </is>
      </c>
      <c r="I366" s="15"/>
      <c r="J366" s="15" t="inlineStr">
        <is>
          <t xml:space="preserve">Yes</t>
        </is>
      </c>
      <c r="K366" s="15" t="inlineStr">
        <is>
          <t xml:space="preserve">Yes</t>
        </is>
      </c>
      <c r="L366" s="15" t="inlineStr">
        <is>
          <t xml:space="preserve">High</t>
        </is>
      </c>
      <c r="M366" s="15" t="inlineStr">
        <is>
          <t xml:space="preserve">High</t>
        </is>
      </c>
      <c r="N366" s="15" t="inlineStr">
        <is>
          <t xml:space="preserve">Ezekiel</t>
        </is>
      </c>
      <c r="O366" s="15"/>
      <c r="P366" s="15" t="inlineStr">
        <is>
          <t xml:space="preserve">32:end</t>
        </is>
      </c>
      <c r="Q366" s="15" t="inlineStr">
        <is>
          <t xml:space="preserve">SRC-03</t>
        </is>
      </c>
      <c r="R366" s="15"/>
      <c r="S366" s="15"/>
    </row>
    <row r="367" ht="34" customHeight="1">
      <c r="A367" s="15" t="inlineStr">
        <is>
          <t xml:space="preserve">v0.5</t>
        </is>
      </c>
      <c r="B367" s="15" t="inlineStr">
        <is>
          <t xml:space="preserve">Bible_Journey_Canon_Map_v0_5_Exile_Return_Persia.xlsx</t>
        </is>
      </c>
      <c r="C367" s="15" t="inlineStr">
        <is>
          <t xml:space="preserve">BLK-05-013</t>
        </is>
      </c>
      <c r="D367" s="15" t="inlineStr">
        <is>
          <t xml:space="preserve">CRS-05-013</t>
        </is>
      </c>
      <c r="E367" s="15">
        <v>1</v>
      </c>
      <c r="F367" s="15" t="inlineStr">
        <is>
          <t xml:space="preserve">Ezekiel</t>
        </is>
      </c>
      <c r="G367" s="15" t="inlineStr">
        <is>
          <t xml:space="preserve">Ezekiel 33:1-20</t>
        </is>
      </c>
      <c r="H367" s="15" t="inlineStr">
        <is>
          <t xml:space="preserve">Primary Account</t>
        </is>
      </c>
      <c r="I367" s="15"/>
      <c r="J367" s="15" t="inlineStr">
        <is>
          <t xml:space="preserve">Yes</t>
        </is>
      </c>
      <c r="K367" s="15" t="inlineStr">
        <is>
          <t xml:space="preserve">Yes</t>
        </is>
      </c>
      <c r="L367" s="15" t="inlineStr">
        <is>
          <t xml:space="preserve">Probable</t>
        </is>
      </c>
      <c r="M367" s="15" t="inlineStr">
        <is>
          <t xml:space="preserve">Probable</t>
        </is>
      </c>
      <c r="N367" s="15" t="inlineStr">
        <is>
          <t xml:space="preserve">Chapter 33 split.</t>
        </is>
      </c>
      <c r="O367" s="15"/>
      <c r="P367" s="15" t="inlineStr">
        <is>
          <t xml:space="preserve">33:20</t>
        </is>
      </c>
      <c r="Q367" s="15" t="inlineStr">
        <is>
          <t xml:space="preserve">SRC-03</t>
        </is>
      </c>
      <c r="R367" s="15"/>
      <c r="S367" s="15"/>
    </row>
    <row r="368" ht="34" customHeight="1">
      <c r="A368" s="15" t="inlineStr">
        <is>
          <t xml:space="preserve">v0.5</t>
        </is>
      </c>
      <c r="B368" s="15" t="inlineStr">
        <is>
          <t xml:space="preserve">Bible_Journey_Canon_Map_v0_5_Exile_Return_Persia.xlsx</t>
        </is>
      </c>
      <c r="C368" s="15" t="inlineStr">
        <is>
          <t xml:space="preserve">BLK-05-014</t>
        </is>
      </c>
      <c r="D368" s="15" t="inlineStr">
        <is>
          <t xml:space="preserve">CRS-05-014</t>
        </is>
      </c>
      <c r="E368" s="15">
        <v>1</v>
      </c>
      <c r="F368" s="15" t="inlineStr">
        <is>
          <t xml:space="preserve">Ezekiel</t>
        </is>
      </c>
      <c r="G368" s="15" t="inlineStr">
        <is>
          <t xml:space="preserve">Ezekiel 33:21-39</t>
        </is>
      </c>
      <c r="H368" s="15" t="inlineStr">
        <is>
          <t xml:space="preserve">Primary Account</t>
        </is>
      </c>
      <c r="I368" s="15"/>
      <c r="J368" s="15" t="inlineStr">
        <is>
          <t xml:space="preserve">Yes</t>
        </is>
      </c>
      <c r="K368" s="15" t="inlineStr">
        <is>
          <t xml:space="preserve">Yes</t>
        </is>
      </c>
      <c r="L368" s="15" t="inlineStr">
        <is>
          <t xml:space="preserve">High</t>
        </is>
      </c>
      <c r="M368" s="15" t="inlineStr">
        <is>
          <t xml:space="preserve">High</t>
        </is>
      </c>
      <c r="N368" s="15" t="inlineStr">
        <is>
          <t xml:space="preserve">Chapter 33 split.</t>
        </is>
      </c>
      <c r="O368" s="15"/>
      <c r="P368" s="15" t="inlineStr">
        <is>
          <t xml:space="preserve">39:end</t>
        </is>
      </c>
      <c r="Q368" s="15" t="inlineStr">
        <is>
          <t xml:space="preserve">SRC-03</t>
        </is>
      </c>
      <c r="R368" s="15"/>
      <c r="S368" s="15"/>
    </row>
    <row r="369" ht="34" customHeight="1">
      <c r="A369" s="15" t="inlineStr">
        <is>
          <t xml:space="preserve">v0.5</t>
        </is>
      </c>
      <c r="B369" s="15" t="inlineStr">
        <is>
          <t xml:space="preserve">Bible_Journey_Canon_Map_v0_5_Exile_Return_Persia.xlsx</t>
        </is>
      </c>
      <c r="C369" s="15" t="inlineStr">
        <is>
          <t xml:space="preserve">BLK-05-015</t>
        </is>
      </c>
      <c r="D369" s="15" t="inlineStr">
        <is>
          <t xml:space="preserve">CRS-05-015</t>
        </is>
      </c>
      <c r="E369" s="15">
        <v>1</v>
      </c>
      <c r="F369" s="15" t="inlineStr">
        <is>
          <t xml:space="preserve">Ezekiel</t>
        </is>
      </c>
      <c r="G369" s="15" t="inlineStr">
        <is>
          <t xml:space="preserve">Ezekiel 40-48</t>
        </is>
      </c>
      <c r="H369" s="15" t="inlineStr">
        <is>
          <t xml:space="preserve">Primary Account</t>
        </is>
      </c>
      <c r="I369" s="15"/>
      <c r="J369" s="15" t="inlineStr">
        <is>
          <t xml:space="preserve">Yes</t>
        </is>
      </c>
      <c r="K369" s="15" t="inlineStr">
        <is>
          <t xml:space="preserve">Yes</t>
        </is>
      </c>
      <c r="L369" s="15" t="inlineStr">
        <is>
          <t xml:space="preserve">High</t>
        </is>
      </c>
      <c r="M369" s="15" t="inlineStr">
        <is>
          <t xml:space="preserve">High</t>
        </is>
      </c>
      <c r="N369" s="15" t="inlineStr">
        <is>
          <t xml:space="preserve">Ezekiel</t>
        </is>
      </c>
      <c r="O369" s="15"/>
      <c r="P369" s="15" t="inlineStr">
        <is>
          <t xml:space="preserve">48:end</t>
        </is>
      </c>
      <c r="Q369" s="15" t="inlineStr">
        <is>
          <t xml:space="preserve">SRC-03; SRC-15</t>
        </is>
      </c>
      <c r="R369" s="15"/>
      <c r="S369" s="15"/>
    </row>
    <row r="370" ht="34" customHeight="1">
      <c r="A370" s="15" t="inlineStr">
        <is>
          <t xml:space="preserve">v0.5</t>
        </is>
      </c>
      <c r="B370" s="15" t="inlineStr">
        <is>
          <t xml:space="preserve">Bible_Journey_Canon_Map_v0_5_Exile_Return_Persia.xlsx</t>
        </is>
      </c>
      <c r="C370" s="15" t="inlineStr">
        <is>
          <t xml:space="preserve">BLK-05-016</t>
        </is>
      </c>
      <c r="D370" s="15" t="inlineStr">
        <is>
          <t xml:space="preserve">CRS-05-016</t>
        </is>
      </c>
      <c r="E370" s="15">
        <v>1</v>
      </c>
      <c r="F370" s="15" t="inlineStr">
        <is>
          <t xml:space="preserve">Ezekiel</t>
        </is>
      </c>
      <c r="G370" s="15" t="inlineStr">
        <is>
          <t xml:space="preserve">Ezekiel 29:17-21</t>
        </is>
      </c>
      <c r="H370" s="15" t="inlineStr">
        <is>
          <t xml:space="preserve">Primary Account</t>
        </is>
      </c>
      <c r="I370" s="15"/>
      <c r="J370" s="15" t="inlineStr">
        <is>
          <t xml:space="preserve">Yes</t>
        </is>
      </c>
      <c r="K370" s="15" t="inlineStr">
        <is>
          <t xml:space="preserve">Yes</t>
        </is>
      </c>
      <c r="L370" s="15" t="inlineStr">
        <is>
          <t xml:space="preserve">High</t>
        </is>
      </c>
      <c r="M370" s="15" t="inlineStr">
        <is>
          <t xml:space="preserve">High</t>
        </is>
      </c>
      <c r="N370" s="15" t="inlineStr">
        <is>
          <t xml:space="preserve">Book-order exception.</t>
        </is>
      </c>
      <c r="O370" s="15"/>
      <c r="P370" s="15" t="inlineStr">
        <is>
          <t xml:space="preserve">29:21</t>
        </is>
      </c>
      <c r="Q370" s="15" t="inlineStr">
        <is>
          <t xml:space="preserve">SRC-03</t>
        </is>
      </c>
      <c r="R370" s="15"/>
      <c r="S370" s="15" t="inlineStr">
        <is>
          <t xml:space="preserve">Display clear 'return to an earlier chapter' explanation.</t>
        </is>
      </c>
    </row>
    <row r="371" ht="34" customHeight="1">
      <c r="A371" s="15" t="inlineStr">
        <is>
          <t xml:space="preserve">v0.5</t>
        </is>
      </c>
      <c r="B371" s="15" t="inlineStr">
        <is>
          <t xml:space="preserve">Bible_Journey_Canon_Map_v0_5_Exile_Return_Persia.xlsx</t>
        </is>
      </c>
      <c r="C371" s="15" t="inlineStr">
        <is>
          <t xml:space="preserve">BLK-05-017</t>
        </is>
      </c>
      <c r="D371" s="15" t="inlineStr">
        <is>
          <t xml:space="preserve">CRS-05-017</t>
        </is>
      </c>
      <c r="E371" s="15">
        <v>1</v>
      </c>
      <c r="F371" s="15" t="inlineStr">
        <is>
          <t xml:space="preserve">Obadiah</t>
        </is>
      </c>
      <c r="G371" s="15" t="inlineStr">
        <is>
          <t xml:space="preserve">Obadiah 1</t>
        </is>
      </c>
      <c r="H371" s="15" t="inlineStr">
        <is>
          <t xml:space="preserve">Prophetic Context</t>
        </is>
      </c>
      <c r="I371" s="15"/>
      <c r="J371" s="15" t="inlineStr">
        <is>
          <t xml:space="preserve">Yes</t>
        </is>
      </c>
      <c r="K371" s="15" t="inlineStr">
        <is>
          <t xml:space="preserve">Yes</t>
        </is>
      </c>
      <c r="L371" s="15" t="inlineStr">
        <is>
          <t xml:space="preserve">Probable</t>
        </is>
      </c>
      <c r="M371" s="15" t="inlineStr">
        <is>
          <t xml:space="preserve">Probable</t>
        </is>
      </c>
      <c r="N371" s="15" t="inlineStr">
        <is>
          <t xml:space="preserve">Obadiah</t>
        </is>
      </c>
      <c r="O371" s="15"/>
      <c r="P371" s="15" t="inlineStr">
        <is>
          <t xml:space="preserve">1:end</t>
        </is>
      </c>
      <c r="Q371" s="15" t="inlineStr">
        <is>
          <t xml:space="preserve">SRC-02</t>
        </is>
      </c>
      <c r="R371" s="15"/>
      <c r="S371" s="15" t="inlineStr">
        <is>
          <t xml:space="preserve">Offer 'why placed here' note.</t>
        </is>
      </c>
    </row>
    <row r="372" ht="34" customHeight="1">
      <c r="A372" s="15" t="inlineStr">
        <is>
          <t xml:space="preserve">v0.5</t>
        </is>
      </c>
      <c r="B372" s="15" t="inlineStr">
        <is>
          <t xml:space="preserve">Bible_Journey_Canon_Map_v0_5_Exile_Return_Persia.xlsx</t>
        </is>
      </c>
      <c r="C372" s="15" t="inlineStr">
        <is>
          <t xml:space="preserve">BLK-05-018</t>
        </is>
      </c>
      <c r="D372" s="15" t="inlineStr">
        <is>
          <t xml:space="preserve">CRS-05-018</t>
        </is>
      </c>
      <c r="E372" s="15">
        <v>1</v>
      </c>
      <c r="F372" s="15" t="inlineStr">
        <is>
          <t xml:space="preserve">Daniel</t>
        </is>
      </c>
      <c r="G372" s="15" t="inlineStr">
        <is>
          <t xml:space="preserve">Daniel 7-8</t>
        </is>
      </c>
      <c r="H372" s="15" t="inlineStr">
        <is>
          <t xml:space="preserve">Primary Account</t>
        </is>
      </c>
      <c r="I372" s="15"/>
      <c r="J372" s="15" t="inlineStr">
        <is>
          <t xml:space="preserve">Yes</t>
        </is>
      </c>
      <c r="K372" s="15" t="inlineStr">
        <is>
          <t xml:space="preserve">Yes</t>
        </is>
      </c>
      <c r="L372" s="15" t="inlineStr">
        <is>
          <t xml:space="preserve">High</t>
        </is>
      </c>
      <c r="M372" s="15" t="inlineStr">
        <is>
          <t xml:space="preserve">Debated</t>
        </is>
      </c>
      <c r="N372" s="15" t="inlineStr">
        <is>
          <t xml:space="preserve">Narrative setting used; composition layer separate.</t>
        </is>
      </c>
      <c r="O372" s="15"/>
      <c r="P372" s="15" t="inlineStr">
        <is>
          <t xml:space="preserve">8:end</t>
        </is>
      </c>
      <c r="Q372" s="15" t="inlineStr">
        <is>
          <t xml:space="preserve">SRC-05; SRC-06</t>
        </is>
      </c>
      <c r="R372" s="15"/>
      <c r="S372" s="15"/>
    </row>
    <row r="373" ht="34" customHeight="1">
      <c r="A373" s="15" t="inlineStr">
        <is>
          <t xml:space="preserve">v0.5</t>
        </is>
      </c>
      <c r="B373" s="15" t="inlineStr">
        <is>
          <t xml:space="preserve">Bible_Journey_Canon_Map_v0_5_Exile_Return_Persia.xlsx</t>
        </is>
      </c>
      <c r="C373" s="15" t="inlineStr">
        <is>
          <t xml:space="preserve">BLK-05-019</t>
        </is>
      </c>
      <c r="D373" s="15" t="inlineStr">
        <is>
          <t xml:space="preserve">CRS-05-019</t>
        </is>
      </c>
      <c r="E373" s="15">
        <v>1</v>
      </c>
      <c r="F373" s="15" t="inlineStr">
        <is>
          <t xml:space="preserve">Daniel</t>
        </is>
      </c>
      <c r="G373" s="15" t="inlineStr">
        <is>
          <t xml:space="preserve">Daniel 5</t>
        </is>
      </c>
      <c r="H373" s="15" t="inlineStr">
        <is>
          <t xml:space="preserve">Primary Account</t>
        </is>
      </c>
      <c r="I373" s="15"/>
      <c r="J373" s="15" t="inlineStr">
        <is>
          <t xml:space="preserve">Yes</t>
        </is>
      </c>
      <c r="K373" s="15" t="inlineStr">
        <is>
          <t xml:space="preserve">Yes</t>
        </is>
      </c>
      <c r="L373" s="15" t="inlineStr">
        <is>
          <t xml:space="preserve">High</t>
        </is>
      </c>
      <c r="M373" s="15" t="inlineStr">
        <is>
          <t xml:space="preserve">Debated</t>
        </is>
      </c>
      <c r="N373" s="15" t="inlineStr">
        <is>
          <t xml:space="preserve">Narrative setting used; composition layer separate.</t>
        </is>
      </c>
      <c r="O373" s="15"/>
      <c r="P373" s="15" t="inlineStr">
        <is>
          <t xml:space="preserve">5:end</t>
        </is>
      </c>
      <c r="Q373" s="15" t="inlineStr">
        <is>
          <t xml:space="preserve">SRC-05; SRC-06</t>
        </is>
      </c>
      <c r="R373" s="15"/>
      <c r="S373" s="15"/>
    </row>
    <row r="374" ht="34" customHeight="1">
      <c r="A374" s="15" t="inlineStr">
        <is>
          <t xml:space="preserve">v0.5</t>
        </is>
      </c>
      <c r="B374" s="15" t="inlineStr">
        <is>
          <t xml:space="preserve">Bible_Journey_Canon_Map_v0_5_Exile_Return_Persia.xlsx</t>
        </is>
      </c>
      <c r="C374" s="15" t="inlineStr">
        <is>
          <t xml:space="preserve">BLK-05-020</t>
        </is>
      </c>
      <c r="D374" s="15" t="inlineStr">
        <is>
          <t xml:space="preserve">CRS-05-020</t>
        </is>
      </c>
      <c r="E374" s="15">
        <v>1</v>
      </c>
      <c r="F374" s="15" t="inlineStr">
        <is>
          <t xml:space="preserve">Daniel</t>
        </is>
      </c>
      <c r="G374" s="15" t="inlineStr">
        <is>
          <t xml:space="preserve">Daniel 6</t>
        </is>
      </c>
      <c r="H374" s="15" t="inlineStr">
        <is>
          <t xml:space="preserve">Primary Account</t>
        </is>
      </c>
      <c r="I374" s="15"/>
      <c r="J374" s="15" t="inlineStr">
        <is>
          <t xml:space="preserve">Yes</t>
        </is>
      </c>
      <c r="K374" s="15" t="inlineStr">
        <is>
          <t xml:space="preserve">Yes</t>
        </is>
      </c>
      <c r="L374" s="15" t="inlineStr">
        <is>
          <t xml:space="preserve">Probable</t>
        </is>
      </c>
      <c r="M374" s="15" t="inlineStr">
        <is>
          <t xml:space="preserve">Debated</t>
        </is>
      </c>
      <c r="N374" s="15" t="inlineStr">
        <is>
          <t xml:space="preserve">Narrative setting used; composition layer separate.</t>
        </is>
      </c>
      <c r="O374" s="15"/>
      <c r="P374" s="15" t="inlineStr">
        <is>
          <t xml:space="preserve">6:end</t>
        </is>
      </c>
      <c r="Q374" s="15" t="inlineStr">
        <is>
          <t xml:space="preserve">SRC-05; SRC-06; SRC-32</t>
        </is>
      </c>
      <c r="R374" s="15"/>
      <c r="S374" s="15"/>
    </row>
    <row r="375" ht="34" customHeight="1">
      <c r="A375" s="15" t="inlineStr">
        <is>
          <t xml:space="preserve">v0.5</t>
        </is>
      </c>
      <c r="B375" s="15" t="inlineStr">
        <is>
          <t xml:space="preserve">Bible_Journey_Canon_Map_v0_5_Exile_Return_Persia.xlsx</t>
        </is>
      </c>
      <c r="C375" s="15" t="inlineStr">
        <is>
          <t xml:space="preserve">BLK-05-021</t>
        </is>
      </c>
      <c r="D375" s="15" t="inlineStr">
        <is>
          <t xml:space="preserve">CRS-05-021</t>
        </is>
      </c>
      <c r="E375" s="15">
        <v>1</v>
      </c>
      <c r="F375" s="15" t="inlineStr">
        <is>
          <t xml:space="preserve">Daniel</t>
        </is>
      </c>
      <c r="G375" s="15" t="inlineStr">
        <is>
          <t xml:space="preserve">Daniel 9</t>
        </is>
      </c>
      <c r="H375" s="15" t="inlineStr">
        <is>
          <t xml:space="preserve">Primary Account</t>
        </is>
      </c>
      <c r="I375" s="15"/>
      <c r="J375" s="15" t="inlineStr">
        <is>
          <t xml:space="preserve">Yes</t>
        </is>
      </c>
      <c r="K375" s="15" t="inlineStr">
        <is>
          <t xml:space="preserve">Yes</t>
        </is>
      </c>
      <c r="L375" s="15" t="inlineStr">
        <is>
          <t xml:space="preserve">High</t>
        </is>
      </c>
      <c r="M375" s="15" t="inlineStr">
        <is>
          <t xml:space="preserve">Debated</t>
        </is>
      </c>
      <c r="N375" s="15" t="inlineStr">
        <is>
          <t xml:space="preserve">Narrative setting used; composition layer separate.</t>
        </is>
      </c>
      <c r="O375" s="15"/>
      <c r="P375" s="15" t="inlineStr">
        <is>
          <t xml:space="preserve">9:end</t>
        </is>
      </c>
      <c r="Q375" s="15" t="inlineStr">
        <is>
          <t xml:space="preserve">SRC-05; SRC-06</t>
        </is>
      </c>
      <c r="R375" s="15"/>
      <c r="S375" s="15"/>
    </row>
    <row r="376" ht="34" customHeight="1">
      <c r="A376" s="15" t="inlineStr">
        <is>
          <t xml:space="preserve">v0.5</t>
        </is>
      </c>
      <c r="B376" s="15" t="inlineStr">
        <is>
          <t xml:space="preserve">Bible_Journey_Canon_Map_v0_5_Exile_Return_Persia.xlsx</t>
        </is>
      </c>
      <c r="C376" s="15" t="inlineStr">
        <is>
          <t xml:space="preserve">BLK-05-022</t>
        </is>
      </c>
      <c r="D376" s="15" t="inlineStr">
        <is>
          <t xml:space="preserve">CRS-05-022</t>
        </is>
      </c>
      <c r="E376" s="15">
        <v>1</v>
      </c>
      <c r="F376" s="15" t="inlineStr">
        <is>
          <t xml:space="preserve">Ezra</t>
        </is>
      </c>
      <c r="G376" s="15" t="inlineStr">
        <is>
          <t xml:space="preserve">Ezra 1</t>
        </is>
      </c>
      <c r="H376" s="15" t="inlineStr">
        <is>
          <t xml:space="preserve">Primary Account</t>
        </is>
      </c>
      <c r="I376" s="15"/>
      <c r="J376" s="15" t="inlineStr">
        <is>
          <t xml:space="preserve">Yes</t>
        </is>
      </c>
      <c r="K376" s="15" t="inlineStr">
        <is>
          <t xml:space="preserve">Yes</t>
        </is>
      </c>
      <c r="L376" s="15" t="inlineStr">
        <is>
          <t xml:space="preserve">High</t>
        </is>
      </c>
      <c r="M376" s="15" t="inlineStr">
        <is>
          <t xml:space="preserve">High</t>
        </is>
      </c>
      <c r="N376" s="15" t="inlineStr">
        <is>
          <t xml:space="preserve">External parallel: 2 Chronicles 36:22-23.</t>
        </is>
      </c>
      <c r="O376" s="15" t="inlineStr">
        <is>
          <t xml:space="preserve">Cyrus Decree</t>
        </is>
      </c>
      <c r="P376" s="15" t="inlineStr">
        <is>
          <t xml:space="preserve">1:end</t>
        </is>
      </c>
      <c r="Q376" s="15" t="inlineStr">
        <is>
          <t xml:space="preserve">SRC-04; SRC-07; SRC-08; SRC-09</t>
        </is>
      </c>
      <c r="R376" s="15"/>
      <c r="S376" s="15"/>
    </row>
    <row r="377" ht="34" customHeight="1">
      <c r="A377" s="15" t="inlineStr">
        <is>
          <t xml:space="preserve">v0.5</t>
        </is>
      </c>
      <c r="B377" s="15" t="inlineStr">
        <is>
          <t xml:space="preserve">Bible_Journey_Canon_Map_v0_5_Exile_Return_Persia.xlsx</t>
        </is>
      </c>
      <c r="C377" s="15" t="inlineStr">
        <is>
          <t xml:space="preserve">BLK-05-023</t>
        </is>
      </c>
      <c r="D377" s="15" t="inlineStr">
        <is>
          <t xml:space="preserve">CRS-05-023</t>
        </is>
      </c>
      <c r="E377" s="15">
        <v>1</v>
      </c>
      <c r="F377" s="15" t="inlineStr">
        <is>
          <t xml:space="preserve">Ezra</t>
        </is>
      </c>
      <c r="G377" s="15" t="inlineStr">
        <is>
          <t xml:space="preserve">Ezra 2-3</t>
        </is>
      </c>
      <c r="H377" s="15" t="inlineStr">
        <is>
          <t xml:space="preserve">Primary Account</t>
        </is>
      </c>
      <c r="I377" s="15"/>
      <c r="J377" s="15" t="inlineStr">
        <is>
          <t xml:space="preserve">Yes</t>
        </is>
      </c>
      <c r="K377" s="15" t="inlineStr">
        <is>
          <t xml:space="preserve">Yes</t>
        </is>
      </c>
      <c r="L377" s="15" t="inlineStr">
        <is>
          <t xml:space="preserve">High</t>
        </is>
      </c>
      <c r="M377" s="15" t="inlineStr">
        <is>
          <t xml:space="preserve">High</t>
        </is>
      </c>
      <c r="N377" s="15" t="inlineStr">
        <is>
          <t xml:space="preserve">Ezra</t>
        </is>
      </c>
      <c r="O377" s="15"/>
      <c r="P377" s="15" t="inlineStr">
        <is>
          <t xml:space="preserve">3:end</t>
        </is>
      </c>
      <c r="Q377" s="15" t="inlineStr">
        <is>
          <t xml:space="preserve">SRC-07; SRC-08; SRC-09</t>
        </is>
      </c>
      <c r="R377" s="15"/>
      <c r="S377" s="15"/>
    </row>
    <row r="378" ht="34" customHeight="1">
      <c r="A378" s="15" t="inlineStr">
        <is>
          <t xml:space="preserve">v0.5</t>
        </is>
      </c>
      <c r="B378" s="15" t="inlineStr">
        <is>
          <t xml:space="preserve">Bible_Journey_Canon_Map_v0_5_Exile_Return_Persia.xlsx</t>
        </is>
      </c>
      <c r="C378" s="15" t="inlineStr">
        <is>
          <t xml:space="preserve">BLK-05-024</t>
        </is>
      </c>
      <c r="D378" s="15" t="inlineStr">
        <is>
          <t xml:space="preserve">CRS-05-024</t>
        </is>
      </c>
      <c r="E378" s="15">
        <v>1</v>
      </c>
      <c r="F378" s="15" t="inlineStr">
        <is>
          <t xml:space="preserve">Ezra</t>
        </is>
      </c>
      <c r="G378" s="15" t="inlineStr">
        <is>
          <t xml:space="preserve">Ezra 4:1-5</t>
        </is>
      </c>
      <c r="H378" s="15" t="inlineStr">
        <is>
          <t xml:space="preserve">Primary Account</t>
        </is>
      </c>
      <c r="I378" s="15"/>
      <c r="J378" s="15" t="inlineStr">
        <is>
          <t xml:space="preserve">Yes</t>
        </is>
      </c>
      <c r="K378" s="15" t="inlineStr">
        <is>
          <t xml:space="preserve">Yes</t>
        </is>
      </c>
      <c r="L378" s="15" t="inlineStr">
        <is>
          <t xml:space="preserve">High</t>
        </is>
      </c>
      <c r="M378" s="15" t="inlineStr">
        <is>
          <t xml:space="preserve">High</t>
        </is>
      </c>
      <c r="N378" s="15" t="inlineStr">
        <is>
          <t xml:space="preserve">Book-order split: Ezra 4.</t>
        </is>
      </c>
      <c r="O378" s="15"/>
      <c r="P378" s="15" t="inlineStr">
        <is>
          <t xml:space="preserve">4:5</t>
        </is>
      </c>
      <c r="Q378" s="15" t="inlineStr">
        <is>
          <t xml:space="preserve">SRC-08; SRC-09</t>
        </is>
      </c>
      <c r="R378" s="15"/>
      <c r="S378" s="15"/>
    </row>
    <row r="379" ht="34" customHeight="1">
      <c r="A379" s="15" t="inlineStr">
        <is>
          <t xml:space="preserve">v0.5</t>
        </is>
      </c>
      <c r="B379" s="15" t="inlineStr">
        <is>
          <t xml:space="preserve">Bible_Journey_Canon_Map_v0_5_Exile_Return_Persia.xlsx</t>
        </is>
      </c>
      <c r="C379" s="15" t="inlineStr">
        <is>
          <t xml:space="preserve">BLK-05-025</t>
        </is>
      </c>
      <c r="D379" s="15" t="inlineStr">
        <is>
          <t xml:space="preserve">CRS-05-025</t>
        </is>
      </c>
      <c r="E379" s="15">
        <v>1</v>
      </c>
      <c r="F379" s="15" t="inlineStr">
        <is>
          <t xml:space="preserve">Daniel</t>
        </is>
      </c>
      <c r="G379" s="15" t="inlineStr">
        <is>
          <t xml:space="preserve">Daniel 10-12</t>
        </is>
      </c>
      <c r="H379" s="15" t="inlineStr">
        <is>
          <t xml:space="preserve">Primary Account</t>
        </is>
      </c>
      <c r="I379" s="15"/>
      <c r="J379" s="15" t="inlineStr">
        <is>
          <t xml:space="preserve">Yes</t>
        </is>
      </c>
      <c r="K379" s="15" t="inlineStr">
        <is>
          <t xml:space="preserve">Yes</t>
        </is>
      </c>
      <c r="L379" s="15" t="inlineStr">
        <is>
          <t xml:space="preserve">High</t>
        </is>
      </c>
      <c r="M379" s="15" t="inlineStr">
        <is>
          <t xml:space="preserve">Debated</t>
        </is>
      </c>
      <c r="N379" s="15" t="inlineStr">
        <is>
          <t xml:space="preserve">Narrative setting used; composition layer separate.</t>
        </is>
      </c>
      <c r="O379" s="15"/>
      <c r="P379" s="15" t="inlineStr">
        <is>
          <t xml:space="preserve">12:end</t>
        </is>
      </c>
      <c r="Q379" s="15" t="inlineStr">
        <is>
          <t xml:space="preserve">SRC-05; SRC-06</t>
        </is>
      </c>
      <c r="R379" s="15"/>
      <c r="S379" s="15"/>
    </row>
    <row r="380" ht="34" customHeight="1">
      <c r="A380" s="15" t="inlineStr">
        <is>
          <t xml:space="preserve">v0.5</t>
        </is>
      </c>
      <c r="B380" s="15" t="inlineStr">
        <is>
          <t xml:space="preserve">Bible_Journey_Canon_Map_v0_5_Exile_Return_Persia.xlsx</t>
        </is>
      </c>
      <c r="C380" s="15" t="inlineStr">
        <is>
          <t xml:space="preserve">BLK-05-026</t>
        </is>
      </c>
      <c r="D380" s="15" t="inlineStr">
        <is>
          <t xml:space="preserve">CRS-05-026</t>
        </is>
      </c>
      <c r="E380" s="15">
        <v>1</v>
      </c>
      <c r="F380" s="15" t="inlineStr">
        <is>
          <t xml:space="preserve">Haggai</t>
        </is>
      </c>
      <c r="G380" s="15" t="inlineStr">
        <is>
          <t xml:space="preserve">Haggai 1</t>
        </is>
      </c>
      <c r="H380" s="15" t="inlineStr">
        <is>
          <t xml:space="preserve">Prophetic Context</t>
        </is>
      </c>
      <c r="I380" s="15"/>
      <c r="J380" s="15" t="inlineStr">
        <is>
          <t xml:space="preserve">Yes</t>
        </is>
      </c>
      <c r="K380" s="15" t="inlineStr">
        <is>
          <t xml:space="preserve">Yes</t>
        </is>
      </c>
      <c r="L380" s="15" t="inlineStr">
        <is>
          <t xml:space="preserve">High</t>
        </is>
      </c>
      <c r="M380" s="15" t="inlineStr">
        <is>
          <t xml:space="preserve">High</t>
        </is>
      </c>
      <c r="N380" s="15" t="inlineStr">
        <is>
          <t xml:space="preserve">Haggai</t>
        </is>
      </c>
      <c r="O380" s="15" t="inlineStr">
        <is>
          <t xml:space="preserve">Temple restart</t>
        </is>
      </c>
      <c r="P380" s="15" t="inlineStr">
        <is>
          <t xml:space="preserve">1:end</t>
        </is>
      </c>
      <c r="Q380" s="15" t="inlineStr">
        <is>
          <t xml:space="preserve">SRC-08; SRC-11</t>
        </is>
      </c>
      <c r="R380" s="15"/>
      <c r="S380" s="15"/>
    </row>
    <row r="381" ht="34" customHeight="1">
      <c r="A381" s="15" t="inlineStr">
        <is>
          <t xml:space="preserve">v0.5</t>
        </is>
      </c>
      <c r="B381" s="15" t="inlineStr">
        <is>
          <t xml:space="preserve">Bible_Journey_Canon_Map_v0_5_Exile_Return_Persia.xlsx</t>
        </is>
      </c>
      <c r="C381" s="15" t="inlineStr">
        <is>
          <t xml:space="preserve">BLK-05-027</t>
        </is>
      </c>
      <c r="D381" s="15" t="inlineStr">
        <is>
          <t xml:space="preserve">CRS-05-027</t>
        </is>
      </c>
      <c r="E381" s="15">
        <v>1</v>
      </c>
      <c r="F381" s="15" t="inlineStr">
        <is>
          <t xml:space="preserve">Ezra</t>
        </is>
      </c>
      <c r="G381" s="15" t="inlineStr">
        <is>
          <t xml:space="preserve">Ezra 4:24-5:2</t>
        </is>
      </c>
      <c r="H381" s="15" t="inlineStr">
        <is>
          <t xml:space="preserve">Primary Account</t>
        </is>
      </c>
      <c r="I381" s="15"/>
      <c r="J381" s="15" t="inlineStr">
        <is>
          <t xml:space="preserve">Yes</t>
        </is>
      </c>
      <c r="K381" s="15" t="inlineStr">
        <is>
          <t xml:space="preserve">Yes</t>
        </is>
      </c>
      <c r="L381" s="15" t="inlineStr">
        <is>
          <t xml:space="preserve">High</t>
        </is>
      </c>
      <c r="M381" s="15" t="inlineStr">
        <is>
          <t xml:space="preserve">High</t>
        </is>
      </c>
      <c r="N381" s="15" t="inlineStr">
        <is>
          <t xml:space="preserve">Book-order split: Ezra 4.</t>
        </is>
      </c>
      <c r="O381" s="15" t="inlineStr">
        <is>
          <t xml:space="preserve">Temple restart</t>
        </is>
      </c>
      <c r="P381" s="15" t="inlineStr">
        <is>
          <t xml:space="preserve">5:2</t>
        </is>
      </c>
      <c r="Q381" s="15" t="inlineStr">
        <is>
          <t xml:space="preserve">SRC-08; SRC-09</t>
        </is>
      </c>
      <c r="R381" s="15"/>
      <c r="S381" s="15"/>
    </row>
    <row r="382" ht="34" customHeight="1">
      <c r="A382" s="15" t="inlineStr">
        <is>
          <t xml:space="preserve">v0.5</t>
        </is>
      </c>
      <c r="B382" s="15" t="inlineStr">
        <is>
          <t xml:space="preserve">Bible_Journey_Canon_Map_v0_5_Exile_Return_Persia.xlsx</t>
        </is>
      </c>
      <c r="C382" s="15" t="inlineStr">
        <is>
          <t xml:space="preserve">BLK-05-028</t>
        </is>
      </c>
      <c r="D382" s="15" t="inlineStr">
        <is>
          <t xml:space="preserve">CRS-05-028</t>
        </is>
      </c>
      <c r="E382" s="15">
        <v>1</v>
      </c>
      <c r="F382" s="15" t="inlineStr">
        <is>
          <t xml:space="preserve">Haggai</t>
        </is>
      </c>
      <c r="G382" s="15" t="inlineStr">
        <is>
          <t xml:space="preserve">Haggai 2</t>
        </is>
      </c>
      <c r="H382" s="15" t="inlineStr">
        <is>
          <t xml:space="preserve">Prophetic Context</t>
        </is>
      </c>
      <c r="I382" s="15"/>
      <c r="J382" s="15" t="inlineStr">
        <is>
          <t xml:space="preserve">Yes</t>
        </is>
      </c>
      <c r="K382" s="15" t="inlineStr">
        <is>
          <t xml:space="preserve">Yes</t>
        </is>
      </c>
      <c r="L382" s="15" t="inlineStr">
        <is>
          <t xml:space="preserve">High</t>
        </is>
      </c>
      <c r="M382" s="15" t="inlineStr">
        <is>
          <t xml:space="preserve">High</t>
        </is>
      </c>
      <c r="N382" s="15" t="inlineStr">
        <is>
          <t xml:space="preserve">Haggai</t>
        </is>
      </c>
      <c r="O382" s="15"/>
      <c r="P382" s="15" t="inlineStr">
        <is>
          <t xml:space="preserve">2:end</t>
        </is>
      </c>
      <c r="Q382" s="15" t="inlineStr">
        <is>
          <t xml:space="preserve">SRC-08; SRC-11</t>
        </is>
      </c>
      <c r="R382" s="15"/>
      <c r="S382" s="15"/>
    </row>
    <row r="383" ht="34" customHeight="1">
      <c r="A383" s="15" t="inlineStr">
        <is>
          <t xml:space="preserve">v0.5</t>
        </is>
      </c>
      <c r="B383" s="15" t="inlineStr">
        <is>
          <t xml:space="preserve">Bible_Journey_Canon_Map_v0_5_Exile_Return_Persia.xlsx</t>
        </is>
      </c>
      <c r="C383" s="15" t="inlineStr">
        <is>
          <t xml:space="preserve">BLK-05-029</t>
        </is>
      </c>
      <c r="D383" s="15" t="inlineStr">
        <is>
          <t xml:space="preserve">CRS-05-029</t>
        </is>
      </c>
      <c r="E383" s="15">
        <v>1</v>
      </c>
      <c r="F383" s="15" t="inlineStr">
        <is>
          <t xml:space="preserve">Zechariah</t>
        </is>
      </c>
      <c r="G383" s="15" t="inlineStr">
        <is>
          <t xml:space="preserve">Zechariah 1-6</t>
        </is>
      </c>
      <c r="H383" s="15" t="inlineStr">
        <is>
          <t xml:space="preserve">Prophetic Context</t>
        </is>
      </c>
      <c r="I383" s="15"/>
      <c r="J383" s="15" t="inlineStr">
        <is>
          <t xml:space="preserve">Yes</t>
        </is>
      </c>
      <c r="K383" s="15" t="inlineStr">
        <is>
          <t xml:space="preserve">Yes</t>
        </is>
      </c>
      <c r="L383" s="15" t="inlineStr">
        <is>
          <t xml:space="preserve">High</t>
        </is>
      </c>
      <c r="M383" s="15" t="inlineStr">
        <is>
          <t xml:space="preserve">High</t>
        </is>
      </c>
      <c r="N383" s="15" t="inlineStr">
        <is>
          <t xml:space="preserve">Zechariah</t>
        </is>
      </c>
      <c r="O383" s="15"/>
      <c r="P383" s="15" t="inlineStr">
        <is>
          <t xml:space="preserve">6:end</t>
        </is>
      </c>
      <c r="Q383" s="15" t="inlineStr">
        <is>
          <t xml:space="preserve">SRC-08; SRC-11</t>
        </is>
      </c>
      <c r="R383" s="15"/>
      <c r="S383" s="15"/>
    </row>
    <row r="384" ht="34" customHeight="1">
      <c r="A384" s="15" t="inlineStr">
        <is>
          <t xml:space="preserve">v0.5</t>
        </is>
      </c>
      <c r="B384" s="15" t="inlineStr">
        <is>
          <t xml:space="preserve">Bible_Journey_Canon_Map_v0_5_Exile_Return_Persia.xlsx</t>
        </is>
      </c>
      <c r="C384" s="15" t="inlineStr">
        <is>
          <t xml:space="preserve">BLK-05-030</t>
        </is>
      </c>
      <c r="D384" s="15" t="inlineStr">
        <is>
          <t xml:space="preserve">CRS-05-030</t>
        </is>
      </c>
      <c r="E384" s="15">
        <v>1</v>
      </c>
      <c r="F384" s="15" t="inlineStr">
        <is>
          <t xml:space="preserve">Zechariah</t>
        </is>
      </c>
      <c r="G384" s="15" t="inlineStr">
        <is>
          <t xml:space="preserve">Zechariah 7-8</t>
        </is>
      </c>
      <c r="H384" s="15" t="inlineStr">
        <is>
          <t xml:space="preserve">Prophetic Context</t>
        </is>
      </c>
      <c r="I384" s="15"/>
      <c r="J384" s="15" t="inlineStr">
        <is>
          <t xml:space="preserve">Yes</t>
        </is>
      </c>
      <c r="K384" s="15" t="inlineStr">
        <is>
          <t xml:space="preserve">Yes</t>
        </is>
      </c>
      <c r="L384" s="15" t="inlineStr">
        <is>
          <t xml:space="preserve">High</t>
        </is>
      </c>
      <c r="M384" s="15" t="inlineStr">
        <is>
          <t xml:space="preserve">High</t>
        </is>
      </c>
      <c r="N384" s="15" t="inlineStr">
        <is>
          <t xml:space="preserve">Zechariah</t>
        </is>
      </c>
      <c r="O384" s="15"/>
      <c r="P384" s="15" t="inlineStr">
        <is>
          <t xml:space="preserve">8:end</t>
        </is>
      </c>
      <c r="Q384" s="15" t="inlineStr">
        <is>
          <t xml:space="preserve">SRC-08; SRC-11</t>
        </is>
      </c>
      <c r="R384" s="15"/>
      <c r="S384" s="15"/>
    </row>
    <row r="385" ht="34" customHeight="1">
      <c r="A385" s="15" t="inlineStr">
        <is>
          <t xml:space="preserve">v0.5</t>
        </is>
      </c>
      <c r="B385" s="15" t="inlineStr">
        <is>
          <t xml:space="preserve">Bible_Journey_Canon_Map_v0_5_Exile_Return_Persia.xlsx</t>
        </is>
      </c>
      <c r="C385" s="15" t="inlineStr">
        <is>
          <t xml:space="preserve">BLK-05-031</t>
        </is>
      </c>
      <c r="D385" s="15" t="inlineStr">
        <is>
          <t xml:space="preserve">CRS-05-031</t>
        </is>
      </c>
      <c r="E385" s="15">
        <v>1</v>
      </c>
      <c r="F385" s="15" t="inlineStr">
        <is>
          <t xml:space="preserve">Ezra</t>
        </is>
      </c>
      <c r="G385" s="15" t="inlineStr">
        <is>
          <t xml:space="preserve">Ezra 5:3-17</t>
        </is>
      </c>
      <c r="H385" s="15" t="inlineStr">
        <is>
          <t xml:space="preserve">Primary Account</t>
        </is>
      </c>
      <c r="I385" s="15"/>
      <c r="J385" s="15" t="inlineStr">
        <is>
          <t xml:space="preserve">Yes</t>
        </is>
      </c>
      <c r="K385" s="15" t="inlineStr">
        <is>
          <t xml:space="preserve">Yes</t>
        </is>
      </c>
      <c r="L385" s="15" t="inlineStr">
        <is>
          <t xml:space="preserve">High</t>
        </is>
      </c>
      <c r="M385" s="15" t="inlineStr">
        <is>
          <t xml:space="preserve">High</t>
        </is>
      </c>
      <c r="N385" s="15" t="inlineStr">
        <is>
          <t xml:space="preserve">Ezra</t>
        </is>
      </c>
      <c r="O385" s="15"/>
      <c r="P385" s="15" t="inlineStr">
        <is>
          <t xml:space="preserve">5:17</t>
        </is>
      </c>
      <c r="Q385" s="15" t="inlineStr">
        <is>
          <t xml:space="preserve">SRC-08; SRC-09</t>
        </is>
      </c>
      <c r="R385" s="15"/>
      <c r="S385" s="15"/>
    </row>
    <row r="386" ht="34" customHeight="1">
      <c r="A386" s="15" t="inlineStr">
        <is>
          <t xml:space="preserve">v0.5</t>
        </is>
      </c>
      <c r="B386" s="15" t="inlineStr">
        <is>
          <t xml:space="preserve">Bible_Journey_Canon_Map_v0_5_Exile_Return_Persia.xlsx</t>
        </is>
      </c>
      <c r="C386" s="15" t="inlineStr">
        <is>
          <t xml:space="preserve">BLK-05-032</t>
        </is>
      </c>
      <c r="D386" s="15" t="inlineStr">
        <is>
          <t xml:space="preserve">CRS-05-032</t>
        </is>
      </c>
      <c r="E386" s="15">
        <v>1</v>
      </c>
      <c r="F386" s="15" t="inlineStr">
        <is>
          <t xml:space="preserve">Ezra</t>
        </is>
      </c>
      <c r="G386" s="15" t="inlineStr">
        <is>
          <t xml:space="preserve">Ezra 6</t>
        </is>
      </c>
      <c r="H386" s="15" t="inlineStr">
        <is>
          <t xml:space="preserve">Primary Account</t>
        </is>
      </c>
      <c r="I386" s="15"/>
      <c r="J386" s="15" t="inlineStr">
        <is>
          <t xml:space="preserve">Yes</t>
        </is>
      </c>
      <c r="K386" s="15" t="inlineStr">
        <is>
          <t xml:space="preserve">Yes</t>
        </is>
      </c>
      <c r="L386" s="15" t="inlineStr">
        <is>
          <t xml:space="preserve">High</t>
        </is>
      </c>
      <c r="M386" s="15" t="inlineStr">
        <is>
          <t xml:space="preserve">High</t>
        </is>
      </c>
      <c r="N386" s="15" t="inlineStr">
        <is>
          <t xml:space="preserve">Ezra</t>
        </is>
      </c>
      <c r="O386" s="15" t="inlineStr">
        <is>
          <t xml:space="preserve">Temple reconstruction</t>
        </is>
      </c>
      <c r="P386" s="15" t="inlineStr">
        <is>
          <t xml:space="preserve">6:end</t>
        </is>
      </c>
      <c r="Q386" s="15" t="inlineStr">
        <is>
          <t xml:space="preserve">SRC-08; SRC-09; SRC-10</t>
        </is>
      </c>
      <c r="R386" s="15"/>
      <c r="S386" s="15"/>
    </row>
    <row r="387" ht="34" customHeight="1">
      <c r="A387" s="15" t="inlineStr">
        <is>
          <t xml:space="preserve">v0.5</t>
        </is>
      </c>
      <c r="B387" s="15" t="inlineStr">
        <is>
          <t xml:space="preserve">Bible_Journey_Canon_Map_v0_5_Exile_Return_Persia.xlsx</t>
        </is>
      </c>
      <c r="C387" s="15" t="inlineStr">
        <is>
          <t xml:space="preserve">BLK-05-033</t>
        </is>
      </c>
      <c r="D387" s="15" t="inlineStr">
        <is>
          <t xml:space="preserve">CRS-05-033</t>
        </is>
      </c>
      <c r="E387" s="15">
        <v>1</v>
      </c>
      <c r="F387" s="15" t="inlineStr">
        <is>
          <t xml:space="preserve">Zechariah</t>
        </is>
      </c>
      <c r="G387" s="15" t="inlineStr">
        <is>
          <t xml:space="preserve">Zechariah 9-14</t>
        </is>
      </c>
      <c r="H387" s="15" t="inlineStr">
        <is>
          <t xml:space="preserve">Supplementary Reading</t>
        </is>
      </c>
      <c r="I387" s="15"/>
      <c r="J387" s="15" t="inlineStr">
        <is>
          <t xml:space="preserve">Yes</t>
        </is>
      </c>
      <c r="K387" s="15" t="inlineStr">
        <is>
          <t xml:space="preserve">Yes</t>
        </is>
      </c>
      <c r="L387" s="15" t="inlineStr">
        <is>
          <t xml:space="preserve">Debated</t>
        </is>
      </c>
      <c r="M387" s="15" t="inlineStr">
        <is>
          <t xml:space="preserve">Debated</t>
        </is>
      </c>
      <c r="N387" s="15" t="inlineStr">
        <is>
          <t xml:space="preserve">Placement is a study arrangement.</t>
        </is>
      </c>
      <c r="O387" s="15"/>
      <c r="P387" s="15" t="inlineStr">
        <is>
          <t xml:space="preserve">14:end</t>
        </is>
      </c>
      <c r="Q387" s="15" t="inlineStr">
        <is>
          <t xml:space="preserve">SRC-08; SRC-11</t>
        </is>
      </c>
      <c r="R387" s="15"/>
      <c r="S387" s="15"/>
    </row>
    <row r="388" ht="34" customHeight="1">
      <c r="A388" s="15" t="inlineStr">
        <is>
          <t xml:space="preserve">v0.5</t>
        </is>
      </c>
      <c r="B388" s="15" t="inlineStr">
        <is>
          <t xml:space="preserve">Bible_Journey_Canon_Map_v0_5_Exile_Return_Persia.xlsx</t>
        </is>
      </c>
      <c r="C388" s="15" t="inlineStr">
        <is>
          <t xml:space="preserve">BLK-05-034</t>
        </is>
      </c>
      <c r="D388" s="15" t="inlineStr">
        <is>
          <t xml:space="preserve">CRS-05-034</t>
        </is>
      </c>
      <c r="E388" s="15">
        <v>1</v>
      </c>
      <c r="F388" s="15" t="inlineStr">
        <is>
          <t xml:space="preserve">Ezra</t>
        </is>
      </c>
      <c r="G388" s="15" t="inlineStr">
        <is>
          <t xml:space="preserve">Ezra 4:6-6</t>
        </is>
      </c>
      <c r="H388" s="15" t="inlineStr">
        <is>
          <t xml:space="preserve">Supplementary Reading</t>
        </is>
      </c>
      <c r="I388" s="15"/>
      <c r="J388" s="15" t="inlineStr">
        <is>
          <t xml:space="preserve">Yes</t>
        </is>
      </c>
      <c r="K388" s="15" t="inlineStr">
        <is>
          <t xml:space="preserve">No</t>
        </is>
      </c>
      <c r="L388" s="15" t="inlineStr">
        <is>
          <t xml:space="preserve">High</t>
        </is>
      </c>
      <c r="M388" s="15" t="inlineStr">
        <is>
          <t xml:space="preserve">High</t>
        </is>
      </c>
      <c r="N388" s="15" t="inlineStr">
        <is>
          <t xml:space="preserve">Book-order split: Ezra 4.</t>
        </is>
      </c>
      <c r="O388" s="15"/>
      <c r="P388" s="15" t="inlineStr">
        <is>
          <t xml:space="preserve">4:6</t>
        </is>
      </c>
      <c r="Q388" s="15" t="inlineStr">
        <is>
          <t xml:space="preserve">SRC-09; SRC-12</t>
        </is>
      </c>
      <c r="R388" s="15"/>
      <c r="S388" s="15"/>
    </row>
    <row r="389" ht="34" customHeight="1">
      <c r="A389" s="15" t="inlineStr">
        <is>
          <t xml:space="preserve">v0.5</t>
        </is>
      </c>
      <c r="B389" s="15" t="inlineStr">
        <is>
          <t xml:space="preserve">Bible_Journey_Canon_Map_v0_5_Exile_Return_Persia.xlsx</t>
        </is>
      </c>
      <c r="C389" s="15" t="inlineStr">
        <is>
          <t xml:space="preserve">BLK-05-035</t>
        </is>
      </c>
      <c r="D389" s="15" t="inlineStr">
        <is>
          <t xml:space="preserve">CRS-05-035</t>
        </is>
      </c>
      <c r="E389" s="15">
        <v>1</v>
      </c>
      <c r="F389" s="15" t="inlineStr">
        <is>
          <t xml:space="preserve">Ezra</t>
        </is>
      </c>
      <c r="G389" s="15" t="inlineStr">
        <is>
          <t xml:space="preserve">Ezra 4:7-23</t>
        </is>
      </c>
      <c r="H389" s="15" t="inlineStr">
        <is>
          <t xml:space="preserve">Supplementary Reading</t>
        </is>
      </c>
      <c r="I389" s="15"/>
      <c r="J389" s="15" t="inlineStr">
        <is>
          <t xml:space="preserve">Yes</t>
        </is>
      </c>
      <c r="K389" s="15" t="inlineStr">
        <is>
          <t xml:space="preserve">No</t>
        </is>
      </c>
      <c r="L389" s="15" t="inlineStr">
        <is>
          <t xml:space="preserve">High</t>
        </is>
      </c>
      <c r="M389" s="15" t="inlineStr">
        <is>
          <t xml:space="preserve">Probable</t>
        </is>
      </c>
      <c r="N389" s="15" t="inlineStr">
        <is>
          <t xml:space="preserve">Book-order split: Ezra 4.</t>
        </is>
      </c>
      <c r="O389" s="15"/>
      <c r="P389" s="15" t="inlineStr">
        <is>
          <t xml:space="preserve">4:23</t>
        </is>
      </c>
      <c r="Q389" s="15" t="inlineStr">
        <is>
          <t xml:space="preserve">SRC-09; SRC-12</t>
        </is>
      </c>
      <c r="R389" s="15"/>
      <c r="S389" s="15" t="inlineStr">
        <is>
          <t xml:space="preserve">Needs historical dependency decision.</t>
        </is>
      </c>
    </row>
    <row r="390" ht="34" customHeight="1">
      <c r="A390" s="15" t="inlineStr">
        <is>
          <t xml:space="preserve">v0.5</t>
        </is>
      </c>
      <c r="B390" s="15" t="inlineStr">
        <is>
          <t xml:space="preserve">Bible_Journey_Canon_Map_v0_5_Exile_Return_Persia.xlsx</t>
        </is>
      </c>
      <c r="C390" s="15" t="inlineStr">
        <is>
          <t xml:space="preserve">BLK-05-036</t>
        </is>
      </c>
      <c r="D390" s="15" t="inlineStr">
        <is>
          <t xml:space="preserve">CRS-05-036</t>
        </is>
      </c>
      <c r="E390" s="15">
        <v>1</v>
      </c>
      <c r="F390" s="15" t="inlineStr">
        <is>
          <t xml:space="preserve">Ezra</t>
        </is>
      </c>
      <c r="G390" s="15" t="inlineStr">
        <is>
          <t xml:space="preserve">Ezra 7-8</t>
        </is>
      </c>
      <c r="H390" s="15" t="inlineStr">
        <is>
          <t xml:space="preserve">Primary Account</t>
        </is>
      </c>
      <c r="I390" s="15"/>
      <c r="J390" s="15" t="inlineStr">
        <is>
          <t xml:space="preserve">Yes</t>
        </is>
      </c>
      <c r="K390" s="15" t="inlineStr">
        <is>
          <t xml:space="preserve">Yes</t>
        </is>
      </c>
      <c r="L390" s="15" t="inlineStr">
        <is>
          <t xml:space="preserve">High</t>
        </is>
      </c>
      <c r="M390" s="15" t="inlineStr">
        <is>
          <t xml:space="preserve">Debated</t>
        </is>
      </c>
      <c r="N390" s="15" t="inlineStr">
        <is>
          <t xml:space="preserve">Ezra</t>
        </is>
      </c>
      <c r="O390" s="15"/>
      <c r="P390" s="15" t="inlineStr">
        <is>
          <t xml:space="preserve">8:end</t>
        </is>
      </c>
      <c r="Q390" s="15" t="inlineStr">
        <is>
          <t xml:space="preserve">SRC-09; SRC-10; SRC-12</t>
        </is>
      </c>
      <c r="R390" s="15"/>
      <c r="S390" s="15" t="inlineStr">
        <is>
          <t xml:space="preserve">Show selected chronology framework and alternatives.</t>
        </is>
      </c>
    </row>
    <row r="391" ht="34" customHeight="1">
      <c r="A391" s="15" t="inlineStr">
        <is>
          <t xml:space="preserve">v0.5</t>
        </is>
      </c>
      <c r="B391" s="15" t="inlineStr">
        <is>
          <t xml:space="preserve">Bible_Journey_Canon_Map_v0_5_Exile_Return_Persia.xlsx</t>
        </is>
      </c>
      <c r="C391" s="15" t="inlineStr">
        <is>
          <t xml:space="preserve">BLK-05-037</t>
        </is>
      </c>
      <c r="D391" s="15" t="inlineStr">
        <is>
          <t xml:space="preserve">CRS-05-037</t>
        </is>
      </c>
      <c r="E391" s="15">
        <v>1</v>
      </c>
      <c r="F391" s="15" t="inlineStr">
        <is>
          <t xml:space="preserve">Ezra</t>
        </is>
      </c>
      <c r="G391" s="15" t="inlineStr">
        <is>
          <t xml:space="preserve">Ezra 9-10</t>
        </is>
      </c>
      <c r="H391" s="15" t="inlineStr">
        <is>
          <t xml:space="preserve">Primary Account</t>
        </is>
      </c>
      <c r="I391" s="15"/>
      <c r="J391" s="15" t="inlineStr">
        <is>
          <t xml:space="preserve">Yes</t>
        </is>
      </c>
      <c r="K391" s="15" t="inlineStr">
        <is>
          <t xml:space="preserve">Yes</t>
        </is>
      </c>
      <c r="L391" s="15" t="inlineStr">
        <is>
          <t xml:space="preserve">High</t>
        </is>
      </c>
      <c r="M391" s="15" t="inlineStr">
        <is>
          <t xml:space="preserve">Debated</t>
        </is>
      </c>
      <c r="N391" s="15" t="inlineStr">
        <is>
          <t xml:space="preserve">Ezra</t>
        </is>
      </c>
      <c r="O391" s="15"/>
      <c r="P391" s="15" t="inlineStr">
        <is>
          <t xml:space="preserve">10:end</t>
        </is>
      </c>
      <c r="Q391" s="15" t="inlineStr">
        <is>
          <t xml:space="preserve">SRC-10</t>
        </is>
      </c>
      <c r="R391" s="15"/>
      <c r="S391" s="15"/>
    </row>
    <row r="392" ht="34" customHeight="1">
      <c r="A392" s="15" t="inlineStr">
        <is>
          <t xml:space="preserve">v0.5</t>
        </is>
      </c>
      <c r="B392" s="15" t="inlineStr">
        <is>
          <t xml:space="preserve">Bible_Journey_Canon_Map_v0_5_Exile_Return_Persia.xlsx</t>
        </is>
      </c>
      <c r="C392" s="15" t="inlineStr">
        <is>
          <t xml:space="preserve">BLK-05-038</t>
        </is>
      </c>
      <c r="D392" s="15" t="inlineStr">
        <is>
          <t xml:space="preserve">CRS-05-038</t>
        </is>
      </c>
      <c r="E392" s="15">
        <v>1</v>
      </c>
      <c r="F392" s="15" t="inlineStr">
        <is>
          <t xml:space="preserve">Nehemiah</t>
        </is>
      </c>
      <c r="G392" s="15" t="inlineStr">
        <is>
          <t xml:space="preserve">Nehemiah 1-2</t>
        </is>
      </c>
      <c r="H392" s="15" t="inlineStr">
        <is>
          <t xml:space="preserve">Primary Account</t>
        </is>
      </c>
      <c r="I392" s="15"/>
      <c r="J392" s="15" t="inlineStr">
        <is>
          <t xml:space="preserve">Yes</t>
        </is>
      </c>
      <c r="K392" s="15" t="inlineStr">
        <is>
          <t xml:space="preserve">Yes</t>
        </is>
      </c>
      <c r="L392" s="15" t="inlineStr">
        <is>
          <t xml:space="preserve">High</t>
        </is>
      </c>
      <c r="M392" s="15" t="inlineStr">
        <is>
          <t xml:space="preserve">High</t>
        </is>
      </c>
      <c r="N392" s="15" t="inlineStr">
        <is>
          <t xml:space="preserve">Nehemiah</t>
        </is>
      </c>
      <c r="O392" s="15"/>
      <c r="P392" s="15" t="inlineStr">
        <is>
          <t xml:space="preserve">2:end</t>
        </is>
      </c>
      <c r="Q392" s="15" t="inlineStr">
        <is>
          <t xml:space="preserve">SRC-09; SRC-10; SRC-12</t>
        </is>
      </c>
      <c r="R392" s="15"/>
      <c r="S392" s="15"/>
    </row>
    <row r="393" ht="34" customHeight="1">
      <c r="A393" s="15" t="inlineStr">
        <is>
          <t xml:space="preserve">v0.5</t>
        </is>
      </c>
      <c r="B393" s="15" t="inlineStr">
        <is>
          <t xml:space="preserve">Bible_Journey_Canon_Map_v0_5_Exile_Return_Persia.xlsx</t>
        </is>
      </c>
      <c r="C393" s="15" t="inlineStr">
        <is>
          <t xml:space="preserve">BLK-05-039</t>
        </is>
      </c>
      <c r="D393" s="15" t="inlineStr">
        <is>
          <t xml:space="preserve">CRS-05-039</t>
        </is>
      </c>
      <c r="E393" s="15">
        <v>1</v>
      </c>
      <c r="F393" s="15" t="inlineStr">
        <is>
          <t xml:space="preserve">Nehemiah</t>
        </is>
      </c>
      <c r="G393" s="15" t="inlineStr">
        <is>
          <t xml:space="preserve">Nehemiah 3-4</t>
        </is>
      </c>
      <c r="H393" s="15" t="inlineStr">
        <is>
          <t xml:space="preserve">Primary Account</t>
        </is>
      </c>
      <c r="I393" s="15"/>
      <c r="J393" s="15" t="inlineStr">
        <is>
          <t xml:space="preserve">Yes</t>
        </is>
      </c>
      <c r="K393" s="15" t="inlineStr">
        <is>
          <t xml:space="preserve">Yes</t>
        </is>
      </c>
      <c r="L393" s="15" t="inlineStr">
        <is>
          <t xml:space="preserve">High</t>
        </is>
      </c>
      <c r="M393" s="15" t="inlineStr">
        <is>
          <t xml:space="preserve">High</t>
        </is>
      </c>
      <c r="N393" s="15" t="inlineStr">
        <is>
          <t xml:space="preserve">Nehemiah</t>
        </is>
      </c>
      <c r="O393" s="15"/>
      <c r="P393" s="15" t="inlineStr">
        <is>
          <t xml:space="preserve">4:end</t>
        </is>
      </c>
      <c r="Q393" s="15" t="inlineStr">
        <is>
          <t xml:space="preserve">SRC-09; SRC-10; SRC-12</t>
        </is>
      </c>
      <c r="R393" s="15"/>
      <c r="S393" s="15"/>
    </row>
    <row r="394" ht="34" customHeight="1">
      <c r="A394" s="15" t="inlineStr">
        <is>
          <t xml:space="preserve">v0.5</t>
        </is>
      </c>
      <c r="B394" s="15" t="inlineStr">
        <is>
          <t xml:space="preserve">Bible_Journey_Canon_Map_v0_5_Exile_Return_Persia.xlsx</t>
        </is>
      </c>
      <c r="C394" s="15" t="inlineStr">
        <is>
          <t xml:space="preserve">BLK-05-040</t>
        </is>
      </c>
      <c r="D394" s="15" t="inlineStr">
        <is>
          <t xml:space="preserve">CRS-05-040</t>
        </is>
      </c>
      <c r="E394" s="15">
        <v>1</v>
      </c>
      <c r="F394" s="15" t="inlineStr">
        <is>
          <t xml:space="preserve">Nehemiah</t>
        </is>
      </c>
      <c r="G394" s="15" t="inlineStr">
        <is>
          <t xml:space="preserve">Nehemiah 5</t>
        </is>
      </c>
      <c r="H394" s="15" t="inlineStr">
        <is>
          <t xml:space="preserve">Primary Account</t>
        </is>
      </c>
      <c r="I394" s="15"/>
      <c r="J394" s="15" t="inlineStr">
        <is>
          <t xml:space="preserve">Yes</t>
        </is>
      </c>
      <c r="K394" s="15" t="inlineStr">
        <is>
          <t xml:space="preserve">Yes</t>
        </is>
      </c>
      <c r="L394" s="15" t="inlineStr">
        <is>
          <t xml:space="preserve">High</t>
        </is>
      </c>
      <c r="M394" s="15" t="inlineStr">
        <is>
          <t xml:space="preserve">Probable</t>
        </is>
      </c>
      <c r="N394" s="15" t="inlineStr">
        <is>
          <t xml:space="preserve">Nehemiah</t>
        </is>
      </c>
      <c r="O394" s="15"/>
      <c r="P394" s="15" t="inlineStr">
        <is>
          <t xml:space="preserve">5:end</t>
        </is>
      </c>
      <c r="Q394" s="15" t="inlineStr">
        <is>
          <t xml:space="preserve">SRC-10</t>
        </is>
      </c>
      <c r="R394" s="15"/>
      <c r="S394" s="15"/>
    </row>
    <row r="395" ht="34" customHeight="1">
      <c r="A395" s="15" t="inlineStr">
        <is>
          <t xml:space="preserve">v0.5</t>
        </is>
      </c>
      <c r="B395" s="15" t="inlineStr">
        <is>
          <t xml:space="preserve">Bible_Journey_Canon_Map_v0_5_Exile_Return_Persia.xlsx</t>
        </is>
      </c>
      <c r="C395" s="15" t="inlineStr">
        <is>
          <t xml:space="preserve">BLK-05-041</t>
        </is>
      </c>
      <c r="D395" s="15" t="inlineStr">
        <is>
          <t xml:space="preserve">CRS-05-041</t>
        </is>
      </c>
      <c r="E395" s="15">
        <v>1</v>
      </c>
      <c r="F395" s="15" t="inlineStr">
        <is>
          <t xml:space="preserve">Nehemiah</t>
        </is>
      </c>
      <c r="G395" s="15" t="inlineStr">
        <is>
          <t xml:space="preserve">Nehemiah 6-7</t>
        </is>
      </c>
      <c r="H395" s="15" t="inlineStr">
        <is>
          <t xml:space="preserve">Primary Account</t>
        </is>
      </c>
      <c r="I395" s="15"/>
      <c r="J395" s="15" t="inlineStr">
        <is>
          <t xml:space="preserve">Yes</t>
        </is>
      </c>
      <c r="K395" s="15" t="inlineStr">
        <is>
          <t xml:space="preserve">Yes</t>
        </is>
      </c>
      <c r="L395" s="15" t="inlineStr">
        <is>
          <t xml:space="preserve">High</t>
        </is>
      </c>
      <c r="M395" s="15" t="inlineStr">
        <is>
          <t xml:space="preserve">High</t>
        </is>
      </c>
      <c r="N395" s="15" t="inlineStr">
        <is>
          <t xml:space="preserve">Nehemiah</t>
        </is>
      </c>
      <c r="O395" s="15"/>
      <c r="P395" s="15" t="inlineStr">
        <is>
          <t xml:space="preserve">7:end</t>
        </is>
      </c>
      <c r="Q395" s="15" t="inlineStr">
        <is>
          <t xml:space="preserve">SRC-09; SRC-10</t>
        </is>
      </c>
      <c r="R395" s="15"/>
      <c r="S395" s="15"/>
    </row>
    <row r="396" ht="34" customHeight="1">
      <c r="A396" s="15" t="inlineStr">
        <is>
          <t xml:space="preserve">v0.5</t>
        </is>
      </c>
      <c r="B396" s="15" t="inlineStr">
        <is>
          <t xml:space="preserve">Bible_Journey_Canon_Map_v0_5_Exile_Return_Persia.xlsx</t>
        </is>
      </c>
      <c r="C396" s="15" t="inlineStr">
        <is>
          <t xml:space="preserve">BLK-05-042</t>
        </is>
      </c>
      <c r="D396" s="15" t="inlineStr">
        <is>
          <t xml:space="preserve">CRS-05-042</t>
        </is>
      </c>
      <c r="E396" s="15">
        <v>1</v>
      </c>
      <c r="F396" s="15" t="inlineStr">
        <is>
          <t xml:space="preserve">Nehemiah</t>
        </is>
      </c>
      <c r="G396" s="15" t="inlineStr">
        <is>
          <t xml:space="preserve">Nehemiah 8</t>
        </is>
      </c>
      <c r="H396" s="15" t="inlineStr">
        <is>
          <t xml:space="preserve">Primary Account</t>
        </is>
      </c>
      <c r="I396" s="15"/>
      <c r="J396" s="15" t="inlineStr">
        <is>
          <t xml:space="preserve">Yes</t>
        </is>
      </c>
      <c r="K396" s="15" t="inlineStr">
        <is>
          <t xml:space="preserve">Yes</t>
        </is>
      </c>
      <c r="L396" s="15" t="inlineStr">
        <is>
          <t xml:space="preserve">High</t>
        </is>
      </c>
      <c r="M396" s="15" t="inlineStr">
        <is>
          <t xml:space="preserve">Probable</t>
        </is>
      </c>
      <c r="N396" s="15" t="inlineStr">
        <is>
          <t xml:space="preserve">Nehemiah</t>
        </is>
      </c>
      <c r="O396" s="15"/>
      <c r="P396" s="15" t="inlineStr">
        <is>
          <t xml:space="preserve">8:end</t>
        </is>
      </c>
      <c r="Q396" s="15" t="inlineStr">
        <is>
          <t xml:space="preserve">SRC-10; SRC-34</t>
        </is>
      </c>
      <c r="R396" s="15"/>
      <c r="S396" s="15" t="inlineStr">
        <is>
          <t xml:space="preserve">Relationship to Ezra's arrival needs a user-visible chronology note.</t>
        </is>
      </c>
    </row>
    <row r="397" ht="34" customHeight="1">
      <c r="A397" s="15" t="inlineStr">
        <is>
          <t xml:space="preserve">v0.5</t>
        </is>
      </c>
      <c r="B397" s="15" t="inlineStr">
        <is>
          <t xml:space="preserve">Bible_Journey_Canon_Map_v0_5_Exile_Return_Persia.xlsx</t>
        </is>
      </c>
      <c r="C397" s="15" t="inlineStr">
        <is>
          <t xml:space="preserve">BLK-05-043</t>
        </is>
      </c>
      <c r="D397" s="15" t="inlineStr">
        <is>
          <t xml:space="preserve">CRS-05-043</t>
        </is>
      </c>
      <c r="E397" s="15">
        <v>1</v>
      </c>
      <c r="F397" s="15" t="inlineStr">
        <is>
          <t xml:space="preserve">Nehemiah</t>
        </is>
      </c>
      <c r="G397" s="15" t="inlineStr">
        <is>
          <t xml:space="preserve">Nehemiah 9-10</t>
        </is>
      </c>
      <c r="H397" s="15" t="inlineStr">
        <is>
          <t xml:space="preserve">Primary Account</t>
        </is>
      </c>
      <c r="I397" s="15"/>
      <c r="J397" s="15" t="inlineStr">
        <is>
          <t xml:space="preserve">Yes</t>
        </is>
      </c>
      <c r="K397" s="15" t="inlineStr">
        <is>
          <t xml:space="preserve">Yes</t>
        </is>
      </c>
      <c r="L397" s="15" t="inlineStr">
        <is>
          <t xml:space="preserve">High</t>
        </is>
      </c>
      <c r="M397" s="15" t="inlineStr">
        <is>
          <t xml:space="preserve">Probable</t>
        </is>
      </c>
      <c r="N397" s="15" t="inlineStr">
        <is>
          <t xml:space="preserve">Nehemiah</t>
        </is>
      </c>
      <c r="O397" s="15"/>
      <c r="P397" s="15" t="inlineStr">
        <is>
          <t xml:space="preserve">10:end</t>
        </is>
      </c>
      <c r="Q397" s="15" t="inlineStr">
        <is>
          <t xml:space="preserve">SRC-10</t>
        </is>
      </c>
      <c r="R397" s="15"/>
      <c r="S397" s="15"/>
    </row>
    <row r="398" ht="34" customHeight="1">
      <c r="A398" s="15" t="inlineStr">
        <is>
          <t xml:space="preserve">v0.5</t>
        </is>
      </c>
      <c r="B398" s="15" t="inlineStr">
        <is>
          <t xml:space="preserve">Bible_Journey_Canon_Map_v0_5_Exile_Return_Persia.xlsx</t>
        </is>
      </c>
      <c r="C398" s="15" t="inlineStr">
        <is>
          <t xml:space="preserve">BLK-05-044</t>
        </is>
      </c>
      <c r="D398" s="15" t="inlineStr">
        <is>
          <t xml:space="preserve">CRS-05-044</t>
        </is>
      </c>
      <c r="E398" s="15">
        <v>1</v>
      </c>
      <c r="F398" s="15" t="inlineStr">
        <is>
          <t xml:space="preserve">Nehemiah</t>
        </is>
      </c>
      <c r="G398" s="15" t="inlineStr">
        <is>
          <t xml:space="preserve">Nehemiah 11-12</t>
        </is>
      </c>
      <c r="H398" s="15" t="inlineStr">
        <is>
          <t xml:space="preserve">Primary Account</t>
        </is>
      </c>
      <c r="I398" s="15"/>
      <c r="J398" s="15" t="inlineStr">
        <is>
          <t xml:space="preserve">Yes</t>
        </is>
      </c>
      <c r="K398" s="15" t="inlineStr">
        <is>
          <t xml:space="preserve">Yes</t>
        </is>
      </c>
      <c r="L398" s="15" t="inlineStr">
        <is>
          <t xml:space="preserve">High</t>
        </is>
      </c>
      <c r="M398" s="15" t="inlineStr">
        <is>
          <t xml:space="preserve">Probable</t>
        </is>
      </c>
      <c r="N398" s="15" t="inlineStr">
        <is>
          <t xml:space="preserve">Nehemiah</t>
        </is>
      </c>
      <c r="O398" s="15"/>
      <c r="P398" s="15" t="inlineStr">
        <is>
          <t xml:space="preserve">12:end</t>
        </is>
      </c>
      <c r="Q398" s="15" t="inlineStr">
        <is>
          <t xml:space="preserve">SRC-09; SRC-10</t>
        </is>
      </c>
      <c r="R398" s="15"/>
      <c r="S398" s="15"/>
    </row>
    <row r="399" ht="34" customHeight="1">
      <c r="A399" s="15" t="inlineStr">
        <is>
          <t xml:space="preserve">v0.5</t>
        </is>
      </c>
      <c r="B399" s="15" t="inlineStr">
        <is>
          <t xml:space="preserve">Bible_Journey_Canon_Map_v0_5_Exile_Return_Persia.xlsx</t>
        </is>
      </c>
      <c r="C399" s="15" t="inlineStr">
        <is>
          <t xml:space="preserve">BLK-05-045</t>
        </is>
      </c>
      <c r="D399" s="15" t="inlineStr">
        <is>
          <t xml:space="preserve">CRS-05-045</t>
        </is>
      </c>
      <c r="E399" s="15">
        <v>1</v>
      </c>
      <c r="F399" s="15" t="inlineStr">
        <is>
          <t xml:space="preserve">Nehemiah</t>
        </is>
      </c>
      <c r="G399" s="15" t="inlineStr">
        <is>
          <t xml:space="preserve">Nehemiah 13</t>
        </is>
      </c>
      <c r="H399" s="15" t="inlineStr">
        <is>
          <t xml:space="preserve">Primary Account</t>
        </is>
      </c>
      <c r="I399" s="15"/>
      <c r="J399" s="15" t="inlineStr">
        <is>
          <t xml:space="preserve">Yes</t>
        </is>
      </c>
      <c r="K399" s="15" t="inlineStr">
        <is>
          <t xml:space="preserve">Yes</t>
        </is>
      </c>
      <c r="L399" s="15" t="inlineStr">
        <is>
          <t xml:space="preserve">High</t>
        </is>
      </c>
      <c r="M399" s="15" t="inlineStr">
        <is>
          <t xml:space="preserve">Debated</t>
        </is>
      </c>
      <c r="N399" s="15" t="inlineStr">
        <is>
          <t xml:space="preserve">Nehemiah</t>
        </is>
      </c>
      <c r="O399" s="15"/>
      <c r="P399" s="15" t="inlineStr">
        <is>
          <t xml:space="preserve">13:end</t>
        </is>
      </c>
      <c r="Q399" s="15" t="inlineStr">
        <is>
          <t xml:space="preserve">SRC-10; SRC-12</t>
        </is>
      </c>
      <c r="R399" s="15"/>
      <c r="S399" s="15"/>
    </row>
    <row r="400" ht="34" customHeight="1">
      <c r="A400" s="15" t="inlineStr">
        <is>
          <t xml:space="preserve">v0.5</t>
        </is>
      </c>
      <c r="B400" s="15" t="inlineStr">
        <is>
          <t xml:space="preserve">Bible_Journey_Canon_Map_v0_5_Exile_Return_Persia.xlsx</t>
        </is>
      </c>
      <c r="C400" s="15" t="inlineStr">
        <is>
          <t xml:space="preserve">BLK-05-046</t>
        </is>
      </c>
      <c r="D400" s="15" t="inlineStr">
        <is>
          <t xml:space="preserve">CRS-05-046</t>
        </is>
      </c>
      <c r="E400" s="15">
        <v>1</v>
      </c>
      <c r="F400" s="15" t="inlineStr">
        <is>
          <t xml:space="preserve">Malachi</t>
        </is>
      </c>
      <c r="G400" s="15" t="inlineStr">
        <is>
          <t xml:space="preserve">Malachi 1-4</t>
        </is>
      </c>
      <c r="H400" s="15" t="inlineStr">
        <is>
          <t xml:space="preserve">Supplementary Reading</t>
        </is>
      </c>
      <c r="I400" s="15"/>
      <c r="J400" s="15" t="inlineStr">
        <is>
          <t xml:space="preserve">Yes</t>
        </is>
      </c>
      <c r="K400" s="15" t="inlineStr">
        <is>
          <t xml:space="preserve">Yes</t>
        </is>
      </c>
      <c r="L400" s="15" t="inlineStr">
        <is>
          <t xml:space="preserve">Debated</t>
        </is>
      </c>
      <c r="M400" s="15" t="inlineStr">
        <is>
          <t xml:space="preserve">Debated</t>
        </is>
      </c>
      <c r="N400" s="15" t="inlineStr">
        <is>
          <t xml:space="preserve">Placement is a study arrangement.</t>
        </is>
      </c>
      <c r="O400" s="15"/>
      <c r="P400" s="15" t="inlineStr">
        <is>
          <t xml:space="preserve">4:end</t>
        </is>
      </c>
      <c r="Q400" s="15" t="inlineStr">
        <is>
          <t xml:space="preserve">SRC-14; SRC-24</t>
        </is>
      </c>
      <c r="R400" s="15"/>
      <c r="S400" s="15"/>
    </row>
    <row r="401" ht="34" customHeight="1">
      <c r="A401" s="15" t="inlineStr">
        <is>
          <t xml:space="preserve">v0.6</t>
        </is>
      </c>
      <c r="B401" s="15" t="inlineStr">
        <is>
          <t xml:space="preserve">Bible_Journey_Canon_Map_v0_6_Esther_Intertestamental_Bridge.xlsx</t>
        </is>
      </c>
      <c r="C401" s="15" t="inlineStr">
        <is>
          <t xml:space="preserve">BLK-06-001</t>
        </is>
      </c>
      <c r="D401" s="15" t="inlineStr">
        <is>
          <t xml:space="preserve">CRS-06-001</t>
        </is>
      </c>
      <c r="E401" s="15">
        <v>1</v>
      </c>
      <c r="F401" s="15" t="inlineStr">
        <is>
          <t xml:space="preserve">Esther</t>
        </is>
      </c>
      <c r="G401" s="15" t="inlineStr">
        <is>
          <t xml:space="preserve">Esther 1-2</t>
        </is>
      </c>
      <c r="H401" s="15" t="inlineStr">
        <is>
          <t xml:space="preserve">Primary Account</t>
        </is>
      </c>
      <c r="I401" s="15"/>
      <c r="J401" s="15" t="inlineStr">
        <is>
          <t xml:space="preserve">Yes</t>
        </is>
      </c>
      <c r="K401" s="15" t="inlineStr">
        <is>
          <t xml:space="preserve">Yes</t>
        </is>
      </c>
      <c r="L401" s="15" t="inlineStr">
        <is>
          <t xml:space="preserve">Debated</t>
        </is>
      </c>
      <c r="M401" s="15" t="inlineStr">
        <is>
          <t xml:space="preserve">Probable</t>
        </is>
      </c>
      <c r="N401" s="15" t="inlineStr">
        <is>
          <t xml:space="preserve">Cross-map insertion between v0.5 Persian-return blocks when the narrative-setting arrangement is selected.</t>
        </is>
      </c>
      <c r="O401" s="15"/>
      <c r="P401" s="15" t="inlineStr">
        <is>
          <t xml:space="preserve">2:end</t>
        </is>
      </c>
      <c r="Q401" s="15" t="inlineStr">
        <is>
          <t xml:space="preserve">SRC-06-01; SRC-06-02</t>
        </is>
      </c>
      <c r="R401" s="15"/>
      <c r="S401" s="15" t="inlineStr">
        <is>
          <t xml:space="preserve">Reader should show a concise 'Narrative setting: Persian period' label and link to placement note.</t>
        </is>
      </c>
    </row>
    <row r="402" ht="34" customHeight="1">
      <c r="A402" s="15" t="inlineStr">
        <is>
          <t xml:space="preserve">v0.6</t>
        </is>
      </c>
      <c r="B402" s="15" t="inlineStr">
        <is>
          <t xml:space="preserve">Bible_Journey_Canon_Map_v0_6_Esther_Intertestamental_Bridge.xlsx</t>
        </is>
      </c>
      <c r="C402" s="15" t="inlineStr">
        <is>
          <t xml:space="preserve">BLK-06-002</t>
        </is>
      </c>
      <c r="D402" s="15" t="inlineStr">
        <is>
          <t xml:space="preserve">CRS-06-002</t>
        </is>
      </c>
      <c r="E402" s="15">
        <v>1</v>
      </c>
      <c r="F402" s="15" t="inlineStr">
        <is>
          <t xml:space="preserve">Esther</t>
        </is>
      </c>
      <c r="G402" s="15" t="inlineStr">
        <is>
          <t xml:space="preserve">Esther 3-4</t>
        </is>
      </c>
      <c r="H402" s="15" t="inlineStr">
        <is>
          <t xml:space="preserve">Primary Account</t>
        </is>
      </c>
      <c r="I402" s="15"/>
      <c r="J402" s="15" t="inlineStr">
        <is>
          <t xml:space="preserve">Yes</t>
        </is>
      </c>
      <c r="K402" s="15" t="inlineStr">
        <is>
          <t xml:space="preserve">Yes</t>
        </is>
      </c>
      <c r="L402" s="15" t="inlineStr">
        <is>
          <t xml:space="preserve">Debated</t>
        </is>
      </c>
      <c r="M402" s="15" t="inlineStr">
        <is>
          <t xml:space="preserve">Probable</t>
        </is>
      </c>
      <c r="N402" s="15" t="inlineStr">
        <is>
          <t xml:space="preserve">Esther</t>
        </is>
      </c>
      <c r="O402" s="15"/>
      <c r="P402" s="15" t="inlineStr">
        <is>
          <t xml:space="preserve">4:end</t>
        </is>
      </c>
      <c r="Q402" s="15" t="inlineStr">
        <is>
          <t xml:space="preserve">SRC-06-01; SRC-06-02; SRC-06-04</t>
        </is>
      </c>
      <c r="R402" s="15"/>
      <c r="S402" s="15" t="inlineStr">
        <is>
          <t xml:space="preserve">No synthetic insertion of historical background between verses.</t>
        </is>
      </c>
    </row>
    <row r="403" ht="34" customHeight="1">
      <c r="A403" s="15" t="inlineStr">
        <is>
          <t xml:space="preserve">v0.6</t>
        </is>
      </c>
      <c r="B403" s="15" t="inlineStr">
        <is>
          <t xml:space="preserve">Bible_Journey_Canon_Map_v0_6_Esther_Intertestamental_Bridge.xlsx</t>
        </is>
      </c>
      <c r="C403" s="15" t="inlineStr">
        <is>
          <t xml:space="preserve">BLK-06-003</t>
        </is>
      </c>
      <c r="D403" s="15" t="inlineStr">
        <is>
          <t xml:space="preserve">CRS-06-003</t>
        </is>
      </c>
      <c r="E403" s="15">
        <v>1</v>
      </c>
      <c r="F403" s="15" t="inlineStr">
        <is>
          <t xml:space="preserve">Esther</t>
        </is>
      </c>
      <c r="G403" s="15" t="inlineStr">
        <is>
          <t xml:space="preserve">Esther 5-7</t>
        </is>
      </c>
      <c r="H403" s="15" t="inlineStr">
        <is>
          <t xml:space="preserve">Primary Account</t>
        </is>
      </c>
      <c r="I403" s="15"/>
      <c r="J403" s="15" t="inlineStr">
        <is>
          <t xml:space="preserve">Yes</t>
        </is>
      </c>
      <c r="K403" s="15" t="inlineStr">
        <is>
          <t xml:space="preserve">Yes</t>
        </is>
      </c>
      <c r="L403" s="15" t="inlineStr">
        <is>
          <t xml:space="preserve">Debated</t>
        </is>
      </c>
      <c r="M403" s="15" t="inlineStr">
        <is>
          <t xml:space="preserve">Probable</t>
        </is>
      </c>
      <c r="N403" s="15" t="inlineStr">
        <is>
          <t xml:space="preserve">Esther</t>
        </is>
      </c>
      <c r="O403" s="15"/>
      <c r="P403" s="15" t="inlineStr">
        <is>
          <t xml:space="preserve">7:end</t>
        </is>
      </c>
      <c r="Q403" s="15" t="inlineStr">
        <is>
          <t xml:space="preserve">SRC-06-02; SRC-06-03</t>
        </is>
      </c>
      <c r="R403" s="15"/>
      <c r="S403" s="15" t="inlineStr">
        <is>
          <t xml:space="preserve">Study Mode can surface literary and historical questions separately from the Scripture text.</t>
        </is>
      </c>
    </row>
    <row r="404" ht="34" customHeight="1">
      <c r="A404" s="15" t="inlineStr">
        <is>
          <t xml:space="preserve">v0.6</t>
        </is>
      </c>
      <c r="B404" s="15" t="inlineStr">
        <is>
          <t xml:space="preserve">Bible_Journey_Canon_Map_v0_6_Esther_Intertestamental_Bridge.xlsx</t>
        </is>
      </c>
      <c r="C404" s="15" t="inlineStr">
        <is>
          <t xml:space="preserve">BLK-06-004</t>
        </is>
      </c>
      <c r="D404" s="15" t="inlineStr">
        <is>
          <t xml:space="preserve">CRS-06-004</t>
        </is>
      </c>
      <c r="E404" s="15">
        <v>1</v>
      </c>
      <c r="F404" s="15" t="inlineStr">
        <is>
          <t xml:space="preserve">Esther</t>
        </is>
      </c>
      <c r="G404" s="15" t="inlineStr">
        <is>
          <t xml:space="preserve">Esther 8-10</t>
        </is>
      </c>
      <c r="H404" s="15" t="inlineStr">
        <is>
          <t xml:space="preserve">Primary Account</t>
        </is>
      </c>
      <c r="I404" s="15"/>
      <c r="J404" s="15" t="inlineStr">
        <is>
          <t xml:space="preserve">Yes</t>
        </is>
      </c>
      <c r="K404" s="15" t="inlineStr">
        <is>
          <t xml:space="preserve">Yes</t>
        </is>
      </c>
      <c r="L404" s="15" t="inlineStr">
        <is>
          <t xml:space="preserve">Debated</t>
        </is>
      </c>
      <c r="M404" s="15" t="inlineStr">
        <is>
          <t xml:space="preserve">Probable</t>
        </is>
      </c>
      <c r="N404" s="15" t="inlineStr">
        <is>
          <t xml:space="preserve">Esther</t>
        </is>
      </c>
      <c r="O404" s="15"/>
      <c r="P404" s="15" t="inlineStr">
        <is>
          <t xml:space="preserve">10:end</t>
        </is>
      </c>
      <c r="Q404" s="15" t="inlineStr">
        <is>
          <t xml:space="preserve">SRC-06-02; SRC-06-14</t>
        </is>
      </c>
      <c r="R404" s="15"/>
      <c r="S404" s="15" t="inlineStr">
        <is>
          <t xml:space="preserve">Canon profiles may later expose Greek additions as optional tradition resources, never silently merged.</t>
        </is>
      </c>
    </row>
    <row r="405" ht="34" customHeight="1">
      <c r="A405" s="15" t="inlineStr">
        <is>
          <t xml:space="preserve">v0.7</t>
        </is>
      </c>
      <c r="B405" s="15" t="inlineStr">
        <is>
          <t xml:space="preserve">Bible_Journey_Canon_Map_v0_7_Gospel_Chronology.xlsx</t>
        </is>
      </c>
      <c r="C405" s="15" t="inlineStr">
        <is>
          <t xml:space="preserve">BLK-07-001</t>
        </is>
      </c>
      <c r="D405" s="15" t="inlineStr">
        <is>
          <t xml:space="preserve">CRS-07-001</t>
        </is>
      </c>
      <c r="E405" s="15">
        <v>1</v>
      </c>
      <c r="F405" s="15" t="inlineStr">
        <is>
          <t xml:space="preserve">Luke</t>
        </is>
      </c>
      <c r="G405" s="15" t="inlineStr">
        <is>
          <t xml:space="preserve">Luke 1:1-4</t>
        </is>
      </c>
      <c r="H405" s="15" t="inlineStr">
        <is>
          <t xml:space="preserve">Literary Prologue</t>
        </is>
      </c>
      <c r="I405" s="15"/>
      <c r="J405" s="15" t="inlineStr">
        <is>
          <t xml:space="preserve">Yes</t>
        </is>
      </c>
      <c r="K405" s="15" t="inlineStr">
        <is>
          <t xml:space="preserve">Yes</t>
        </is>
      </c>
      <c r="L405" s="15" t="inlineStr">
        <is>
          <t xml:space="preserve">Probable</t>
        </is>
      </c>
      <c r="M405" s="15" t="inlineStr">
        <is>
          <t xml:space="preserve">Probable</t>
        </is>
      </c>
      <c r="N405" s="15" t="inlineStr">
        <is>
          <t xml:space="preserve">Luke</t>
        </is>
      </c>
      <c r="O405" s="15"/>
      <c r="P405" s="15" t="inlineStr">
        <is>
          <t xml:space="preserve">1:4</t>
        </is>
      </c>
      <c r="Q405" s="15" t="inlineStr">
        <is>
          <t xml:space="preserve">SRC-07-01; SRC-07-03</t>
        </is>
      </c>
      <c r="R405" s="15"/>
      <c r="S405" s="15" t="inlineStr">
        <is>
          <t xml:space="preserve">Do not assign a birth-date marker to this block.</t>
        </is>
      </c>
    </row>
    <row r="406" ht="34" customHeight="1">
      <c r="A406" s="15" t="inlineStr">
        <is>
          <t xml:space="preserve">v0.7</t>
        </is>
      </c>
      <c r="B406" s="15" t="inlineStr">
        <is>
          <t xml:space="preserve">Bible_Journey_Canon_Map_v0_7_Gospel_Chronology.xlsx</t>
        </is>
      </c>
      <c r="C406" s="15" t="inlineStr">
        <is>
          <t xml:space="preserve">BLK-07-002</t>
        </is>
      </c>
      <c r="D406" s="15" t="inlineStr">
        <is>
          <t xml:space="preserve">CRS-07-002</t>
        </is>
      </c>
      <c r="E406" s="15">
        <v>1</v>
      </c>
      <c r="F406" s="15" t="inlineStr">
        <is>
          <t xml:space="preserve">John</t>
        </is>
      </c>
      <c r="G406" s="15" t="inlineStr">
        <is>
          <t xml:space="preserve">John 1:1-18</t>
        </is>
      </c>
      <c r="H406" s="15" t="inlineStr">
        <is>
          <t xml:space="preserve">Literary Prologue</t>
        </is>
      </c>
      <c r="I406" s="15"/>
      <c r="J406" s="15" t="inlineStr">
        <is>
          <t xml:space="preserve">Yes</t>
        </is>
      </c>
      <c r="K406" s="15" t="inlineStr">
        <is>
          <t xml:space="preserve">Yes</t>
        </is>
      </c>
      <c r="L406" s="15" t="inlineStr">
        <is>
          <t xml:space="preserve">Probable</t>
        </is>
      </c>
      <c r="M406" s="15" t="inlineStr">
        <is>
          <t xml:space="preserve">Probable</t>
        </is>
      </c>
      <c r="N406" s="15" t="inlineStr">
        <is>
          <t xml:space="preserve">John</t>
        </is>
      </c>
      <c r="O406" s="15"/>
      <c r="P406" s="15" t="inlineStr">
        <is>
          <t xml:space="preserve">1:18</t>
        </is>
      </c>
      <c r="Q406" s="15" t="inlineStr">
        <is>
          <t xml:space="preserve">SRC-07-03; SRC-07-10</t>
        </is>
      </c>
      <c r="R406" s="15"/>
      <c r="S406" s="15" t="inlineStr">
        <is>
          <t xml:space="preserve">Do not impose a travel or event location.</t>
        </is>
      </c>
    </row>
    <row r="407" ht="34" customHeight="1">
      <c r="A407" s="15" t="inlineStr">
        <is>
          <t xml:space="preserve">v0.7</t>
        </is>
      </c>
      <c r="B407" s="15" t="inlineStr">
        <is>
          <t xml:space="preserve">Bible_Journey_Canon_Map_v0_7_Gospel_Chronology.xlsx</t>
        </is>
      </c>
      <c r="C407" s="15" t="inlineStr">
        <is>
          <t xml:space="preserve">BLK-07-003</t>
        </is>
      </c>
      <c r="D407" s="15" t="inlineStr">
        <is>
          <t xml:space="preserve">CRS-07-003</t>
        </is>
      </c>
      <c r="E407" s="15">
        <v>1</v>
      </c>
      <c r="F407" s="15" t="inlineStr">
        <is>
          <t xml:space="preserve">Matthew</t>
        </is>
      </c>
      <c r="G407" s="15" t="inlineStr">
        <is>
          <t xml:space="preserve">Matthew 1:1-17</t>
        </is>
      </c>
      <c r="H407" s="15" t="inlineStr">
        <is>
          <t xml:space="preserve">Genealogical Context</t>
        </is>
      </c>
      <c r="I407" s="15"/>
      <c r="J407" s="15" t="inlineStr">
        <is>
          <t xml:space="preserve">Yes</t>
        </is>
      </c>
      <c r="K407" s="15" t="inlineStr">
        <is>
          <t xml:space="preserve">Yes</t>
        </is>
      </c>
      <c r="L407" s="15" t="inlineStr">
        <is>
          <t xml:space="preserve">Probable</t>
        </is>
      </c>
      <c r="M407" s="15" t="inlineStr">
        <is>
          <t xml:space="preserve">Probable</t>
        </is>
      </c>
      <c r="N407" s="15" t="inlineStr">
        <is>
          <t xml:space="preserve">Matthew</t>
        </is>
      </c>
      <c r="O407" s="15"/>
      <c r="P407" s="15" t="inlineStr">
        <is>
          <t xml:space="preserve">1:17</t>
        </is>
      </c>
      <c r="Q407" s="15" t="inlineStr">
        <is>
          <t xml:space="preserve">SRC-07-04; SRC-07-11</t>
        </is>
      </c>
      <c r="R407" s="15"/>
      <c r="S407" s="15" t="inlineStr">
        <is>
          <t xml:space="preserve">Cross-link to Luke 3:23-38 as a related but distinct genealogy.</t>
        </is>
      </c>
    </row>
    <row r="408" ht="34" customHeight="1">
      <c r="A408" s="15" t="inlineStr">
        <is>
          <t xml:space="preserve">v0.7</t>
        </is>
      </c>
      <c r="B408" s="15" t="inlineStr">
        <is>
          <t xml:space="preserve">Bible_Journey_Canon_Map_v0_7_Gospel_Chronology.xlsx</t>
        </is>
      </c>
      <c r="C408" s="15" t="inlineStr">
        <is>
          <t xml:space="preserve">BLK-07-004</t>
        </is>
      </c>
      <c r="D408" s="15" t="inlineStr">
        <is>
          <t xml:space="preserve">CRS-07-004</t>
        </is>
      </c>
      <c r="E408" s="15">
        <v>1</v>
      </c>
      <c r="F408" s="15" t="inlineStr">
        <is>
          <t xml:space="preserve">Luke</t>
        </is>
      </c>
      <c r="G408" s="15" t="inlineStr">
        <is>
          <t xml:space="preserve">Luke 1:5-56</t>
        </is>
      </c>
      <c r="H408" s="15" t="inlineStr">
        <is>
          <t xml:space="preserve">Primary Account</t>
        </is>
      </c>
      <c r="I408" s="15"/>
      <c r="J408" s="15" t="inlineStr">
        <is>
          <t xml:space="preserve">Yes</t>
        </is>
      </c>
      <c r="K408" s="15" t="inlineStr">
        <is>
          <t xml:space="preserve">Yes</t>
        </is>
      </c>
      <c r="L408" s="15" t="inlineStr">
        <is>
          <t xml:space="preserve">Probable</t>
        </is>
      </c>
      <c r="M408" s="15" t="inlineStr">
        <is>
          <t xml:space="preserve">Probable</t>
        </is>
      </c>
      <c r="N408" s="15" t="inlineStr">
        <is>
          <t xml:space="preserve">Luke</t>
        </is>
      </c>
      <c r="O408" s="15"/>
      <c r="P408" s="15" t="inlineStr">
        <is>
          <t xml:space="preserve">1:56</t>
        </is>
      </c>
      <c r="Q408" s="15" t="inlineStr">
        <is>
          <t xml:space="preserve">SRC-07-04</t>
        </is>
      </c>
      <c r="R408" s="15"/>
      <c r="S408" s="15"/>
    </row>
    <row r="409" ht="34" customHeight="1">
      <c r="A409" s="15" t="inlineStr">
        <is>
          <t xml:space="preserve">v0.7</t>
        </is>
      </c>
      <c r="B409" s="15" t="inlineStr">
        <is>
          <t xml:space="preserve">Bible_Journey_Canon_Map_v0_7_Gospel_Chronology.xlsx</t>
        </is>
      </c>
      <c r="C409" s="15" t="inlineStr">
        <is>
          <t xml:space="preserve">BLK-07-005</t>
        </is>
      </c>
      <c r="D409" s="15" t="inlineStr">
        <is>
          <t xml:space="preserve">CRS-07-005</t>
        </is>
      </c>
      <c r="E409" s="15">
        <v>1</v>
      </c>
      <c r="F409" s="15" t="inlineStr">
        <is>
          <t xml:space="preserve">Matthew</t>
        </is>
      </c>
      <c r="G409" s="15" t="inlineStr">
        <is>
          <t xml:space="preserve">Matthew 1:18-25</t>
        </is>
      </c>
      <c r="H409" s="15" t="inlineStr">
        <is>
          <t xml:space="preserve">Primary Account</t>
        </is>
      </c>
      <c r="I409" s="15"/>
      <c r="J409" s="15" t="inlineStr">
        <is>
          <t xml:space="preserve">Yes</t>
        </is>
      </c>
      <c r="K409" s="15" t="inlineStr">
        <is>
          <t xml:space="preserve">Yes</t>
        </is>
      </c>
      <c r="L409" s="15" t="inlineStr">
        <is>
          <t xml:space="preserve">Probable</t>
        </is>
      </c>
      <c r="M409" s="15" t="inlineStr">
        <is>
          <t xml:space="preserve">Probable</t>
        </is>
      </c>
      <c r="N409" s="15" t="inlineStr">
        <is>
          <t xml:space="preserve">Matthew</t>
        </is>
      </c>
      <c r="O409" s="15"/>
      <c r="P409" s="15" t="inlineStr">
        <is>
          <t xml:space="preserve">1:25</t>
        </is>
      </c>
      <c r="Q409" s="15" t="inlineStr">
        <is>
          <t xml:space="preserve">SRC-07-04</t>
        </is>
      </c>
      <c r="R409" s="15"/>
      <c r="S409" s="15"/>
    </row>
    <row r="410" ht="34" customHeight="1">
      <c r="A410" s="15" t="inlineStr">
        <is>
          <t xml:space="preserve">v0.7</t>
        </is>
      </c>
      <c r="B410" s="15" t="inlineStr">
        <is>
          <t xml:space="preserve">Bible_Journey_Canon_Map_v0_7_Gospel_Chronology.xlsx</t>
        </is>
      </c>
      <c r="C410" s="15" t="inlineStr">
        <is>
          <t xml:space="preserve">BLK-07-006</t>
        </is>
      </c>
      <c r="D410" s="15" t="inlineStr">
        <is>
          <t xml:space="preserve">CRS-07-006</t>
        </is>
      </c>
      <c r="E410" s="15">
        <v>1</v>
      </c>
      <c r="F410" s="15" t="inlineStr">
        <is>
          <t xml:space="preserve">Luke</t>
        </is>
      </c>
      <c r="G410" s="15" t="inlineStr">
        <is>
          <t xml:space="preserve">Luke 1:57-2:20</t>
        </is>
      </c>
      <c r="H410" s="15" t="inlineStr">
        <is>
          <t xml:space="preserve">Primary Account</t>
        </is>
      </c>
      <c r="I410" s="15"/>
      <c r="J410" s="15" t="inlineStr">
        <is>
          <t xml:space="preserve">Yes</t>
        </is>
      </c>
      <c r="K410" s="15" t="inlineStr">
        <is>
          <t xml:space="preserve">Yes</t>
        </is>
      </c>
      <c r="L410" s="15" t="inlineStr">
        <is>
          <t xml:space="preserve">Probable</t>
        </is>
      </c>
      <c r="M410" s="15" t="inlineStr">
        <is>
          <t xml:space="preserve">Probable</t>
        </is>
      </c>
      <c r="N410" s="15" t="inlineStr">
        <is>
          <t xml:space="preserve">Luke</t>
        </is>
      </c>
      <c r="O410" s="15"/>
      <c r="P410" s="15" t="inlineStr">
        <is>
          <t xml:space="preserve">2:20</t>
        </is>
      </c>
      <c r="Q410" s="15" t="inlineStr">
        <is>
          <t xml:space="preserve">SRC-07-04</t>
        </is>
      </c>
      <c r="R410" s="15"/>
      <c r="S410" s="15"/>
    </row>
    <row r="411" ht="34" customHeight="1">
      <c r="A411" s="15" t="inlineStr">
        <is>
          <t xml:space="preserve">v0.7</t>
        </is>
      </c>
      <c r="B411" s="15" t="inlineStr">
        <is>
          <t xml:space="preserve">Bible_Journey_Canon_Map_v0_7_Gospel_Chronology.xlsx</t>
        </is>
      </c>
      <c r="C411" s="15" t="inlineStr">
        <is>
          <t xml:space="preserve">BLK-07-007</t>
        </is>
      </c>
      <c r="D411" s="15" t="inlineStr">
        <is>
          <t xml:space="preserve">CRS-07-007</t>
        </is>
      </c>
      <c r="E411" s="15">
        <v>1</v>
      </c>
      <c r="F411" s="15" t="inlineStr">
        <is>
          <t xml:space="preserve">Matthew</t>
        </is>
      </c>
      <c r="G411" s="15" t="inlineStr">
        <is>
          <t xml:space="preserve">Matthew 2</t>
        </is>
      </c>
      <c r="H411" s="15" t="inlineStr">
        <is>
          <t xml:space="preserve">Primary Account</t>
        </is>
      </c>
      <c r="I411" s="15"/>
      <c r="J411" s="15" t="inlineStr">
        <is>
          <t xml:space="preserve">Yes</t>
        </is>
      </c>
      <c r="K411" s="15" t="inlineStr">
        <is>
          <t xml:space="preserve">Yes</t>
        </is>
      </c>
      <c r="L411" s="15" t="inlineStr">
        <is>
          <t xml:space="preserve">Probable</t>
        </is>
      </c>
      <c r="M411" s="15" t="inlineStr">
        <is>
          <t xml:space="preserve">Probable</t>
        </is>
      </c>
      <c r="N411" s="15" t="inlineStr">
        <is>
          <t xml:space="preserve">Matthew</t>
        </is>
      </c>
      <c r="O411" s="15"/>
      <c r="P411" s="15" t="inlineStr">
        <is>
          <t xml:space="preserve">2:end</t>
        </is>
      </c>
      <c r="Q411" s="15" t="inlineStr">
        <is>
          <t xml:space="preserve">SRC-07-04; SRC-07-11</t>
        </is>
      </c>
      <c r="R411" s="15"/>
      <c r="S411" s="15"/>
    </row>
    <row r="412" ht="34" customHeight="1">
      <c r="A412" s="15" t="inlineStr">
        <is>
          <t xml:space="preserve">v0.7</t>
        </is>
      </c>
      <c r="B412" s="15" t="inlineStr">
        <is>
          <t xml:space="preserve">Bible_Journey_Canon_Map_v0_7_Gospel_Chronology.xlsx</t>
        </is>
      </c>
      <c r="C412" s="15" t="inlineStr">
        <is>
          <t xml:space="preserve">BLK-07-008</t>
        </is>
      </c>
      <c r="D412" s="15" t="inlineStr">
        <is>
          <t xml:space="preserve">CRS-07-008</t>
        </is>
      </c>
      <c r="E412" s="15">
        <v>1</v>
      </c>
      <c r="F412" s="15" t="inlineStr">
        <is>
          <t xml:space="preserve">Luke</t>
        </is>
      </c>
      <c r="G412" s="15" t="inlineStr">
        <is>
          <t xml:space="preserve">Luke 2:21-52</t>
        </is>
      </c>
      <c r="H412" s="15" t="inlineStr">
        <is>
          <t xml:space="preserve">Primary Account</t>
        </is>
      </c>
      <c r="I412" s="15"/>
      <c r="J412" s="15" t="inlineStr">
        <is>
          <t xml:space="preserve">Yes</t>
        </is>
      </c>
      <c r="K412" s="15" t="inlineStr">
        <is>
          <t xml:space="preserve">Yes</t>
        </is>
      </c>
      <c r="L412" s="15" t="inlineStr">
        <is>
          <t xml:space="preserve">Probable</t>
        </is>
      </c>
      <c r="M412" s="15" t="inlineStr">
        <is>
          <t xml:space="preserve">Probable</t>
        </is>
      </c>
      <c r="N412" s="15" t="inlineStr">
        <is>
          <t xml:space="preserve">Luke</t>
        </is>
      </c>
      <c r="O412" s="15"/>
      <c r="P412" s="15" t="inlineStr">
        <is>
          <t xml:space="preserve">2:end</t>
        </is>
      </c>
      <c r="Q412" s="15" t="inlineStr">
        <is>
          <t xml:space="preserve">SRC-07-04</t>
        </is>
      </c>
      <c r="R412" s="15"/>
      <c r="S412" s="15"/>
    </row>
    <row r="413" ht="34" customHeight="1">
      <c r="A413" s="15" t="inlineStr">
        <is>
          <t xml:space="preserve">v0.7</t>
        </is>
      </c>
      <c r="B413" s="15" t="inlineStr">
        <is>
          <t xml:space="preserve">Bible_Journey_Canon_Map_v0_7_Gospel_Chronology.xlsx</t>
        </is>
      </c>
      <c r="C413" s="15" t="inlineStr">
        <is>
          <t xml:space="preserve">BLK-07-009</t>
        </is>
      </c>
      <c r="D413" s="15" t="inlineStr">
        <is>
          <t xml:space="preserve">CRS-07-009</t>
        </is>
      </c>
      <c r="E413" s="15">
        <v>1</v>
      </c>
      <c r="F413" s="15" t="inlineStr">
        <is>
          <t xml:space="preserve">John</t>
        </is>
      </c>
      <c r="G413" s="15" t="inlineStr">
        <is>
          <t xml:space="preserve">John 1:19-34</t>
        </is>
      </c>
      <c r="H413" s="15" t="inlineStr">
        <is>
          <t xml:space="preserve">Related Account</t>
        </is>
      </c>
      <c r="I413" s="15"/>
      <c r="J413" s="15" t="inlineStr">
        <is>
          <t xml:space="preserve">Yes</t>
        </is>
      </c>
      <c r="K413" s="15" t="inlineStr">
        <is>
          <t xml:space="preserve">Yes</t>
        </is>
      </c>
      <c r="L413" s="15" t="inlineStr">
        <is>
          <t xml:space="preserve">Probable</t>
        </is>
      </c>
      <c r="M413" s="15" t="inlineStr">
        <is>
          <t xml:space="preserve">Probable</t>
        </is>
      </c>
      <c r="N413" s="15" t="inlineStr">
        <is>
          <t xml:space="preserve">John</t>
        </is>
      </c>
      <c r="O413" s="15" t="inlineStr">
        <is>
          <t xml:space="preserve">CMP-07-001</t>
        </is>
      </c>
      <c r="P413" s="15" t="inlineStr">
        <is>
          <t xml:space="preserve">1:34</t>
        </is>
      </c>
      <c r="Q413" s="15" t="inlineStr">
        <is>
          <t xml:space="preserve">SRC-07-01; SRC-07-02</t>
        </is>
      </c>
      <c r="R413" s="15"/>
      <c r="S413" s="15" t="inlineStr">
        <is>
          <t xml:space="preserve">Do not display as a verse-by-verse duplicate of the Synoptics.</t>
        </is>
      </c>
    </row>
    <row r="414" ht="34" customHeight="1">
      <c r="A414" s="15" t="inlineStr">
        <is>
          <t xml:space="preserve">v0.7</t>
        </is>
      </c>
      <c r="B414" s="15" t="inlineStr">
        <is>
          <t xml:space="preserve">Bible_Journey_Canon_Map_v0_7_Gospel_Chronology.xlsx</t>
        </is>
      </c>
      <c r="C414" s="15" t="inlineStr">
        <is>
          <t xml:space="preserve">BLK-07-010</t>
        </is>
      </c>
      <c r="D414" s="15" t="inlineStr">
        <is>
          <t xml:space="preserve">CRS-07-010</t>
        </is>
      </c>
      <c r="E414" s="15">
        <v>1</v>
      </c>
      <c r="F414" s="15" t="inlineStr">
        <is>
          <t xml:space="preserve">Mark</t>
        </is>
      </c>
      <c r="G414" s="15" t="inlineStr">
        <is>
          <t xml:space="preserve">Mark 1:1-11</t>
        </is>
      </c>
      <c r="H414" s="15" t="inlineStr">
        <is>
          <t xml:space="preserve">Primary Account</t>
        </is>
      </c>
      <c r="I414" s="15"/>
      <c r="J414" s="15" t="inlineStr">
        <is>
          <t xml:space="preserve">Yes</t>
        </is>
      </c>
      <c r="K414" s="15" t="inlineStr">
        <is>
          <t xml:space="preserve">Yes</t>
        </is>
      </c>
      <c r="L414" s="15" t="inlineStr">
        <is>
          <t xml:space="preserve">Probable</t>
        </is>
      </c>
      <c r="M414" s="15" t="inlineStr">
        <is>
          <t xml:space="preserve">Probable</t>
        </is>
      </c>
      <c r="N414" s="15" t="inlineStr">
        <is>
          <t xml:space="preserve">Mark</t>
        </is>
      </c>
      <c r="O414" s="15" t="inlineStr">
        <is>
          <t xml:space="preserve">CMP-07-002</t>
        </is>
      </c>
      <c r="P414" s="15" t="inlineStr">
        <is>
          <t xml:space="preserve">1:11</t>
        </is>
      </c>
      <c r="Q414" s="15" t="inlineStr">
        <is>
          <t xml:space="preserve">SRC-07-01; SRC-07-02</t>
        </is>
      </c>
      <c r="R414" s="15"/>
      <c r="S414" s="15"/>
    </row>
    <row r="415" ht="34" customHeight="1">
      <c r="A415" s="15" t="inlineStr">
        <is>
          <t xml:space="preserve">v0.7</t>
        </is>
      </c>
      <c r="B415" s="15" t="inlineStr">
        <is>
          <t xml:space="preserve">Bible_Journey_Canon_Map_v0_7_Gospel_Chronology.xlsx</t>
        </is>
      </c>
      <c r="C415" s="15" t="inlineStr">
        <is>
          <t xml:space="preserve">BLK-07-011</t>
        </is>
      </c>
      <c r="D415" s="15" t="inlineStr">
        <is>
          <t xml:space="preserve">CRS-07-010</t>
        </is>
      </c>
      <c r="E415" s="15">
        <v>2</v>
      </c>
      <c r="F415" s="15" t="inlineStr">
        <is>
          <t xml:space="preserve">Matthew</t>
        </is>
      </c>
      <c r="G415" s="15" t="inlineStr">
        <is>
          <t xml:space="preserve">Matthew 3</t>
        </is>
      </c>
      <c r="H415" s="15" t="inlineStr">
        <is>
          <t xml:space="preserve">Parallel Account</t>
        </is>
      </c>
      <c r="I415" s="15"/>
      <c r="J415" s="15" t="inlineStr">
        <is>
          <t xml:space="preserve">Yes</t>
        </is>
      </c>
      <c r="K415" s="15" t="inlineStr">
        <is>
          <t xml:space="preserve">No</t>
        </is>
      </c>
      <c r="L415" s="15" t="inlineStr">
        <is>
          <t xml:space="preserve">Probable</t>
        </is>
      </c>
      <c r="M415" s="15" t="inlineStr">
        <is>
          <t xml:space="preserve">Probable</t>
        </is>
      </c>
      <c r="N415" s="15" t="inlineStr">
        <is>
          <t xml:space="preserve">Matthew</t>
        </is>
      </c>
      <c r="O415" s="15" t="inlineStr">
        <is>
          <t xml:space="preserve">CMP-07-002</t>
        </is>
      </c>
      <c r="P415" s="15" t="inlineStr">
        <is>
          <t xml:space="preserve">3:end</t>
        </is>
      </c>
      <c r="Q415" s="15" t="inlineStr">
        <is>
          <t xml:space="preserve">SRC-07-01; SRC-07-02</t>
        </is>
      </c>
      <c r="R415" s="15"/>
      <c r="S415" s="15"/>
    </row>
    <row r="416" ht="34" customHeight="1">
      <c r="A416" s="15" t="inlineStr">
        <is>
          <t xml:space="preserve">v0.7</t>
        </is>
      </c>
      <c r="B416" s="15" t="inlineStr">
        <is>
          <t xml:space="preserve">Bible_Journey_Canon_Map_v0_7_Gospel_Chronology.xlsx</t>
        </is>
      </c>
      <c r="C416" s="15" t="inlineStr">
        <is>
          <t xml:space="preserve">BLK-07-012</t>
        </is>
      </c>
      <c r="D416" s="15" t="inlineStr">
        <is>
          <t xml:space="preserve">CRS-07-010</t>
        </is>
      </c>
      <c r="E416" s="15">
        <v>3</v>
      </c>
      <c r="F416" s="15" t="inlineStr">
        <is>
          <t xml:space="preserve">Luke</t>
        </is>
      </c>
      <c r="G416" s="15" t="inlineStr">
        <is>
          <t xml:space="preserve">Luke 3:1-22</t>
        </is>
      </c>
      <c r="H416" s="15" t="inlineStr">
        <is>
          <t xml:space="preserve">Parallel Account</t>
        </is>
      </c>
      <c r="I416" s="15"/>
      <c r="J416" s="15" t="inlineStr">
        <is>
          <t xml:space="preserve">Yes</t>
        </is>
      </c>
      <c r="K416" s="15" t="inlineStr">
        <is>
          <t xml:space="preserve">No</t>
        </is>
      </c>
      <c r="L416" s="15" t="inlineStr">
        <is>
          <t xml:space="preserve">Probable</t>
        </is>
      </c>
      <c r="M416" s="15" t="inlineStr">
        <is>
          <t xml:space="preserve">Probable</t>
        </is>
      </c>
      <c r="N416" s="15" t="inlineStr">
        <is>
          <t xml:space="preserve">Luke</t>
        </is>
      </c>
      <c r="O416" s="15" t="inlineStr">
        <is>
          <t xml:space="preserve">CMP-07-002</t>
        </is>
      </c>
      <c r="P416" s="15" t="inlineStr">
        <is>
          <t xml:space="preserve">3:22</t>
        </is>
      </c>
      <c r="Q416" s="15" t="inlineStr">
        <is>
          <t xml:space="preserve">SRC-07-01; SRC-07-02</t>
        </is>
      </c>
      <c r="R416" s="15"/>
      <c r="S416" s="15"/>
    </row>
    <row r="417" ht="34" customHeight="1">
      <c r="A417" s="15" t="inlineStr">
        <is>
          <t xml:space="preserve">v0.7</t>
        </is>
      </c>
      <c r="B417" s="15" t="inlineStr">
        <is>
          <t xml:space="preserve">Bible_Journey_Canon_Map_v0_7_Gospel_Chronology.xlsx</t>
        </is>
      </c>
      <c r="C417" s="15" t="inlineStr">
        <is>
          <t xml:space="preserve">BLK-07-013</t>
        </is>
      </c>
      <c r="D417" s="15" t="inlineStr">
        <is>
          <t xml:space="preserve">CRS-07-010</t>
        </is>
      </c>
      <c r="E417" s="15">
        <v>4</v>
      </c>
      <c r="F417" s="15" t="inlineStr">
        <is>
          <t xml:space="preserve">Luke</t>
        </is>
      </c>
      <c r="G417" s="15" t="inlineStr">
        <is>
          <t xml:space="preserve">Luke 3:23-38</t>
        </is>
      </c>
      <c r="H417" s="15" t="inlineStr">
        <is>
          <t xml:space="preserve">Genealogical Context</t>
        </is>
      </c>
      <c r="I417" s="15"/>
      <c r="J417" s="15" t="inlineStr">
        <is>
          <t xml:space="preserve">Yes</t>
        </is>
      </c>
      <c r="K417" s="15" t="inlineStr">
        <is>
          <t xml:space="preserve">Yes</t>
        </is>
      </c>
      <c r="L417" s="15" t="inlineStr">
        <is>
          <t xml:space="preserve">Probable</t>
        </is>
      </c>
      <c r="M417" s="15" t="inlineStr">
        <is>
          <t xml:space="preserve">Probable</t>
        </is>
      </c>
      <c r="N417" s="15" t="inlineStr">
        <is>
          <t xml:space="preserve">Luke</t>
        </is>
      </c>
      <c r="O417" s="15"/>
      <c r="P417" s="15" t="inlineStr">
        <is>
          <t xml:space="preserve">3:end</t>
        </is>
      </c>
      <c r="Q417" s="15" t="inlineStr">
        <is>
          <t xml:space="preserve">SRC-07-04; SRC-07-11</t>
        </is>
      </c>
      <c r="R417" s="15"/>
      <c r="S417" s="15" t="inlineStr">
        <is>
          <t xml:space="preserve">Cross-link to Matthew 1; do not collapse genealogies.</t>
        </is>
      </c>
    </row>
    <row r="418" ht="34" customHeight="1">
      <c r="A418" s="15" t="inlineStr">
        <is>
          <t xml:space="preserve">v0.7</t>
        </is>
      </c>
      <c r="B418" s="15" t="inlineStr">
        <is>
          <t xml:space="preserve">Bible_Journey_Canon_Map_v0_7_Gospel_Chronology.xlsx</t>
        </is>
      </c>
      <c r="C418" s="15" t="inlineStr">
        <is>
          <t xml:space="preserve">BLK-07-014</t>
        </is>
      </c>
      <c r="D418" s="15" t="inlineStr">
        <is>
          <t xml:space="preserve">CRS-07-011</t>
        </is>
      </c>
      <c r="E418" s="15">
        <v>1</v>
      </c>
      <c r="F418" s="15" t="inlineStr">
        <is>
          <t xml:space="preserve">Mark</t>
        </is>
      </c>
      <c r="G418" s="15" t="inlineStr">
        <is>
          <t xml:space="preserve">Mark 1:12-13</t>
        </is>
      </c>
      <c r="H418" s="15" t="inlineStr">
        <is>
          <t xml:space="preserve">Primary Account</t>
        </is>
      </c>
      <c r="I418" s="15"/>
      <c r="J418" s="15" t="inlineStr">
        <is>
          <t xml:space="preserve">Yes</t>
        </is>
      </c>
      <c r="K418" s="15" t="inlineStr">
        <is>
          <t xml:space="preserve">Yes</t>
        </is>
      </c>
      <c r="L418" s="15" t="inlineStr">
        <is>
          <t xml:space="preserve">Probable</t>
        </is>
      </c>
      <c r="M418" s="15" t="inlineStr">
        <is>
          <t xml:space="preserve">Probable</t>
        </is>
      </c>
      <c r="N418" s="15" t="inlineStr">
        <is>
          <t xml:space="preserve">Mark</t>
        </is>
      </c>
      <c r="O418" s="15" t="inlineStr">
        <is>
          <t xml:space="preserve">CMP-07-003</t>
        </is>
      </c>
      <c r="P418" s="15" t="inlineStr">
        <is>
          <t xml:space="preserve">1:13</t>
        </is>
      </c>
      <c r="Q418" s="15" t="inlineStr">
        <is>
          <t xml:space="preserve">SRC-07-01; SRC-07-02</t>
        </is>
      </c>
      <c r="R418" s="15"/>
      <c r="S418" s="15"/>
    </row>
    <row r="419" ht="34" customHeight="1">
      <c r="A419" s="15" t="inlineStr">
        <is>
          <t xml:space="preserve">v0.7</t>
        </is>
      </c>
      <c r="B419" s="15" t="inlineStr">
        <is>
          <t xml:space="preserve">Bible_Journey_Canon_Map_v0_7_Gospel_Chronology.xlsx</t>
        </is>
      </c>
      <c r="C419" s="15" t="inlineStr">
        <is>
          <t xml:space="preserve">BLK-07-015</t>
        </is>
      </c>
      <c r="D419" s="15" t="inlineStr">
        <is>
          <t xml:space="preserve">CRS-07-011</t>
        </is>
      </c>
      <c r="E419" s="15">
        <v>2</v>
      </c>
      <c r="F419" s="15" t="inlineStr">
        <is>
          <t xml:space="preserve">Matthew</t>
        </is>
      </c>
      <c r="G419" s="15" t="inlineStr">
        <is>
          <t xml:space="preserve">Matthew 4:1-11</t>
        </is>
      </c>
      <c r="H419" s="15" t="inlineStr">
        <is>
          <t xml:space="preserve">Parallel Account</t>
        </is>
      </c>
      <c r="I419" s="15"/>
      <c r="J419" s="15" t="inlineStr">
        <is>
          <t xml:space="preserve">Yes</t>
        </is>
      </c>
      <c r="K419" s="15" t="inlineStr">
        <is>
          <t xml:space="preserve">No</t>
        </is>
      </c>
      <c r="L419" s="15" t="inlineStr">
        <is>
          <t xml:space="preserve">Probable</t>
        </is>
      </c>
      <c r="M419" s="15" t="inlineStr">
        <is>
          <t xml:space="preserve">Probable</t>
        </is>
      </c>
      <c r="N419" s="15" t="inlineStr">
        <is>
          <t xml:space="preserve">Matthew</t>
        </is>
      </c>
      <c r="O419" s="15" t="inlineStr">
        <is>
          <t xml:space="preserve">CMP-07-003</t>
        </is>
      </c>
      <c r="P419" s="15" t="inlineStr">
        <is>
          <t xml:space="preserve">4:11</t>
        </is>
      </c>
      <c r="Q419" s="15" t="inlineStr">
        <is>
          <t xml:space="preserve">SRC-07-01; SRC-07-02</t>
        </is>
      </c>
      <c r="R419" s="15"/>
      <c r="S419" s="15"/>
    </row>
    <row r="420" ht="34" customHeight="1">
      <c r="A420" s="15" t="inlineStr">
        <is>
          <t xml:space="preserve">v0.7</t>
        </is>
      </c>
      <c r="B420" s="15" t="inlineStr">
        <is>
          <t xml:space="preserve">Bible_Journey_Canon_Map_v0_7_Gospel_Chronology.xlsx</t>
        </is>
      </c>
      <c r="C420" s="15" t="inlineStr">
        <is>
          <t xml:space="preserve">BLK-07-016</t>
        </is>
      </c>
      <c r="D420" s="15" t="inlineStr">
        <is>
          <t xml:space="preserve">CRS-07-011</t>
        </is>
      </c>
      <c r="E420" s="15">
        <v>3</v>
      </c>
      <c r="F420" s="15" t="inlineStr">
        <is>
          <t xml:space="preserve">Luke</t>
        </is>
      </c>
      <c r="G420" s="15" t="inlineStr">
        <is>
          <t xml:space="preserve">Luke 4:1-13</t>
        </is>
      </c>
      <c r="H420" s="15" t="inlineStr">
        <is>
          <t xml:space="preserve">Parallel Account</t>
        </is>
      </c>
      <c r="I420" s="15"/>
      <c r="J420" s="15" t="inlineStr">
        <is>
          <t xml:space="preserve">Yes</t>
        </is>
      </c>
      <c r="K420" s="15" t="inlineStr">
        <is>
          <t xml:space="preserve">No</t>
        </is>
      </c>
      <c r="L420" s="15" t="inlineStr">
        <is>
          <t xml:space="preserve">Probable</t>
        </is>
      </c>
      <c r="M420" s="15" t="inlineStr">
        <is>
          <t xml:space="preserve">Probable</t>
        </is>
      </c>
      <c r="N420" s="15" t="inlineStr">
        <is>
          <t xml:space="preserve">Luke</t>
        </is>
      </c>
      <c r="O420" s="15" t="inlineStr">
        <is>
          <t xml:space="preserve">CMP-07-003</t>
        </is>
      </c>
      <c r="P420" s="15" t="inlineStr">
        <is>
          <t xml:space="preserve">4:13</t>
        </is>
      </c>
      <c r="Q420" s="15" t="inlineStr">
        <is>
          <t xml:space="preserve">SRC-07-01; SRC-07-02</t>
        </is>
      </c>
      <c r="R420" s="15"/>
      <c r="S420" s="15"/>
    </row>
    <row r="421" ht="34" customHeight="1">
      <c r="A421" s="15" t="inlineStr">
        <is>
          <t xml:space="preserve">v0.7</t>
        </is>
      </c>
      <c r="B421" s="15" t="inlineStr">
        <is>
          <t xml:space="preserve">Bible_Journey_Canon_Map_v0_7_Gospel_Chronology.xlsx</t>
        </is>
      </c>
      <c r="C421" s="15" t="inlineStr">
        <is>
          <t xml:space="preserve">BLK-07-017</t>
        </is>
      </c>
      <c r="D421" s="15" t="inlineStr">
        <is>
          <t xml:space="preserve">CRS-07-012</t>
        </is>
      </c>
      <c r="E421" s="15">
        <v>1</v>
      </c>
      <c r="F421" s="15" t="inlineStr">
        <is>
          <t xml:space="preserve">John</t>
        </is>
      </c>
      <c r="G421" s="15" t="inlineStr">
        <is>
          <t xml:space="preserve">John 1:35-51</t>
        </is>
      </c>
      <c r="H421" s="15" t="inlineStr">
        <is>
          <t xml:space="preserve">Primary Account</t>
        </is>
      </c>
      <c r="I421" s="15"/>
      <c r="J421" s="15" t="inlineStr">
        <is>
          <t xml:space="preserve">Yes</t>
        </is>
      </c>
      <c r="K421" s="15" t="inlineStr">
        <is>
          <t xml:space="preserve">Yes</t>
        </is>
      </c>
      <c r="L421" s="15" t="inlineStr">
        <is>
          <t xml:space="preserve">Probable</t>
        </is>
      </c>
      <c r="M421" s="15" t="inlineStr">
        <is>
          <t xml:space="preserve">Probable</t>
        </is>
      </c>
      <c r="N421" s="15" t="inlineStr">
        <is>
          <t xml:space="preserve">John</t>
        </is>
      </c>
      <c r="O421" s="15"/>
      <c r="P421" s="15" t="inlineStr">
        <is>
          <t xml:space="preserve">1:end</t>
        </is>
      </c>
      <c r="Q421" s="15" t="inlineStr">
        <is>
          <t xml:space="preserve">SRC-07-01; SRC-07-10</t>
        </is>
      </c>
      <c r="R421" s="15"/>
      <c r="S421" s="15"/>
    </row>
    <row r="422" ht="34" customHeight="1">
      <c r="A422" s="15" t="inlineStr">
        <is>
          <t xml:space="preserve">v0.7</t>
        </is>
      </c>
      <c r="B422" s="15" t="inlineStr">
        <is>
          <t xml:space="preserve">Bible_Journey_Canon_Map_v0_7_Gospel_Chronology.xlsx</t>
        </is>
      </c>
      <c r="C422" s="15" t="inlineStr">
        <is>
          <t xml:space="preserve">BLK-07-018</t>
        </is>
      </c>
      <c r="D422" s="15" t="inlineStr">
        <is>
          <t xml:space="preserve">CRS-07-013</t>
        </is>
      </c>
      <c r="E422" s="15">
        <v>1</v>
      </c>
      <c r="F422" s="15" t="inlineStr">
        <is>
          <t xml:space="preserve">John</t>
        </is>
      </c>
      <c r="G422" s="15" t="inlineStr">
        <is>
          <t xml:space="preserve">John 2:1-12</t>
        </is>
      </c>
      <c r="H422" s="15" t="inlineStr">
        <is>
          <t xml:space="preserve">Primary Account</t>
        </is>
      </c>
      <c r="I422" s="15"/>
      <c r="J422" s="15" t="inlineStr">
        <is>
          <t xml:space="preserve">Yes</t>
        </is>
      </c>
      <c r="K422" s="15" t="inlineStr">
        <is>
          <t xml:space="preserve">Yes</t>
        </is>
      </c>
      <c r="L422" s="15" t="inlineStr">
        <is>
          <t xml:space="preserve">Probable</t>
        </is>
      </c>
      <c r="M422" s="15" t="inlineStr">
        <is>
          <t xml:space="preserve">Probable</t>
        </is>
      </c>
      <c r="N422" s="15" t="inlineStr">
        <is>
          <t xml:space="preserve">John</t>
        </is>
      </c>
      <c r="O422" s="15"/>
      <c r="P422" s="15" t="inlineStr">
        <is>
          <t xml:space="preserve">2:12</t>
        </is>
      </c>
      <c r="Q422" s="15" t="inlineStr">
        <is>
          <t xml:space="preserve">SRC-07-10</t>
        </is>
      </c>
      <c r="R422" s="15"/>
      <c r="S422" s="15"/>
    </row>
    <row r="423" ht="34" customHeight="1">
      <c r="A423" s="15" t="inlineStr">
        <is>
          <t xml:space="preserve">v0.7</t>
        </is>
      </c>
      <c r="B423" s="15" t="inlineStr">
        <is>
          <t xml:space="preserve">Bible_Journey_Canon_Map_v0_7_Gospel_Chronology.xlsx</t>
        </is>
      </c>
      <c r="C423" s="15" t="inlineStr">
        <is>
          <t xml:space="preserve">BLK-07-019</t>
        </is>
      </c>
      <c r="D423" s="15" t="inlineStr">
        <is>
          <t xml:space="preserve">CRS-07-014</t>
        </is>
      </c>
      <c r="E423" s="15">
        <v>1</v>
      </c>
      <c r="F423" s="15" t="inlineStr">
        <is>
          <t xml:space="preserve">John</t>
        </is>
      </c>
      <c r="G423" s="15" t="inlineStr">
        <is>
          <t xml:space="preserve">John 2:13-25</t>
        </is>
      </c>
      <c r="H423" s="15" t="inlineStr">
        <is>
          <t xml:space="preserve">Related Account</t>
        </is>
      </c>
      <c r="I423" s="15"/>
      <c r="J423" s="15" t="inlineStr">
        <is>
          <t xml:space="preserve">Yes</t>
        </is>
      </c>
      <c r="K423" s="15" t="inlineStr">
        <is>
          <t xml:space="preserve">Yes</t>
        </is>
      </c>
      <c r="L423" s="15" t="inlineStr">
        <is>
          <t xml:space="preserve">Probable</t>
        </is>
      </c>
      <c r="M423" s="15" t="inlineStr">
        <is>
          <t xml:space="preserve">Debated</t>
        </is>
      </c>
      <c r="N423" s="15" t="inlineStr">
        <is>
          <t xml:space="preserve">Appears early in John; linked later to Synoptic Temple-cleansing accounts.</t>
        </is>
      </c>
      <c r="O423" s="15" t="inlineStr">
        <is>
          <t xml:space="preserve">CMP-07-004</t>
        </is>
      </c>
      <c r="P423" s="15" t="inlineStr">
        <is>
          <t xml:space="preserve">2:end</t>
        </is>
      </c>
      <c r="Q423" s="15" t="inlineStr">
        <is>
          <t xml:space="preserve">SRC-07-01; SRC-07-10</t>
        </is>
      </c>
      <c r="R423" s="15"/>
      <c r="S423" s="15" t="inlineStr">
        <is>
          <t xml:space="preserve">Do not merge or force a single-event conclusion.</t>
        </is>
      </c>
    </row>
    <row r="424" ht="34" customHeight="1">
      <c r="A424" s="15" t="inlineStr">
        <is>
          <t xml:space="preserve">v0.7</t>
        </is>
      </c>
      <c r="B424" s="15" t="inlineStr">
        <is>
          <t xml:space="preserve">Bible_Journey_Canon_Map_v0_7_Gospel_Chronology.xlsx</t>
        </is>
      </c>
      <c r="C424" s="15" t="inlineStr">
        <is>
          <t xml:space="preserve">BLK-07-020</t>
        </is>
      </c>
      <c r="D424" s="15" t="inlineStr">
        <is>
          <t xml:space="preserve">CRS-07-015</t>
        </is>
      </c>
      <c r="E424" s="15">
        <v>1</v>
      </c>
      <c r="F424" s="15" t="inlineStr">
        <is>
          <t xml:space="preserve">John</t>
        </is>
      </c>
      <c r="G424" s="15" t="inlineStr">
        <is>
          <t xml:space="preserve">John 3:1-21</t>
        </is>
      </c>
      <c r="H424" s="15" t="inlineStr">
        <is>
          <t xml:space="preserve">Primary Account</t>
        </is>
      </c>
      <c r="I424" s="15"/>
      <c r="J424" s="15" t="inlineStr">
        <is>
          <t xml:space="preserve">Yes</t>
        </is>
      </c>
      <c r="K424" s="15" t="inlineStr">
        <is>
          <t xml:space="preserve">Yes</t>
        </is>
      </c>
      <c r="L424" s="15" t="inlineStr">
        <is>
          <t xml:space="preserve">Probable</t>
        </is>
      </c>
      <c r="M424" s="15" t="inlineStr">
        <is>
          <t xml:space="preserve">Probable</t>
        </is>
      </c>
      <c r="N424" s="15" t="inlineStr">
        <is>
          <t xml:space="preserve">John</t>
        </is>
      </c>
      <c r="O424" s="15"/>
      <c r="P424" s="15" t="inlineStr">
        <is>
          <t xml:space="preserve">3:21</t>
        </is>
      </c>
      <c r="Q424" s="15" t="inlineStr">
        <is>
          <t xml:space="preserve">SRC-07-10</t>
        </is>
      </c>
      <c r="R424" s="15"/>
      <c r="S424" s="15"/>
    </row>
    <row r="425" ht="34" customHeight="1">
      <c r="A425" s="15" t="inlineStr">
        <is>
          <t xml:space="preserve">v0.7</t>
        </is>
      </c>
      <c r="B425" s="15" t="inlineStr">
        <is>
          <t xml:space="preserve">Bible_Journey_Canon_Map_v0_7_Gospel_Chronology.xlsx</t>
        </is>
      </c>
      <c r="C425" s="15" t="inlineStr">
        <is>
          <t xml:space="preserve">BLK-07-021</t>
        </is>
      </c>
      <c r="D425" s="15" t="inlineStr">
        <is>
          <t xml:space="preserve">CRS-07-016</t>
        </is>
      </c>
      <c r="E425" s="15">
        <v>1</v>
      </c>
      <c r="F425" s="15" t="inlineStr">
        <is>
          <t xml:space="preserve">John</t>
        </is>
      </c>
      <c r="G425" s="15" t="inlineStr">
        <is>
          <t xml:space="preserve">John 3:22-36</t>
        </is>
      </c>
      <c r="H425" s="15" t="inlineStr">
        <is>
          <t xml:space="preserve">Primary Account</t>
        </is>
      </c>
      <c r="I425" s="15"/>
      <c r="J425" s="15" t="inlineStr">
        <is>
          <t xml:space="preserve">Yes</t>
        </is>
      </c>
      <c r="K425" s="15" t="inlineStr">
        <is>
          <t xml:space="preserve">Yes</t>
        </is>
      </c>
      <c r="L425" s="15" t="inlineStr">
        <is>
          <t xml:space="preserve">Probable</t>
        </is>
      </c>
      <c r="M425" s="15" t="inlineStr">
        <is>
          <t xml:space="preserve">Probable</t>
        </is>
      </c>
      <c r="N425" s="15" t="inlineStr">
        <is>
          <t xml:space="preserve">John</t>
        </is>
      </c>
      <c r="O425" s="15"/>
      <c r="P425" s="15" t="inlineStr">
        <is>
          <t xml:space="preserve">3:end</t>
        </is>
      </c>
      <c r="Q425" s="15" t="inlineStr">
        <is>
          <t xml:space="preserve">SRC-07-10</t>
        </is>
      </c>
      <c r="R425" s="15"/>
      <c r="S425" s="15"/>
    </row>
    <row r="426" ht="34" customHeight="1">
      <c r="A426" s="15" t="inlineStr">
        <is>
          <t xml:space="preserve">v0.7</t>
        </is>
      </c>
      <c r="B426" s="15" t="inlineStr">
        <is>
          <t xml:space="preserve">Bible_Journey_Canon_Map_v0_7_Gospel_Chronology.xlsx</t>
        </is>
      </c>
      <c r="C426" s="15" t="inlineStr">
        <is>
          <t xml:space="preserve">BLK-07-022</t>
        </is>
      </c>
      <c r="D426" s="15" t="inlineStr">
        <is>
          <t xml:space="preserve">CRS-07-017</t>
        </is>
      </c>
      <c r="E426" s="15">
        <v>1</v>
      </c>
      <c r="F426" s="15" t="inlineStr">
        <is>
          <t xml:space="preserve">John</t>
        </is>
      </c>
      <c r="G426" s="15" t="inlineStr">
        <is>
          <t xml:space="preserve">John 4:1-42</t>
        </is>
      </c>
      <c r="H426" s="15" t="inlineStr">
        <is>
          <t xml:space="preserve">Primary Account</t>
        </is>
      </c>
      <c r="I426" s="15"/>
      <c r="J426" s="15" t="inlineStr">
        <is>
          <t xml:space="preserve">Yes</t>
        </is>
      </c>
      <c r="K426" s="15" t="inlineStr">
        <is>
          <t xml:space="preserve">Yes</t>
        </is>
      </c>
      <c r="L426" s="15" t="inlineStr">
        <is>
          <t xml:space="preserve">Probable</t>
        </is>
      </c>
      <c r="M426" s="15" t="inlineStr">
        <is>
          <t xml:space="preserve">Probable</t>
        </is>
      </c>
      <c r="N426" s="15" t="inlineStr">
        <is>
          <t xml:space="preserve">John</t>
        </is>
      </c>
      <c r="O426" s="15"/>
      <c r="P426" s="15" t="inlineStr">
        <is>
          <t xml:space="preserve">4:42</t>
        </is>
      </c>
      <c r="Q426" s="15" t="inlineStr">
        <is>
          <t xml:space="preserve">SRC-07-03; SRC-07-10</t>
        </is>
      </c>
      <c r="R426" s="15"/>
      <c r="S426" s="15"/>
    </row>
    <row r="427" ht="34" customHeight="1">
      <c r="A427" s="15" t="inlineStr">
        <is>
          <t xml:space="preserve">v0.7</t>
        </is>
      </c>
      <c r="B427" s="15" t="inlineStr">
        <is>
          <t xml:space="preserve">Bible_Journey_Canon_Map_v0_7_Gospel_Chronology.xlsx</t>
        </is>
      </c>
      <c r="C427" s="15" t="inlineStr">
        <is>
          <t xml:space="preserve">BLK-07-023</t>
        </is>
      </c>
      <c r="D427" s="15" t="inlineStr">
        <is>
          <t xml:space="preserve">CRS-07-018</t>
        </is>
      </c>
      <c r="E427" s="15">
        <v>1</v>
      </c>
      <c r="F427" s="15" t="inlineStr">
        <is>
          <t xml:space="preserve">Mark</t>
        </is>
      </c>
      <c r="G427" s="15" t="inlineStr">
        <is>
          <t xml:space="preserve">Mark 1:14-15</t>
        </is>
      </c>
      <c r="H427" s="15" t="inlineStr">
        <is>
          <t xml:space="preserve">Primary Account</t>
        </is>
      </c>
      <c r="I427" s="15"/>
      <c r="J427" s="15" t="inlineStr">
        <is>
          <t xml:space="preserve">Yes</t>
        </is>
      </c>
      <c r="K427" s="15" t="inlineStr">
        <is>
          <t xml:space="preserve">Yes</t>
        </is>
      </c>
      <c r="L427" s="15" t="inlineStr">
        <is>
          <t xml:space="preserve">Probable</t>
        </is>
      </c>
      <c r="M427" s="15" t="inlineStr">
        <is>
          <t xml:space="preserve">Probable</t>
        </is>
      </c>
      <c r="N427" s="15" t="inlineStr">
        <is>
          <t xml:space="preserve">Mark</t>
        </is>
      </c>
      <c r="O427" s="15" t="inlineStr">
        <is>
          <t xml:space="preserve">CMP-07-005</t>
        </is>
      </c>
      <c r="P427" s="15" t="inlineStr">
        <is>
          <t xml:space="preserve">1:15</t>
        </is>
      </c>
      <c r="Q427" s="15" t="inlineStr">
        <is>
          <t xml:space="preserve">SRC-07-01; SRC-07-02</t>
        </is>
      </c>
      <c r="R427" s="15"/>
      <c r="S427" s="15"/>
    </row>
    <row r="428" ht="34" customHeight="1">
      <c r="A428" s="15" t="inlineStr">
        <is>
          <t xml:space="preserve">v0.7</t>
        </is>
      </c>
      <c r="B428" s="15" t="inlineStr">
        <is>
          <t xml:space="preserve">Bible_Journey_Canon_Map_v0_7_Gospel_Chronology.xlsx</t>
        </is>
      </c>
      <c r="C428" s="15" t="inlineStr">
        <is>
          <t xml:space="preserve">BLK-07-024</t>
        </is>
      </c>
      <c r="D428" s="15" t="inlineStr">
        <is>
          <t xml:space="preserve">CRS-07-018</t>
        </is>
      </c>
      <c r="E428" s="15">
        <v>2</v>
      </c>
      <c r="F428" s="15" t="inlineStr">
        <is>
          <t xml:space="preserve">Matthew</t>
        </is>
      </c>
      <c r="G428" s="15" t="inlineStr">
        <is>
          <t xml:space="preserve">Matthew 4:12-17</t>
        </is>
      </c>
      <c r="H428" s="15" t="inlineStr">
        <is>
          <t xml:space="preserve">Parallel Account</t>
        </is>
      </c>
      <c r="I428" s="15"/>
      <c r="J428" s="15" t="inlineStr">
        <is>
          <t xml:space="preserve">Yes</t>
        </is>
      </c>
      <c r="K428" s="15" t="inlineStr">
        <is>
          <t xml:space="preserve">No</t>
        </is>
      </c>
      <c r="L428" s="15" t="inlineStr">
        <is>
          <t xml:space="preserve">Probable</t>
        </is>
      </c>
      <c r="M428" s="15" t="inlineStr">
        <is>
          <t xml:space="preserve">Probable</t>
        </is>
      </c>
      <c r="N428" s="15" t="inlineStr">
        <is>
          <t xml:space="preserve">Matthew</t>
        </is>
      </c>
      <c r="O428" s="15" t="inlineStr">
        <is>
          <t xml:space="preserve">CMP-07-005</t>
        </is>
      </c>
      <c r="P428" s="15" t="inlineStr">
        <is>
          <t xml:space="preserve">4:17</t>
        </is>
      </c>
      <c r="Q428" s="15" t="inlineStr">
        <is>
          <t xml:space="preserve">SRC-07-01; SRC-07-02</t>
        </is>
      </c>
      <c r="R428" s="15"/>
      <c r="S428" s="15"/>
    </row>
    <row r="429" ht="34" customHeight="1">
      <c r="A429" s="15" t="inlineStr">
        <is>
          <t xml:space="preserve">v0.7</t>
        </is>
      </c>
      <c r="B429" s="15" t="inlineStr">
        <is>
          <t xml:space="preserve">Bible_Journey_Canon_Map_v0_7_Gospel_Chronology.xlsx</t>
        </is>
      </c>
      <c r="C429" s="15" t="inlineStr">
        <is>
          <t xml:space="preserve">BLK-07-196</t>
        </is>
      </c>
      <c r="D429" s="15" t="inlineStr">
        <is>
          <t xml:space="preserve">CRS-07-018</t>
        </is>
      </c>
      <c r="E429" s="15">
        <v>3</v>
      </c>
      <c r="F429" s="15" t="inlineStr">
        <is>
          <t xml:space="preserve">Luke</t>
        </is>
      </c>
      <c r="G429" s="15" t="inlineStr">
        <is>
          <t xml:space="preserve">Luke 4:14-15</t>
        </is>
      </c>
      <c r="H429" s="15" t="inlineStr">
        <is>
          <t xml:space="preserve">Complementary Account</t>
        </is>
      </c>
      <c r="I429" s="15"/>
      <c r="J429" s="15" t="inlineStr">
        <is>
          <t xml:space="preserve">Yes</t>
        </is>
      </c>
      <c r="K429" s="15" t="inlineStr">
        <is>
          <t xml:space="preserve">Yes</t>
        </is>
      </c>
      <c r="L429" s="15" t="inlineStr">
        <is>
          <t xml:space="preserve">Probable</t>
        </is>
      </c>
      <c r="M429" s="15" t="inlineStr">
        <is>
          <t xml:space="preserve">Probable</t>
        </is>
      </c>
      <c r="N429" s="15" t="inlineStr">
        <is>
          <t xml:space="preserve">Luke</t>
        </is>
      </c>
      <c r="O429" s="15"/>
      <c r="P429" s="15" t="inlineStr">
        <is>
          <t xml:space="preserve">4:15</t>
        </is>
      </c>
      <c r="Q429" s="15" t="inlineStr">
        <is>
          <t xml:space="preserve">SRC-07-01; SRC-07-03</t>
        </is>
      </c>
      <c r="R429" s="15"/>
      <c r="S429" s="15"/>
    </row>
    <row r="430" ht="34" customHeight="1">
      <c r="A430" s="15" t="inlineStr">
        <is>
          <t xml:space="preserve">v0.7</t>
        </is>
      </c>
      <c r="B430" s="15" t="inlineStr">
        <is>
          <t xml:space="preserve">Bible_Journey_Canon_Map_v0_7_Gospel_Chronology.xlsx</t>
        </is>
      </c>
      <c r="C430" s="15" t="inlineStr">
        <is>
          <t xml:space="preserve">BLK-07-197</t>
        </is>
      </c>
      <c r="D430" s="15" t="inlineStr">
        <is>
          <t xml:space="preserve">CRS-07-018</t>
        </is>
      </c>
      <c r="E430" s="15">
        <v>4</v>
      </c>
      <c r="F430" s="15" t="inlineStr">
        <is>
          <t xml:space="preserve">Matthew</t>
        </is>
      </c>
      <c r="G430" s="15" t="inlineStr">
        <is>
          <t xml:space="preserve">Matthew 4:23-25</t>
        </is>
      </c>
      <c r="H430" s="15" t="inlineStr">
        <is>
          <t xml:space="preserve">Complementary Account</t>
        </is>
      </c>
      <c r="I430" s="15"/>
      <c r="J430" s="15" t="inlineStr">
        <is>
          <t xml:space="preserve">Yes</t>
        </is>
      </c>
      <c r="K430" s="15" t="inlineStr">
        <is>
          <t xml:space="preserve">Yes</t>
        </is>
      </c>
      <c r="L430" s="15" t="inlineStr">
        <is>
          <t xml:space="preserve">Probable</t>
        </is>
      </c>
      <c r="M430" s="15" t="inlineStr">
        <is>
          <t xml:space="preserve">Probable</t>
        </is>
      </c>
      <c r="N430" s="15" t="inlineStr">
        <is>
          <t xml:space="preserve">Matthew</t>
        </is>
      </c>
      <c r="O430" s="15"/>
      <c r="P430" s="15" t="inlineStr">
        <is>
          <t xml:space="preserve">4:end</t>
        </is>
      </c>
      <c r="Q430" s="15" t="inlineStr">
        <is>
          <t xml:space="preserve">SRC-07-01; SRC-07-03</t>
        </is>
      </c>
      <c r="R430" s="15"/>
      <c r="S430" s="15"/>
    </row>
    <row r="431" ht="34" customHeight="1">
      <c r="A431" s="15" t="inlineStr">
        <is>
          <t xml:space="preserve">v0.7</t>
        </is>
      </c>
      <c r="B431" s="15" t="inlineStr">
        <is>
          <t xml:space="preserve">Bible_Journey_Canon_Map_v0_7_Gospel_Chronology.xlsx</t>
        </is>
      </c>
      <c r="C431" s="15" t="inlineStr">
        <is>
          <t xml:space="preserve">BLK-07-025</t>
        </is>
      </c>
      <c r="D431" s="15" t="inlineStr">
        <is>
          <t xml:space="preserve">CRS-07-018</t>
        </is>
      </c>
      <c r="E431" s="15">
        <v>5</v>
      </c>
      <c r="F431" s="15" t="inlineStr">
        <is>
          <t xml:space="preserve">John</t>
        </is>
      </c>
      <c r="G431" s="15" t="inlineStr">
        <is>
          <t xml:space="preserve">John 4:43-54</t>
        </is>
      </c>
      <c r="H431" s="15" t="inlineStr">
        <is>
          <t xml:space="preserve">Complementary Account</t>
        </is>
      </c>
      <c r="I431" s="15"/>
      <c r="J431" s="15" t="inlineStr">
        <is>
          <t xml:space="preserve">Yes</t>
        </is>
      </c>
      <c r="K431" s="15" t="inlineStr">
        <is>
          <t xml:space="preserve">Yes</t>
        </is>
      </c>
      <c r="L431" s="15" t="inlineStr">
        <is>
          <t xml:space="preserve">Probable</t>
        </is>
      </c>
      <c r="M431" s="15" t="inlineStr">
        <is>
          <t xml:space="preserve">Probable</t>
        </is>
      </c>
      <c r="N431" s="15" t="inlineStr">
        <is>
          <t xml:space="preserve">John</t>
        </is>
      </c>
      <c r="O431" s="15"/>
      <c r="P431" s="15" t="inlineStr">
        <is>
          <t xml:space="preserve">4:end</t>
        </is>
      </c>
      <c r="Q431" s="15" t="inlineStr">
        <is>
          <t xml:space="preserve">SRC-07-10</t>
        </is>
      </c>
      <c r="R431" s="15"/>
      <c r="S431" s="15"/>
    </row>
    <row r="432" ht="34" customHeight="1">
      <c r="A432" s="15" t="inlineStr">
        <is>
          <t xml:space="preserve">v0.7</t>
        </is>
      </c>
      <c r="B432" s="15" t="inlineStr">
        <is>
          <t xml:space="preserve">Bible_Journey_Canon_Map_v0_7_Gospel_Chronology.xlsx</t>
        </is>
      </c>
      <c r="C432" s="15" t="inlineStr">
        <is>
          <t xml:space="preserve">BLK-07-026</t>
        </is>
      </c>
      <c r="D432" s="15" t="inlineStr">
        <is>
          <t xml:space="preserve">CRS-07-019</t>
        </is>
      </c>
      <c r="E432" s="15">
        <v>1</v>
      </c>
      <c r="F432" s="15" t="inlineStr">
        <is>
          <t xml:space="preserve">Luke</t>
        </is>
      </c>
      <c r="G432" s="15" t="inlineStr">
        <is>
          <t xml:space="preserve">Luke 4:16-30</t>
        </is>
      </c>
      <c r="H432" s="15" t="inlineStr">
        <is>
          <t xml:space="preserve">Primary Account</t>
        </is>
      </c>
      <c r="I432" s="15"/>
      <c r="J432" s="15" t="inlineStr">
        <is>
          <t xml:space="preserve">Yes</t>
        </is>
      </c>
      <c r="K432" s="15" t="inlineStr">
        <is>
          <t xml:space="preserve">Yes</t>
        </is>
      </c>
      <c r="L432" s="15" t="inlineStr">
        <is>
          <t xml:space="preserve">Probable</t>
        </is>
      </c>
      <c r="M432" s="15" t="inlineStr">
        <is>
          <t xml:space="preserve">Probable</t>
        </is>
      </c>
      <c r="N432" s="15" t="inlineStr">
        <is>
          <t xml:space="preserve">Luke</t>
        </is>
      </c>
      <c r="O432" s="15"/>
      <c r="P432" s="15" t="inlineStr">
        <is>
          <t xml:space="preserve">4:30</t>
        </is>
      </c>
      <c r="Q432" s="15" t="inlineStr">
        <is>
          <t xml:space="preserve">SRC-07-01; SRC-07-03</t>
        </is>
      </c>
      <c r="R432" s="15"/>
      <c r="S432" s="15" t="inlineStr">
        <is>
          <t xml:space="preserve">Cross-link later Matt 13:53-58 / Mark 6:1-6 without declaring identical event.</t>
        </is>
      </c>
    </row>
    <row r="433" ht="34" customHeight="1">
      <c r="A433" s="15" t="inlineStr">
        <is>
          <t xml:space="preserve">v0.7</t>
        </is>
      </c>
      <c r="B433" s="15" t="inlineStr">
        <is>
          <t xml:space="preserve">Bible_Journey_Canon_Map_v0_7_Gospel_Chronology.xlsx</t>
        </is>
      </c>
      <c r="C433" s="15" t="inlineStr">
        <is>
          <t xml:space="preserve">BLK-07-027</t>
        </is>
      </c>
      <c r="D433" s="15" t="inlineStr">
        <is>
          <t xml:space="preserve">CRS-07-020</t>
        </is>
      </c>
      <c r="E433" s="15">
        <v>1</v>
      </c>
      <c r="F433" s="15" t="inlineStr">
        <is>
          <t xml:space="preserve">Mark</t>
        </is>
      </c>
      <c r="G433" s="15" t="inlineStr">
        <is>
          <t xml:space="preserve">Mark 1:16-20</t>
        </is>
      </c>
      <c r="H433" s="15" t="inlineStr">
        <is>
          <t xml:space="preserve">Primary Account</t>
        </is>
      </c>
      <c r="I433" s="15"/>
      <c r="J433" s="15" t="inlineStr">
        <is>
          <t xml:space="preserve">Yes</t>
        </is>
      </c>
      <c r="K433" s="15" t="inlineStr">
        <is>
          <t xml:space="preserve">Yes</t>
        </is>
      </c>
      <c r="L433" s="15" t="inlineStr">
        <is>
          <t xml:space="preserve">Probable</t>
        </is>
      </c>
      <c r="M433" s="15" t="inlineStr">
        <is>
          <t xml:space="preserve">Probable</t>
        </is>
      </c>
      <c r="N433" s="15" t="inlineStr">
        <is>
          <t xml:space="preserve">Mark</t>
        </is>
      </c>
      <c r="O433" s="15" t="inlineStr">
        <is>
          <t xml:space="preserve">CMP-07-006</t>
        </is>
      </c>
      <c r="P433" s="15" t="inlineStr">
        <is>
          <t xml:space="preserve">1:20</t>
        </is>
      </c>
      <c r="Q433" s="15" t="inlineStr">
        <is>
          <t xml:space="preserve">SRC-07-01; SRC-07-02</t>
        </is>
      </c>
      <c r="R433" s="15"/>
      <c r="S433" s="15"/>
    </row>
    <row r="434" ht="34" customHeight="1">
      <c r="A434" s="15" t="inlineStr">
        <is>
          <t xml:space="preserve">v0.7</t>
        </is>
      </c>
      <c r="B434" s="15" t="inlineStr">
        <is>
          <t xml:space="preserve">Bible_Journey_Canon_Map_v0_7_Gospel_Chronology.xlsx</t>
        </is>
      </c>
      <c r="C434" s="15" t="inlineStr">
        <is>
          <t xml:space="preserve">BLK-07-028</t>
        </is>
      </c>
      <c r="D434" s="15" t="inlineStr">
        <is>
          <t xml:space="preserve">CRS-07-020</t>
        </is>
      </c>
      <c r="E434" s="15">
        <v>2</v>
      </c>
      <c r="F434" s="15" t="inlineStr">
        <is>
          <t xml:space="preserve">Matthew</t>
        </is>
      </c>
      <c r="G434" s="15" t="inlineStr">
        <is>
          <t xml:space="preserve">Matthew 4:18-22</t>
        </is>
      </c>
      <c r="H434" s="15" t="inlineStr">
        <is>
          <t xml:space="preserve">Parallel Account</t>
        </is>
      </c>
      <c r="I434" s="15"/>
      <c r="J434" s="15" t="inlineStr">
        <is>
          <t xml:space="preserve">Yes</t>
        </is>
      </c>
      <c r="K434" s="15" t="inlineStr">
        <is>
          <t xml:space="preserve">No</t>
        </is>
      </c>
      <c r="L434" s="15" t="inlineStr">
        <is>
          <t xml:space="preserve">Probable</t>
        </is>
      </c>
      <c r="M434" s="15" t="inlineStr">
        <is>
          <t xml:space="preserve">Probable</t>
        </is>
      </c>
      <c r="N434" s="15" t="inlineStr">
        <is>
          <t xml:space="preserve">Matthew</t>
        </is>
      </c>
      <c r="O434" s="15" t="inlineStr">
        <is>
          <t xml:space="preserve">CMP-07-006</t>
        </is>
      </c>
      <c r="P434" s="15" t="inlineStr">
        <is>
          <t xml:space="preserve">4:22</t>
        </is>
      </c>
      <c r="Q434" s="15" t="inlineStr">
        <is>
          <t xml:space="preserve">SRC-07-01; SRC-07-02</t>
        </is>
      </c>
      <c r="R434" s="15"/>
      <c r="S434" s="15"/>
    </row>
    <row r="435" ht="34" customHeight="1">
      <c r="A435" s="15" t="inlineStr">
        <is>
          <t xml:space="preserve">v0.7</t>
        </is>
      </c>
      <c r="B435" s="15" t="inlineStr">
        <is>
          <t xml:space="preserve">Bible_Journey_Canon_Map_v0_7_Gospel_Chronology.xlsx</t>
        </is>
      </c>
      <c r="C435" s="15" t="inlineStr">
        <is>
          <t xml:space="preserve">BLK-07-029</t>
        </is>
      </c>
      <c r="D435" s="15" t="inlineStr">
        <is>
          <t xml:space="preserve">CRS-07-020</t>
        </is>
      </c>
      <c r="E435" s="15">
        <v>3</v>
      </c>
      <c r="F435" s="15" t="inlineStr">
        <is>
          <t xml:space="preserve">Luke</t>
        </is>
      </c>
      <c r="G435" s="15" t="inlineStr">
        <is>
          <t xml:space="preserve">Luke 5:1-11</t>
        </is>
      </c>
      <c r="H435" s="15" t="inlineStr">
        <is>
          <t xml:space="preserve">Related Account</t>
        </is>
      </c>
      <c r="I435" s="15"/>
      <c r="J435" s="15" t="inlineStr">
        <is>
          <t xml:space="preserve">Yes</t>
        </is>
      </c>
      <c r="K435" s="15" t="inlineStr">
        <is>
          <t xml:space="preserve">Yes</t>
        </is>
      </c>
      <c r="L435" s="15" t="inlineStr">
        <is>
          <t xml:space="preserve">Probable</t>
        </is>
      </c>
      <c r="M435" s="15" t="inlineStr">
        <is>
          <t xml:space="preserve">Probable</t>
        </is>
      </c>
      <c r="N435" s="15" t="inlineStr">
        <is>
          <t xml:space="preserve">Luke</t>
        </is>
      </c>
      <c r="O435" s="15" t="inlineStr">
        <is>
          <t xml:space="preserve">CMP-07-006</t>
        </is>
      </c>
      <c r="P435" s="15" t="inlineStr">
        <is>
          <t xml:space="preserve">5:11</t>
        </is>
      </c>
      <c r="Q435" s="15" t="inlineStr">
        <is>
          <t xml:space="preserve">SRC-07-01; SRC-07-02</t>
        </is>
      </c>
      <c r="R435" s="15"/>
      <c r="S435" s="15"/>
    </row>
    <row r="436" ht="34" customHeight="1">
      <c r="A436" s="15" t="inlineStr">
        <is>
          <t xml:space="preserve">v0.7</t>
        </is>
      </c>
      <c r="B436" s="15" t="inlineStr">
        <is>
          <t xml:space="preserve">Bible_Journey_Canon_Map_v0_7_Gospel_Chronology.xlsx</t>
        </is>
      </c>
      <c r="C436" s="15" t="inlineStr">
        <is>
          <t xml:space="preserve">BLK-07-030</t>
        </is>
      </c>
      <c r="D436" s="15" t="inlineStr">
        <is>
          <t xml:space="preserve">CRS-07-021</t>
        </is>
      </c>
      <c r="E436" s="15">
        <v>1</v>
      </c>
      <c r="F436" s="15" t="inlineStr">
        <is>
          <t xml:space="preserve">Mark</t>
        </is>
      </c>
      <c r="G436" s="15" t="inlineStr">
        <is>
          <t xml:space="preserve">Mark 1:21-28</t>
        </is>
      </c>
      <c r="H436" s="15" t="inlineStr">
        <is>
          <t xml:space="preserve">Primary Account</t>
        </is>
      </c>
      <c r="I436" s="15"/>
      <c r="J436" s="15" t="inlineStr">
        <is>
          <t xml:space="preserve">Yes</t>
        </is>
      </c>
      <c r="K436" s="15" t="inlineStr">
        <is>
          <t xml:space="preserve">Yes</t>
        </is>
      </c>
      <c r="L436" s="15" t="inlineStr">
        <is>
          <t xml:space="preserve">Probable</t>
        </is>
      </c>
      <c r="M436" s="15" t="inlineStr">
        <is>
          <t xml:space="preserve">Probable</t>
        </is>
      </c>
      <c r="N436" s="15" t="inlineStr">
        <is>
          <t xml:space="preserve">Mark</t>
        </is>
      </c>
      <c r="O436" s="15" t="inlineStr">
        <is>
          <t xml:space="preserve">CMP-07-007</t>
        </is>
      </c>
      <c r="P436" s="15" t="inlineStr">
        <is>
          <t xml:space="preserve">1:28</t>
        </is>
      </c>
      <c r="Q436" s="15" t="inlineStr">
        <is>
          <t xml:space="preserve">SRC-07-01; SRC-07-02</t>
        </is>
      </c>
      <c r="R436" s="15"/>
      <c r="S436" s="15"/>
    </row>
    <row r="437" ht="34" customHeight="1">
      <c r="A437" s="15" t="inlineStr">
        <is>
          <t xml:space="preserve">v0.7</t>
        </is>
      </c>
      <c r="B437" s="15" t="inlineStr">
        <is>
          <t xml:space="preserve">Bible_Journey_Canon_Map_v0_7_Gospel_Chronology.xlsx</t>
        </is>
      </c>
      <c r="C437" s="15" t="inlineStr">
        <is>
          <t xml:space="preserve">BLK-07-031</t>
        </is>
      </c>
      <c r="D437" s="15" t="inlineStr">
        <is>
          <t xml:space="preserve">CRS-07-021</t>
        </is>
      </c>
      <c r="E437" s="15">
        <v>2</v>
      </c>
      <c r="F437" s="15" t="inlineStr">
        <is>
          <t xml:space="preserve">Luke</t>
        </is>
      </c>
      <c r="G437" s="15" t="inlineStr">
        <is>
          <t xml:space="preserve">Luke 4:31-37</t>
        </is>
      </c>
      <c r="H437" s="15" t="inlineStr">
        <is>
          <t xml:space="preserve">Parallel Account</t>
        </is>
      </c>
      <c r="I437" s="15"/>
      <c r="J437" s="15" t="inlineStr">
        <is>
          <t xml:space="preserve">Yes</t>
        </is>
      </c>
      <c r="K437" s="15" t="inlineStr">
        <is>
          <t xml:space="preserve">No</t>
        </is>
      </c>
      <c r="L437" s="15" t="inlineStr">
        <is>
          <t xml:space="preserve">Probable</t>
        </is>
      </c>
      <c r="M437" s="15" t="inlineStr">
        <is>
          <t xml:space="preserve">Probable</t>
        </is>
      </c>
      <c r="N437" s="15" t="inlineStr">
        <is>
          <t xml:space="preserve">Luke</t>
        </is>
      </c>
      <c r="O437" s="15" t="inlineStr">
        <is>
          <t xml:space="preserve">CMP-07-007</t>
        </is>
      </c>
      <c r="P437" s="15" t="inlineStr">
        <is>
          <t xml:space="preserve">4:37</t>
        </is>
      </c>
      <c r="Q437" s="15" t="inlineStr">
        <is>
          <t xml:space="preserve">SRC-07-01; SRC-07-02</t>
        </is>
      </c>
      <c r="R437" s="15"/>
      <c r="S437" s="15"/>
    </row>
    <row r="438" ht="34" customHeight="1">
      <c r="A438" s="15" t="inlineStr">
        <is>
          <t xml:space="preserve">v0.7</t>
        </is>
      </c>
      <c r="B438" s="15" t="inlineStr">
        <is>
          <t xml:space="preserve">Bible_Journey_Canon_Map_v0_7_Gospel_Chronology.xlsx</t>
        </is>
      </c>
      <c r="C438" s="15" t="inlineStr">
        <is>
          <t xml:space="preserve">BLK-07-032</t>
        </is>
      </c>
      <c r="D438" s="15" t="inlineStr">
        <is>
          <t xml:space="preserve">CRS-07-022</t>
        </is>
      </c>
      <c r="E438" s="15">
        <v>1</v>
      </c>
      <c r="F438" s="15" t="inlineStr">
        <is>
          <t xml:space="preserve">Mark</t>
        </is>
      </c>
      <c r="G438" s="15" t="inlineStr">
        <is>
          <t xml:space="preserve">Mark 1:29-34</t>
        </is>
      </c>
      <c r="H438" s="15" t="inlineStr">
        <is>
          <t xml:space="preserve">Primary Account</t>
        </is>
      </c>
      <c r="I438" s="15"/>
      <c r="J438" s="15" t="inlineStr">
        <is>
          <t xml:space="preserve">Yes</t>
        </is>
      </c>
      <c r="K438" s="15" t="inlineStr">
        <is>
          <t xml:space="preserve">Yes</t>
        </is>
      </c>
      <c r="L438" s="15" t="inlineStr">
        <is>
          <t xml:space="preserve">Probable</t>
        </is>
      </c>
      <c r="M438" s="15" t="inlineStr">
        <is>
          <t xml:space="preserve">Probable</t>
        </is>
      </c>
      <c r="N438" s="15" t="inlineStr">
        <is>
          <t xml:space="preserve">Mark</t>
        </is>
      </c>
      <c r="O438" s="15" t="inlineStr">
        <is>
          <t xml:space="preserve">CMP-07-008</t>
        </is>
      </c>
      <c r="P438" s="15" t="inlineStr">
        <is>
          <t xml:space="preserve">1:34</t>
        </is>
      </c>
      <c r="Q438" s="15" t="inlineStr">
        <is>
          <t xml:space="preserve">SRC-07-01; SRC-07-02</t>
        </is>
      </c>
      <c r="R438" s="15"/>
      <c r="S438" s="15"/>
    </row>
    <row r="439" ht="34" customHeight="1">
      <c r="A439" s="15" t="inlineStr">
        <is>
          <t xml:space="preserve">v0.7</t>
        </is>
      </c>
      <c r="B439" s="15" t="inlineStr">
        <is>
          <t xml:space="preserve">Bible_Journey_Canon_Map_v0_7_Gospel_Chronology.xlsx</t>
        </is>
      </c>
      <c r="C439" s="15" t="inlineStr">
        <is>
          <t xml:space="preserve">BLK-07-033</t>
        </is>
      </c>
      <c r="D439" s="15" t="inlineStr">
        <is>
          <t xml:space="preserve">CRS-07-022</t>
        </is>
      </c>
      <c r="E439" s="15">
        <v>2</v>
      </c>
      <c r="F439" s="15" t="inlineStr">
        <is>
          <t xml:space="preserve">Matthew</t>
        </is>
      </c>
      <c r="G439" s="15" t="inlineStr">
        <is>
          <t xml:space="preserve">Matthew 8:14-17</t>
        </is>
      </c>
      <c r="H439" s="15" t="inlineStr">
        <is>
          <t xml:space="preserve">Parallel Account</t>
        </is>
      </c>
      <c r="I439" s="15"/>
      <c r="J439" s="15" t="inlineStr">
        <is>
          <t xml:space="preserve">Yes</t>
        </is>
      </c>
      <c r="K439" s="15" t="inlineStr">
        <is>
          <t xml:space="preserve">No</t>
        </is>
      </c>
      <c r="L439" s="15" t="inlineStr">
        <is>
          <t xml:space="preserve">Probable</t>
        </is>
      </c>
      <c r="M439" s="15" t="inlineStr">
        <is>
          <t xml:space="preserve">Probable</t>
        </is>
      </c>
      <c r="N439" s="15" t="inlineStr">
        <is>
          <t xml:space="preserve">Matthew</t>
        </is>
      </c>
      <c r="O439" s="15" t="inlineStr">
        <is>
          <t xml:space="preserve">CMP-07-008</t>
        </is>
      </c>
      <c r="P439" s="15" t="inlineStr">
        <is>
          <t xml:space="preserve">8:17</t>
        </is>
      </c>
      <c r="Q439" s="15" t="inlineStr">
        <is>
          <t xml:space="preserve">SRC-07-01; SRC-07-02</t>
        </is>
      </c>
      <c r="R439" s="15"/>
      <c r="S439" s="15"/>
    </row>
    <row r="440" ht="34" customHeight="1">
      <c r="A440" s="15" t="inlineStr">
        <is>
          <t xml:space="preserve">v0.7</t>
        </is>
      </c>
      <c r="B440" s="15" t="inlineStr">
        <is>
          <t xml:space="preserve">Bible_Journey_Canon_Map_v0_7_Gospel_Chronology.xlsx</t>
        </is>
      </c>
      <c r="C440" s="15" t="inlineStr">
        <is>
          <t xml:space="preserve">BLK-07-034</t>
        </is>
      </c>
      <c r="D440" s="15" t="inlineStr">
        <is>
          <t xml:space="preserve">CRS-07-022</t>
        </is>
      </c>
      <c r="E440" s="15">
        <v>3</v>
      </c>
      <c r="F440" s="15" t="inlineStr">
        <is>
          <t xml:space="preserve">Luke</t>
        </is>
      </c>
      <c r="G440" s="15" t="inlineStr">
        <is>
          <t xml:space="preserve">Luke 4:38-41</t>
        </is>
      </c>
      <c r="H440" s="15" t="inlineStr">
        <is>
          <t xml:space="preserve">Parallel Account</t>
        </is>
      </c>
      <c r="I440" s="15"/>
      <c r="J440" s="15" t="inlineStr">
        <is>
          <t xml:space="preserve">Yes</t>
        </is>
      </c>
      <c r="K440" s="15" t="inlineStr">
        <is>
          <t xml:space="preserve">No</t>
        </is>
      </c>
      <c r="L440" s="15" t="inlineStr">
        <is>
          <t xml:space="preserve">Probable</t>
        </is>
      </c>
      <c r="M440" s="15" t="inlineStr">
        <is>
          <t xml:space="preserve">Probable</t>
        </is>
      </c>
      <c r="N440" s="15" t="inlineStr">
        <is>
          <t xml:space="preserve">Luke</t>
        </is>
      </c>
      <c r="O440" s="15" t="inlineStr">
        <is>
          <t xml:space="preserve">CMP-07-008</t>
        </is>
      </c>
      <c r="P440" s="15" t="inlineStr">
        <is>
          <t xml:space="preserve">4:41</t>
        </is>
      </c>
      <c r="Q440" s="15" t="inlineStr">
        <is>
          <t xml:space="preserve">SRC-07-01; SRC-07-02</t>
        </is>
      </c>
      <c r="R440" s="15"/>
      <c r="S440" s="15"/>
    </row>
    <row r="441" ht="34" customHeight="1">
      <c r="A441" s="15" t="inlineStr">
        <is>
          <t xml:space="preserve">v0.7</t>
        </is>
      </c>
      <c r="B441" s="15" t="inlineStr">
        <is>
          <t xml:space="preserve">Bible_Journey_Canon_Map_v0_7_Gospel_Chronology.xlsx</t>
        </is>
      </c>
      <c r="C441" s="15" t="inlineStr">
        <is>
          <t xml:space="preserve">BLK-07-035</t>
        </is>
      </c>
      <c r="D441" s="15" t="inlineStr">
        <is>
          <t xml:space="preserve">CRS-07-023</t>
        </is>
      </c>
      <c r="E441" s="15">
        <v>1</v>
      </c>
      <c r="F441" s="15" t="inlineStr">
        <is>
          <t xml:space="preserve">Mark</t>
        </is>
      </c>
      <c r="G441" s="15" t="inlineStr">
        <is>
          <t xml:space="preserve">Mark 1:35-45</t>
        </is>
      </c>
      <c r="H441" s="15" t="inlineStr">
        <is>
          <t xml:space="preserve">Primary Account</t>
        </is>
      </c>
      <c r="I441" s="15"/>
      <c r="J441" s="15" t="inlineStr">
        <is>
          <t xml:space="preserve">Yes</t>
        </is>
      </c>
      <c r="K441" s="15" t="inlineStr">
        <is>
          <t xml:space="preserve">Yes</t>
        </is>
      </c>
      <c r="L441" s="15" t="inlineStr">
        <is>
          <t xml:space="preserve">Probable</t>
        </is>
      </c>
      <c r="M441" s="15" t="inlineStr">
        <is>
          <t xml:space="preserve">Probable</t>
        </is>
      </c>
      <c r="N441" s="15" t="inlineStr">
        <is>
          <t xml:space="preserve">Mark</t>
        </is>
      </c>
      <c r="O441" s="15" t="inlineStr">
        <is>
          <t xml:space="preserve">CMP-07-009</t>
        </is>
      </c>
      <c r="P441" s="15" t="inlineStr">
        <is>
          <t xml:space="preserve">1:end</t>
        </is>
      </c>
      <c r="Q441" s="15" t="inlineStr">
        <is>
          <t xml:space="preserve">SRC-07-01; SRC-07-02</t>
        </is>
      </c>
      <c r="R441" s="15"/>
      <c r="S441" s="15"/>
    </row>
    <row r="442" ht="34" customHeight="1">
      <c r="A442" s="15" t="inlineStr">
        <is>
          <t xml:space="preserve">v0.7</t>
        </is>
      </c>
      <c r="B442" s="15" t="inlineStr">
        <is>
          <t xml:space="preserve">Bible_Journey_Canon_Map_v0_7_Gospel_Chronology.xlsx</t>
        </is>
      </c>
      <c r="C442" s="15" t="inlineStr">
        <is>
          <t xml:space="preserve">BLK-07-036</t>
        </is>
      </c>
      <c r="D442" s="15" t="inlineStr">
        <is>
          <t xml:space="preserve">CRS-07-023</t>
        </is>
      </c>
      <c r="E442" s="15">
        <v>2</v>
      </c>
      <c r="F442" s="15" t="inlineStr">
        <is>
          <t xml:space="preserve">Matthew</t>
        </is>
      </c>
      <c r="G442" s="15" t="inlineStr">
        <is>
          <t xml:space="preserve">Matthew 8:1-4</t>
        </is>
      </c>
      <c r="H442" s="15" t="inlineStr">
        <is>
          <t xml:space="preserve">Parallel Account</t>
        </is>
      </c>
      <c r="I442" s="15"/>
      <c r="J442" s="15" t="inlineStr">
        <is>
          <t xml:space="preserve">Yes</t>
        </is>
      </c>
      <c r="K442" s="15" t="inlineStr">
        <is>
          <t xml:space="preserve">No</t>
        </is>
      </c>
      <c r="L442" s="15" t="inlineStr">
        <is>
          <t xml:space="preserve">Probable</t>
        </is>
      </c>
      <c r="M442" s="15" t="inlineStr">
        <is>
          <t xml:space="preserve">Probable</t>
        </is>
      </c>
      <c r="N442" s="15" t="inlineStr">
        <is>
          <t xml:space="preserve">Matthew</t>
        </is>
      </c>
      <c r="O442" s="15" t="inlineStr">
        <is>
          <t xml:space="preserve">CMP-07-009</t>
        </is>
      </c>
      <c r="P442" s="15" t="inlineStr">
        <is>
          <t xml:space="preserve">8:4</t>
        </is>
      </c>
      <c r="Q442" s="15" t="inlineStr">
        <is>
          <t xml:space="preserve">SRC-07-01; SRC-07-02</t>
        </is>
      </c>
      <c r="R442" s="15"/>
      <c r="S442" s="15"/>
    </row>
    <row r="443" ht="34" customHeight="1">
      <c r="A443" s="15" t="inlineStr">
        <is>
          <t xml:space="preserve">v0.7</t>
        </is>
      </c>
      <c r="B443" s="15" t="inlineStr">
        <is>
          <t xml:space="preserve">Bible_Journey_Canon_Map_v0_7_Gospel_Chronology.xlsx</t>
        </is>
      </c>
      <c r="C443" s="15" t="inlineStr">
        <is>
          <t xml:space="preserve">BLK-07-037</t>
        </is>
      </c>
      <c r="D443" s="15" t="inlineStr">
        <is>
          <t xml:space="preserve">CRS-07-023</t>
        </is>
      </c>
      <c r="E443" s="15">
        <v>3</v>
      </c>
      <c r="F443" s="15" t="inlineStr">
        <is>
          <t xml:space="preserve">Luke</t>
        </is>
      </c>
      <c r="G443" s="15" t="inlineStr">
        <is>
          <t xml:space="preserve">Luke 5:12-16</t>
        </is>
      </c>
      <c r="H443" s="15" t="inlineStr">
        <is>
          <t xml:space="preserve">Parallel Account</t>
        </is>
      </c>
      <c r="I443" s="15"/>
      <c r="J443" s="15" t="inlineStr">
        <is>
          <t xml:space="preserve">Yes</t>
        </is>
      </c>
      <c r="K443" s="15" t="inlineStr">
        <is>
          <t xml:space="preserve">No</t>
        </is>
      </c>
      <c r="L443" s="15" t="inlineStr">
        <is>
          <t xml:space="preserve">Probable</t>
        </is>
      </c>
      <c r="M443" s="15" t="inlineStr">
        <is>
          <t xml:space="preserve">Probable</t>
        </is>
      </c>
      <c r="N443" s="15" t="inlineStr">
        <is>
          <t xml:space="preserve">Luke</t>
        </is>
      </c>
      <c r="O443" s="15" t="inlineStr">
        <is>
          <t xml:space="preserve">CMP-07-009</t>
        </is>
      </c>
      <c r="P443" s="15" t="inlineStr">
        <is>
          <t xml:space="preserve">5:16</t>
        </is>
      </c>
      <c r="Q443" s="15" t="inlineStr">
        <is>
          <t xml:space="preserve">SRC-07-01; SRC-07-02</t>
        </is>
      </c>
      <c r="R443" s="15"/>
      <c r="S443" s="15"/>
    </row>
    <row r="444" ht="34" customHeight="1">
      <c r="A444" s="15" t="inlineStr">
        <is>
          <t xml:space="preserve">v0.7</t>
        </is>
      </c>
      <c r="B444" s="15" t="inlineStr">
        <is>
          <t xml:space="preserve">Bible_Journey_Canon_Map_v0_7_Gospel_Chronology.xlsx</t>
        </is>
      </c>
      <c r="C444" s="15" t="inlineStr">
        <is>
          <t xml:space="preserve">BLK-07-038</t>
        </is>
      </c>
      <c r="D444" s="15" t="inlineStr">
        <is>
          <t xml:space="preserve">CRS-07-024</t>
        </is>
      </c>
      <c r="E444" s="15">
        <v>1</v>
      </c>
      <c r="F444" s="15" t="inlineStr">
        <is>
          <t xml:space="preserve">John</t>
        </is>
      </c>
      <c r="G444" s="15" t="inlineStr">
        <is>
          <t xml:space="preserve">John 5</t>
        </is>
      </c>
      <c r="H444" s="15" t="inlineStr">
        <is>
          <t xml:space="preserve">Primary Account</t>
        </is>
      </c>
      <c r="I444" s="15"/>
      <c r="J444" s="15" t="inlineStr">
        <is>
          <t xml:space="preserve">Yes</t>
        </is>
      </c>
      <c r="K444" s="15" t="inlineStr">
        <is>
          <t xml:space="preserve">Yes</t>
        </is>
      </c>
      <c r="L444" s="15" t="inlineStr">
        <is>
          <t xml:space="preserve">Probable</t>
        </is>
      </c>
      <c r="M444" s="15" t="inlineStr">
        <is>
          <t xml:space="preserve">Probable</t>
        </is>
      </c>
      <c r="N444" s="15" t="inlineStr">
        <is>
          <t xml:space="preserve">Placed after early Galilean material in this working harmony with visible placement uncertainty.</t>
        </is>
      </c>
      <c r="O444" s="15"/>
      <c r="P444" s="15" t="inlineStr">
        <is>
          <t xml:space="preserve">5:end</t>
        </is>
      </c>
      <c r="Q444" s="15" t="inlineStr">
        <is>
          <t xml:space="preserve">SRC-07-01; SRC-07-10</t>
        </is>
      </c>
      <c r="R444" s="15"/>
      <c r="S444" s="15" t="inlineStr">
        <is>
          <t xml:space="preserve">Study Mode presents alternate position options.</t>
        </is>
      </c>
    </row>
    <row r="445" ht="34" customHeight="1">
      <c r="A445" s="15" t="inlineStr">
        <is>
          <t xml:space="preserve">v0.7</t>
        </is>
      </c>
      <c r="B445" s="15" t="inlineStr">
        <is>
          <t xml:space="preserve">Bible_Journey_Canon_Map_v0_7_Gospel_Chronology.xlsx</t>
        </is>
      </c>
      <c r="C445" s="15" t="inlineStr">
        <is>
          <t xml:space="preserve">BLK-07-039</t>
        </is>
      </c>
      <c r="D445" s="15" t="inlineStr">
        <is>
          <t xml:space="preserve">CRS-07-025</t>
        </is>
      </c>
      <c r="E445" s="15">
        <v>1</v>
      </c>
      <c r="F445" s="15" t="inlineStr">
        <is>
          <t xml:space="preserve">Mark</t>
        </is>
      </c>
      <c r="G445" s="15" t="inlineStr">
        <is>
          <t xml:space="preserve">Mark 2:1-12</t>
        </is>
      </c>
      <c r="H445" s="15" t="inlineStr">
        <is>
          <t xml:space="preserve">Primary Account</t>
        </is>
      </c>
      <c r="I445" s="15"/>
      <c r="J445" s="15" t="inlineStr">
        <is>
          <t xml:space="preserve">Yes</t>
        </is>
      </c>
      <c r="K445" s="15" t="inlineStr">
        <is>
          <t xml:space="preserve">Yes</t>
        </is>
      </c>
      <c r="L445" s="15" t="inlineStr">
        <is>
          <t xml:space="preserve">Probable</t>
        </is>
      </c>
      <c r="M445" s="15" t="inlineStr">
        <is>
          <t xml:space="preserve">Probable</t>
        </is>
      </c>
      <c r="N445" s="15" t="inlineStr">
        <is>
          <t xml:space="preserve">Mark</t>
        </is>
      </c>
      <c r="O445" s="15" t="inlineStr">
        <is>
          <t xml:space="preserve">CMP-07-010</t>
        </is>
      </c>
      <c r="P445" s="15" t="inlineStr">
        <is>
          <t xml:space="preserve">2:12</t>
        </is>
      </c>
      <c r="Q445" s="15" t="inlineStr">
        <is>
          <t xml:space="preserve">SRC-07-01; SRC-07-02</t>
        </is>
      </c>
      <c r="R445" s="15"/>
      <c r="S445" s="15"/>
    </row>
    <row r="446" ht="34" customHeight="1">
      <c r="A446" s="15" t="inlineStr">
        <is>
          <t xml:space="preserve">v0.7</t>
        </is>
      </c>
      <c r="B446" s="15" t="inlineStr">
        <is>
          <t xml:space="preserve">Bible_Journey_Canon_Map_v0_7_Gospel_Chronology.xlsx</t>
        </is>
      </c>
      <c r="C446" s="15" t="inlineStr">
        <is>
          <t xml:space="preserve">BLK-07-040</t>
        </is>
      </c>
      <c r="D446" s="15" t="inlineStr">
        <is>
          <t xml:space="preserve">CRS-07-025</t>
        </is>
      </c>
      <c r="E446" s="15">
        <v>2</v>
      </c>
      <c r="F446" s="15" t="inlineStr">
        <is>
          <t xml:space="preserve">Matthew</t>
        </is>
      </c>
      <c r="G446" s="15" t="inlineStr">
        <is>
          <t xml:space="preserve">Matthew 9:1-8</t>
        </is>
      </c>
      <c r="H446" s="15" t="inlineStr">
        <is>
          <t xml:space="preserve">Parallel Account</t>
        </is>
      </c>
      <c r="I446" s="15"/>
      <c r="J446" s="15" t="inlineStr">
        <is>
          <t xml:space="preserve">Yes</t>
        </is>
      </c>
      <c r="K446" s="15" t="inlineStr">
        <is>
          <t xml:space="preserve">No</t>
        </is>
      </c>
      <c r="L446" s="15" t="inlineStr">
        <is>
          <t xml:space="preserve">Probable</t>
        </is>
      </c>
      <c r="M446" s="15" t="inlineStr">
        <is>
          <t xml:space="preserve">Probable</t>
        </is>
      </c>
      <c r="N446" s="15" t="inlineStr">
        <is>
          <t xml:space="preserve">Matthew</t>
        </is>
      </c>
      <c r="O446" s="15" t="inlineStr">
        <is>
          <t xml:space="preserve">CMP-07-010</t>
        </is>
      </c>
      <c r="P446" s="15" t="inlineStr">
        <is>
          <t xml:space="preserve">9:8</t>
        </is>
      </c>
      <c r="Q446" s="15" t="inlineStr">
        <is>
          <t xml:space="preserve">SRC-07-01; SRC-07-02</t>
        </is>
      </c>
      <c r="R446" s="15"/>
      <c r="S446" s="15"/>
    </row>
    <row r="447" ht="34" customHeight="1">
      <c r="A447" s="15" t="inlineStr">
        <is>
          <t xml:space="preserve">v0.7</t>
        </is>
      </c>
      <c r="B447" s="15" t="inlineStr">
        <is>
          <t xml:space="preserve">Bible_Journey_Canon_Map_v0_7_Gospel_Chronology.xlsx</t>
        </is>
      </c>
      <c r="C447" s="15" t="inlineStr">
        <is>
          <t xml:space="preserve">BLK-07-041</t>
        </is>
      </c>
      <c r="D447" s="15" t="inlineStr">
        <is>
          <t xml:space="preserve">CRS-07-025</t>
        </is>
      </c>
      <c r="E447" s="15">
        <v>3</v>
      </c>
      <c r="F447" s="15" t="inlineStr">
        <is>
          <t xml:space="preserve">Luke</t>
        </is>
      </c>
      <c r="G447" s="15" t="inlineStr">
        <is>
          <t xml:space="preserve">Luke 5:17-26</t>
        </is>
      </c>
      <c r="H447" s="15" t="inlineStr">
        <is>
          <t xml:space="preserve">Parallel Account</t>
        </is>
      </c>
      <c r="I447" s="15"/>
      <c r="J447" s="15" t="inlineStr">
        <is>
          <t xml:space="preserve">Yes</t>
        </is>
      </c>
      <c r="K447" s="15" t="inlineStr">
        <is>
          <t xml:space="preserve">No</t>
        </is>
      </c>
      <c r="L447" s="15" t="inlineStr">
        <is>
          <t xml:space="preserve">Probable</t>
        </is>
      </c>
      <c r="M447" s="15" t="inlineStr">
        <is>
          <t xml:space="preserve">Probable</t>
        </is>
      </c>
      <c r="N447" s="15" t="inlineStr">
        <is>
          <t xml:space="preserve">Luke</t>
        </is>
      </c>
      <c r="O447" s="15" t="inlineStr">
        <is>
          <t xml:space="preserve">CMP-07-010</t>
        </is>
      </c>
      <c r="P447" s="15" t="inlineStr">
        <is>
          <t xml:space="preserve">5:26</t>
        </is>
      </c>
      <c r="Q447" s="15" t="inlineStr">
        <is>
          <t xml:space="preserve">SRC-07-01; SRC-07-02</t>
        </is>
      </c>
      <c r="R447" s="15"/>
      <c r="S447" s="15"/>
    </row>
    <row r="448" ht="34" customHeight="1">
      <c r="A448" s="15" t="inlineStr">
        <is>
          <t xml:space="preserve">v0.7</t>
        </is>
      </c>
      <c r="B448" s="15" t="inlineStr">
        <is>
          <t xml:space="preserve">Bible_Journey_Canon_Map_v0_7_Gospel_Chronology.xlsx</t>
        </is>
      </c>
      <c r="C448" s="15" t="inlineStr">
        <is>
          <t xml:space="preserve">BLK-07-042</t>
        </is>
      </c>
      <c r="D448" s="15" t="inlineStr">
        <is>
          <t xml:space="preserve">CRS-07-026</t>
        </is>
      </c>
      <c r="E448" s="15">
        <v>1</v>
      </c>
      <c r="F448" s="15" t="inlineStr">
        <is>
          <t xml:space="preserve">Mark</t>
        </is>
      </c>
      <c r="G448" s="15" t="inlineStr">
        <is>
          <t xml:space="preserve">Mark 2:13-17</t>
        </is>
      </c>
      <c r="H448" s="15" t="inlineStr">
        <is>
          <t xml:space="preserve">Primary Account</t>
        </is>
      </c>
      <c r="I448" s="15"/>
      <c r="J448" s="15" t="inlineStr">
        <is>
          <t xml:space="preserve">Yes</t>
        </is>
      </c>
      <c r="K448" s="15" t="inlineStr">
        <is>
          <t xml:space="preserve">Yes</t>
        </is>
      </c>
      <c r="L448" s="15" t="inlineStr">
        <is>
          <t xml:space="preserve">Probable</t>
        </is>
      </c>
      <c r="M448" s="15" t="inlineStr">
        <is>
          <t xml:space="preserve">Probable</t>
        </is>
      </c>
      <c r="N448" s="15" t="inlineStr">
        <is>
          <t xml:space="preserve">Mark</t>
        </is>
      </c>
      <c r="O448" s="15" t="inlineStr">
        <is>
          <t xml:space="preserve">CMP-07-011</t>
        </is>
      </c>
      <c r="P448" s="15" t="inlineStr">
        <is>
          <t xml:space="preserve">2:17</t>
        </is>
      </c>
      <c r="Q448" s="15" t="inlineStr">
        <is>
          <t xml:space="preserve">SRC-07-01; SRC-07-02</t>
        </is>
      </c>
      <c r="R448" s="15"/>
      <c r="S448" s="15"/>
    </row>
    <row r="449" ht="34" customHeight="1">
      <c r="A449" s="15" t="inlineStr">
        <is>
          <t xml:space="preserve">v0.7</t>
        </is>
      </c>
      <c r="B449" s="15" t="inlineStr">
        <is>
          <t xml:space="preserve">Bible_Journey_Canon_Map_v0_7_Gospel_Chronology.xlsx</t>
        </is>
      </c>
      <c r="C449" s="15" t="inlineStr">
        <is>
          <t xml:space="preserve">BLK-07-043</t>
        </is>
      </c>
      <c r="D449" s="15" t="inlineStr">
        <is>
          <t xml:space="preserve">CRS-07-026</t>
        </is>
      </c>
      <c r="E449" s="15">
        <v>2</v>
      </c>
      <c r="F449" s="15" t="inlineStr">
        <is>
          <t xml:space="preserve">Matthew</t>
        </is>
      </c>
      <c r="G449" s="15" t="inlineStr">
        <is>
          <t xml:space="preserve">Matthew 9:9-13</t>
        </is>
      </c>
      <c r="H449" s="15" t="inlineStr">
        <is>
          <t xml:space="preserve">Parallel Account</t>
        </is>
      </c>
      <c r="I449" s="15"/>
      <c r="J449" s="15" t="inlineStr">
        <is>
          <t xml:space="preserve">Yes</t>
        </is>
      </c>
      <c r="K449" s="15" t="inlineStr">
        <is>
          <t xml:space="preserve">No</t>
        </is>
      </c>
      <c r="L449" s="15" t="inlineStr">
        <is>
          <t xml:space="preserve">Probable</t>
        </is>
      </c>
      <c r="M449" s="15" t="inlineStr">
        <is>
          <t xml:space="preserve">Probable</t>
        </is>
      </c>
      <c r="N449" s="15" t="inlineStr">
        <is>
          <t xml:space="preserve">Matthew</t>
        </is>
      </c>
      <c r="O449" s="15" t="inlineStr">
        <is>
          <t xml:space="preserve">CMP-07-011</t>
        </is>
      </c>
      <c r="P449" s="15" t="inlineStr">
        <is>
          <t xml:space="preserve">9:13</t>
        </is>
      </c>
      <c r="Q449" s="15" t="inlineStr">
        <is>
          <t xml:space="preserve">SRC-07-01; SRC-07-02</t>
        </is>
      </c>
      <c r="R449" s="15"/>
      <c r="S449" s="15"/>
    </row>
    <row r="450" ht="34" customHeight="1">
      <c r="A450" s="15" t="inlineStr">
        <is>
          <t xml:space="preserve">v0.7</t>
        </is>
      </c>
      <c r="B450" s="15" t="inlineStr">
        <is>
          <t xml:space="preserve">Bible_Journey_Canon_Map_v0_7_Gospel_Chronology.xlsx</t>
        </is>
      </c>
      <c r="C450" s="15" t="inlineStr">
        <is>
          <t xml:space="preserve">BLK-07-044</t>
        </is>
      </c>
      <c r="D450" s="15" t="inlineStr">
        <is>
          <t xml:space="preserve">CRS-07-026</t>
        </is>
      </c>
      <c r="E450" s="15">
        <v>3</v>
      </c>
      <c r="F450" s="15" t="inlineStr">
        <is>
          <t xml:space="preserve">Luke</t>
        </is>
      </c>
      <c r="G450" s="15" t="inlineStr">
        <is>
          <t xml:space="preserve">Luke 5:27-32</t>
        </is>
      </c>
      <c r="H450" s="15" t="inlineStr">
        <is>
          <t xml:space="preserve">Parallel Account</t>
        </is>
      </c>
      <c r="I450" s="15"/>
      <c r="J450" s="15" t="inlineStr">
        <is>
          <t xml:space="preserve">Yes</t>
        </is>
      </c>
      <c r="K450" s="15" t="inlineStr">
        <is>
          <t xml:space="preserve">No</t>
        </is>
      </c>
      <c r="L450" s="15" t="inlineStr">
        <is>
          <t xml:space="preserve">Probable</t>
        </is>
      </c>
      <c r="M450" s="15" t="inlineStr">
        <is>
          <t xml:space="preserve">Probable</t>
        </is>
      </c>
      <c r="N450" s="15" t="inlineStr">
        <is>
          <t xml:space="preserve">Luke</t>
        </is>
      </c>
      <c r="O450" s="15" t="inlineStr">
        <is>
          <t xml:space="preserve">CMP-07-011</t>
        </is>
      </c>
      <c r="P450" s="15" t="inlineStr">
        <is>
          <t xml:space="preserve">5:32</t>
        </is>
      </c>
      <c r="Q450" s="15" t="inlineStr">
        <is>
          <t xml:space="preserve">SRC-07-01; SRC-07-02</t>
        </is>
      </c>
      <c r="R450" s="15"/>
      <c r="S450" s="15"/>
    </row>
    <row r="451" ht="34" customHeight="1">
      <c r="A451" s="15" t="inlineStr">
        <is>
          <t xml:space="preserve">v0.7</t>
        </is>
      </c>
      <c r="B451" s="15" t="inlineStr">
        <is>
          <t xml:space="preserve">Bible_Journey_Canon_Map_v0_7_Gospel_Chronology.xlsx</t>
        </is>
      </c>
      <c r="C451" s="15" t="inlineStr">
        <is>
          <t xml:space="preserve">BLK-07-045</t>
        </is>
      </c>
      <c r="D451" s="15" t="inlineStr">
        <is>
          <t xml:space="preserve">CRS-07-027</t>
        </is>
      </c>
      <c r="E451" s="15">
        <v>1</v>
      </c>
      <c r="F451" s="15" t="inlineStr">
        <is>
          <t xml:space="preserve">Mark</t>
        </is>
      </c>
      <c r="G451" s="15" t="inlineStr">
        <is>
          <t xml:space="preserve">Mark 2:18-22</t>
        </is>
      </c>
      <c r="H451" s="15" t="inlineStr">
        <is>
          <t xml:space="preserve">Primary Account</t>
        </is>
      </c>
      <c r="I451" s="15"/>
      <c r="J451" s="15" t="inlineStr">
        <is>
          <t xml:space="preserve">Yes</t>
        </is>
      </c>
      <c r="K451" s="15" t="inlineStr">
        <is>
          <t xml:space="preserve">Yes</t>
        </is>
      </c>
      <c r="L451" s="15" t="inlineStr">
        <is>
          <t xml:space="preserve">Probable</t>
        </is>
      </c>
      <c r="M451" s="15" t="inlineStr">
        <is>
          <t xml:space="preserve">Probable</t>
        </is>
      </c>
      <c r="N451" s="15" t="inlineStr">
        <is>
          <t xml:space="preserve">Mark</t>
        </is>
      </c>
      <c r="O451" s="15" t="inlineStr">
        <is>
          <t xml:space="preserve">CMP-07-012</t>
        </is>
      </c>
      <c r="P451" s="15" t="inlineStr">
        <is>
          <t xml:space="preserve">2:22</t>
        </is>
      </c>
      <c r="Q451" s="15" t="inlineStr">
        <is>
          <t xml:space="preserve">SRC-07-01; SRC-07-02</t>
        </is>
      </c>
      <c r="R451" s="15"/>
      <c r="S451" s="15"/>
    </row>
    <row r="452" ht="34" customHeight="1">
      <c r="A452" s="15" t="inlineStr">
        <is>
          <t xml:space="preserve">v0.7</t>
        </is>
      </c>
      <c r="B452" s="15" t="inlineStr">
        <is>
          <t xml:space="preserve">Bible_Journey_Canon_Map_v0_7_Gospel_Chronology.xlsx</t>
        </is>
      </c>
      <c r="C452" s="15" t="inlineStr">
        <is>
          <t xml:space="preserve">BLK-07-046</t>
        </is>
      </c>
      <c r="D452" s="15" t="inlineStr">
        <is>
          <t xml:space="preserve">CRS-07-027</t>
        </is>
      </c>
      <c r="E452" s="15">
        <v>2</v>
      </c>
      <c r="F452" s="15" t="inlineStr">
        <is>
          <t xml:space="preserve">Matthew</t>
        </is>
      </c>
      <c r="G452" s="15" t="inlineStr">
        <is>
          <t xml:space="preserve">Matthew 9:14-17</t>
        </is>
      </c>
      <c r="H452" s="15" t="inlineStr">
        <is>
          <t xml:space="preserve">Parallel Account</t>
        </is>
      </c>
      <c r="I452" s="15"/>
      <c r="J452" s="15" t="inlineStr">
        <is>
          <t xml:space="preserve">Yes</t>
        </is>
      </c>
      <c r="K452" s="15" t="inlineStr">
        <is>
          <t xml:space="preserve">No</t>
        </is>
      </c>
      <c r="L452" s="15" t="inlineStr">
        <is>
          <t xml:space="preserve">Probable</t>
        </is>
      </c>
      <c r="M452" s="15" t="inlineStr">
        <is>
          <t xml:space="preserve">Probable</t>
        </is>
      </c>
      <c r="N452" s="15" t="inlineStr">
        <is>
          <t xml:space="preserve">Matthew</t>
        </is>
      </c>
      <c r="O452" s="15" t="inlineStr">
        <is>
          <t xml:space="preserve">CMP-07-012</t>
        </is>
      </c>
      <c r="P452" s="15" t="inlineStr">
        <is>
          <t xml:space="preserve">9:17</t>
        </is>
      </c>
      <c r="Q452" s="15" t="inlineStr">
        <is>
          <t xml:space="preserve">SRC-07-01; SRC-07-02</t>
        </is>
      </c>
      <c r="R452" s="15"/>
      <c r="S452" s="15"/>
    </row>
    <row r="453" ht="34" customHeight="1">
      <c r="A453" s="15" t="inlineStr">
        <is>
          <t xml:space="preserve">v0.7</t>
        </is>
      </c>
      <c r="B453" s="15" t="inlineStr">
        <is>
          <t xml:space="preserve">Bible_Journey_Canon_Map_v0_7_Gospel_Chronology.xlsx</t>
        </is>
      </c>
      <c r="C453" s="15" t="inlineStr">
        <is>
          <t xml:space="preserve">BLK-07-047</t>
        </is>
      </c>
      <c r="D453" s="15" t="inlineStr">
        <is>
          <t xml:space="preserve">CRS-07-027</t>
        </is>
      </c>
      <c r="E453" s="15">
        <v>3</v>
      </c>
      <c r="F453" s="15" t="inlineStr">
        <is>
          <t xml:space="preserve">Luke</t>
        </is>
      </c>
      <c r="G453" s="15" t="inlineStr">
        <is>
          <t xml:space="preserve">Luke 5:33-39</t>
        </is>
      </c>
      <c r="H453" s="15" t="inlineStr">
        <is>
          <t xml:space="preserve">Parallel Account</t>
        </is>
      </c>
      <c r="I453" s="15"/>
      <c r="J453" s="15" t="inlineStr">
        <is>
          <t xml:space="preserve">Yes</t>
        </is>
      </c>
      <c r="K453" s="15" t="inlineStr">
        <is>
          <t xml:space="preserve">No</t>
        </is>
      </c>
      <c r="L453" s="15" t="inlineStr">
        <is>
          <t xml:space="preserve">Probable</t>
        </is>
      </c>
      <c r="M453" s="15" t="inlineStr">
        <is>
          <t xml:space="preserve">Probable</t>
        </is>
      </c>
      <c r="N453" s="15" t="inlineStr">
        <is>
          <t xml:space="preserve">Luke</t>
        </is>
      </c>
      <c r="O453" s="15" t="inlineStr">
        <is>
          <t xml:space="preserve">CMP-07-012</t>
        </is>
      </c>
      <c r="P453" s="15" t="inlineStr">
        <is>
          <t xml:space="preserve">5:end</t>
        </is>
      </c>
      <c r="Q453" s="15" t="inlineStr">
        <is>
          <t xml:space="preserve">SRC-07-01; SRC-07-02</t>
        </is>
      </c>
      <c r="R453" s="15"/>
      <c r="S453" s="15"/>
    </row>
    <row r="454" ht="34" customHeight="1">
      <c r="A454" s="15" t="inlineStr">
        <is>
          <t xml:space="preserve">v0.7</t>
        </is>
      </c>
      <c r="B454" s="15" t="inlineStr">
        <is>
          <t xml:space="preserve">Bible_Journey_Canon_Map_v0_7_Gospel_Chronology.xlsx</t>
        </is>
      </c>
      <c r="C454" s="15" t="inlineStr">
        <is>
          <t xml:space="preserve">BLK-07-048</t>
        </is>
      </c>
      <c r="D454" s="15" t="inlineStr">
        <is>
          <t xml:space="preserve">CRS-07-028</t>
        </is>
      </c>
      <c r="E454" s="15">
        <v>1</v>
      </c>
      <c r="F454" s="15" t="inlineStr">
        <is>
          <t xml:space="preserve">Mark</t>
        </is>
      </c>
      <c r="G454" s="15" t="inlineStr">
        <is>
          <t xml:space="preserve">Mark 2:23-3:6</t>
        </is>
      </c>
      <c r="H454" s="15" t="inlineStr">
        <is>
          <t xml:space="preserve">Primary Account</t>
        </is>
      </c>
      <c r="I454" s="15"/>
      <c r="J454" s="15" t="inlineStr">
        <is>
          <t xml:space="preserve">Yes</t>
        </is>
      </c>
      <c r="K454" s="15" t="inlineStr">
        <is>
          <t xml:space="preserve">Yes</t>
        </is>
      </c>
      <c r="L454" s="15" t="inlineStr">
        <is>
          <t xml:space="preserve">Probable</t>
        </is>
      </c>
      <c r="M454" s="15" t="inlineStr">
        <is>
          <t xml:space="preserve">Probable</t>
        </is>
      </c>
      <c r="N454" s="15" t="inlineStr">
        <is>
          <t xml:space="preserve">Mark</t>
        </is>
      </c>
      <c r="O454" s="15" t="inlineStr">
        <is>
          <t xml:space="preserve">CMP-07-013</t>
        </is>
      </c>
      <c r="P454" s="15" t="inlineStr">
        <is>
          <t xml:space="preserve">3:6</t>
        </is>
      </c>
      <c r="Q454" s="15" t="inlineStr">
        <is>
          <t xml:space="preserve">SRC-07-01; SRC-07-02</t>
        </is>
      </c>
      <c r="R454" s="15"/>
      <c r="S454" s="15"/>
    </row>
    <row r="455" ht="34" customHeight="1">
      <c r="A455" s="15" t="inlineStr">
        <is>
          <t xml:space="preserve">v0.7</t>
        </is>
      </c>
      <c r="B455" s="15" t="inlineStr">
        <is>
          <t xml:space="preserve">Bible_Journey_Canon_Map_v0_7_Gospel_Chronology.xlsx</t>
        </is>
      </c>
      <c r="C455" s="15" t="inlineStr">
        <is>
          <t xml:space="preserve">BLK-07-049</t>
        </is>
      </c>
      <c r="D455" s="15" t="inlineStr">
        <is>
          <t xml:space="preserve">CRS-07-028</t>
        </is>
      </c>
      <c r="E455" s="15">
        <v>2</v>
      </c>
      <c r="F455" s="15" t="inlineStr">
        <is>
          <t xml:space="preserve">Matthew</t>
        </is>
      </c>
      <c r="G455" s="15" t="inlineStr">
        <is>
          <t xml:space="preserve">Matthew 12:1-14</t>
        </is>
      </c>
      <c r="H455" s="15" t="inlineStr">
        <is>
          <t xml:space="preserve">Parallel Account</t>
        </is>
      </c>
      <c r="I455" s="15"/>
      <c r="J455" s="15" t="inlineStr">
        <is>
          <t xml:space="preserve">Yes</t>
        </is>
      </c>
      <c r="K455" s="15" t="inlineStr">
        <is>
          <t xml:space="preserve">No</t>
        </is>
      </c>
      <c r="L455" s="15" t="inlineStr">
        <is>
          <t xml:space="preserve">Probable</t>
        </is>
      </c>
      <c r="M455" s="15" t="inlineStr">
        <is>
          <t xml:space="preserve">Probable</t>
        </is>
      </c>
      <c r="N455" s="15" t="inlineStr">
        <is>
          <t xml:space="preserve">Matthew</t>
        </is>
      </c>
      <c r="O455" s="15" t="inlineStr">
        <is>
          <t xml:space="preserve">CMP-07-013</t>
        </is>
      </c>
      <c r="P455" s="15" t="inlineStr">
        <is>
          <t xml:space="preserve">12:14</t>
        </is>
      </c>
      <c r="Q455" s="15" t="inlineStr">
        <is>
          <t xml:space="preserve">SRC-07-01; SRC-07-02</t>
        </is>
      </c>
      <c r="R455" s="15"/>
      <c r="S455" s="15"/>
    </row>
    <row r="456" ht="34" customHeight="1">
      <c r="A456" s="15" t="inlineStr">
        <is>
          <t xml:space="preserve">v0.7</t>
        </is>
      </c>
      <c r="B456" s="15" t="inlineStr">
        <is>
          <t xml:space="preserve">Bible_Journey_Canon_Map_v0_7_Gospel_Chronology.xlsx</t>
        </is>
      </c>
      <c r="C456" s="15" t="inlineStr">
        <is>
          <t xml:space="preserve">BLK-07-050</t>
        </is>
      </c>
      <c r="D456" s="15" t="inlineStr">
        <is>
          <t xml:space="preserve">CRS-07-028</t>
        </is>
      </c>
      <c r="E456" s="15">
        <v>3</v>
      </c>
      <c r="F456" s="15" t="inlineStr">
        <is>
          <t xml:space="preserve">Luke</t>
        </is>
      </c>
      <c r="G456" s="15" t="inlineStr">
        <is>
          <t xml:space="preserve">Luke 6:1-11</t>
        </is>
      </c>
      <c r="H456" s="15" t="inlineStr">
        <is>
          <t xml:space="preserve">Parallel Account</t>
        </is>
      </c>
      <c r="I456" s="15"/>
      <c r="J456" s="15" t="inlineStr">
        <is>
          <t xml:space="preserve">Yes</t>
        </is>
      </c>
      <c r="K456" s="15" t="inlineStr">
        <is>
          <t xml:space="preserve">No</t>
        </is>
      </c>
      <c r="L456" s="15" t="inlineStr">
        <is>
          <t xml:space="preserve">Probable</t>
        </is>
      </c>
      <c r="M456" s="15" t="inlineStr">
        <is>
          <t xml:space="preserve">Probable</t>
        </is>
      </c>
      <c r="N456" s="15" t="inlineStr">
        <is>
          <t xml:space="preserve">Luke</t>
        </is>
      </c>
      <c r="O456" s="15" t="inlineStr">
        <is>
          <t xml:space="preserve">CMP-07-013</t>
        </is>
      </c>
      <c r="P456" s="15" t="inlineStr">
        <is>
          <t xml:space="preserve">6:11</t>
        </is>
      </c>
      <c r="Q456" s="15" t="inlineStr">
        <is>
          <t xml:space="preserve">SRC-07-01; SRC-07-02</t>
        </is>
      </c>
      <c r="R456" s="15"/>
      <c r="S456" s="15"/>
    </row>
    <row r="457" ht="34" customHeight="1">
      <c r="A457" s="15" t="inlineStr">
        <is>
          <t xml:space="preserve">v0.7</t>
        </is>
      </c>
      <c r="B457" s="15" t="inlineStr">
        <is>
          <t xml:space="preserve">Bible_Journey_Canon_Map_v0_7_Gospel_Chronology.xlsx</t>
        </is>
      </c>
      <c r="C457" s="15" t="inlineStr">
        <is>
          <t xml:space="preserve">BLK-07-051</t>
        </is>
      </c>
      <c r="D457" s="15" t="inlineStr">
        <is>
          <t xml:space="preserve">CRS-07-029</t>
        </is>
      </c>
      <c r="E457" s="15">
        <v>1</v>
      </c>
      <c r="F457" s="15" t="inlineStr">
        <is>
          <t xml:space="preserve">Mark</t>
        </is>
      </c>
      <c r="G457" s="15" t="inlineStr">
        <is>
          <t xml:space="preserve">Mark 3:7-19</t>
        </is>
      </c>
      <c r="H457" s="15" t="inlineStr">
        <is>
          <t xml:space="preserve">Primary Account</t>
        </is>
      </c>
      <c r="I457" s="15"/>
      <c r="J457" s="15" t="inlineStr">
        <is>
          <t xml:space="preserve">Yes</t>
        </is>
      </c>
      <c r="K457" s="15" t="inlineStr">
        <is>
          <t xml:space="preserve">Yes</t>
        </is>
      </c>
      <c r="L457" s="15" t="inlineStr">
        <is>
          <t xml:space="preserve">Probable</t>
        </is>
      </c>
      <c r="M457" s="15" t="inlineStr">
        <is>
          <t xml:space="preserve">Probable</t>
        </is>
      </c>
      <c r="N457" s="15" t="inlineStr">
        <is>
          <t xml:space="preserve">Mark</t>
        </is>
      </c>
      <c r="O457" s="15" t="inlineStr">
        <is>
          <t xml:space="preserve">CMP-07-014</t>
        </is>
      </c>
      <c r="P457" s="15" t="inlineStr">
        <is>
          <t xml:space="preserve">3:19</t>
        </is>
      </c>
      <c r="Q457" s="15" t="inlineStr">
        <is>
          <t xml:space="preserve">SRC-07-01; SRC-07-02</t>
        </is>
      </c>
      <c r="R457" s="15"/>
      <c r="S457" s="15"/>
    </row>
    <row r="458" ht="34" customHeight="1">
      <c r="A458" s="15" t="inlineStr">
        <is>
          <t xml:space="preserve">v0.7</t>
        </is>
      </c>
      <c r="B458" s="15" t="inlineStr">
        <is>
          <t xml:space="preserve">Bible_Journey_Canon_Map_v0_7_Gospel_Chronology.xlsx</t>
        </is>
      </c>
      <c r="C458" s="15" t="inlineStr">
        <is>
          <t xml:space="preserve">BLK-07-052</t>
        </is>
      </c>
      <c r="D458" s="15" t="inlineStr">
        <is>
          <t xml:space="preserve">CRS-07-029</t>
        </is>
      </c>
      <c r="E458" s="15">
        <v>2</v>
      </c>
      <c r="F458" s="15" t="inlineStr">
        <is>
          <t xml:space="preserve">Matthew</t>
        </is>
      </c>
      <c r="G458" s="15" t="inlineStr">
        <is>
          <t xml:space="preserve">Matthew 10:1-4</t>
        </is>
      </c>
      <c r="H458" s="15" t="inlineStr">
        <is>
          <t xml:space="preserve">Parallel Account</t>
        </is>
      </c>
      <c r="I458" s="15"/>
      <c r="J458" s="15" t="inlineStr">
        <is>
          <t xml:space="preserve">Yes</t>
        </is>
      </c>
      <c r="K458" s="15" t="inlineStr">
        <is>
          <t xml:space="preserve">No</t>
        </is>
      </c>
      <c r="L458" s="15" t="inlineStr">
        <is>
          <t xml:space="preserve">Probable</t>
        </is>
      </c>
      <c r="M458" s="15" t="inlineStr">
        <is>
          <t xml:space="preserve">Probable</t>
        </is>
      </c>
      <c r="N458" s="15" t="inlineStr">
        <is>
          <t xml:space="preserve">Matthew</t>
        </is>
      </c>
      <c r="O458" s="15" t="inlineStr">
        <is>
          <t xml:space="preserve">CMP-07-014</t>
        </is>
      </c>
      <c r="P458" s="15" t="inlineStr">
        <is>
          <t xml:space="preserve">10:4</t>
        </is>
      </c>
      <c r="Q458" s="15" t="inlineStr">
        <is>
          <t xml:space="preserve">SRC-07-01; SRC-07-02</t>
        </is>
      </c>
      <c r="R458" s="15"/>
      <c r="S458" s="15"/>
    </row>
    <row r="459" ht="34" customHeight="1">
      <c r="A459" s="15" t="inlineStr">
        <is>
          <t xml:space="preserve">v0.7</t>
        </is>
      </c>
      <c r="B459" s="15" t="inlineStr">
        <is>
          <t xml:space="preserve">Bible_Journey_Canon_Map_v0_7_Gospel_Chronology.xlsx</t>
        </is>
      </c>
      <c r="C459" s="15" t="inlineStr">
        <is>
          <t xml:space="preserve">BLK-07-053</t>
        </is>
      </c>
      <c r="D459" s="15" t="inlineStr">
        <is>
          <t xml:space="preserve">CRS-07-029</t>
        </is>
      </c>
      <c r="E459" s="15">
        <v>3</v>
      </c>
      <c r="F459" s="15" t="inlineStr">
        <is>
          <t xml:space="preserve">Luke</t>
        </is>
      </c>
      <c r="G459" s="15" t="inlineStr">
        <is>
          <t xml:space="preserve">Luke 6:12-16</t>
        </is>
      </c>
      <c r="H459" s="15" t="inlineStr">
        <is>
          <t xml:space="preserve">Parallel Account</t>
        </is>
      </c>
      <c r="I459" s="15"/>
      <c r="J459" s="15" t="inlineStr">
        <is>
          <t xml:space="preserve">Yes</t>
        </is>
      </c>
      <c r="K459" s="15" t="inlineStr">
        <is>
          <t xml:space="preserve">No</t>
        </is>
      </c>
      <c r="L459" s="15" t="inlineStr">
        <is>
          <t xml:space="preserve">Probable</t>
        </is>
      </c>
      <c r="M459" s="15" t="inlineStr">
        <is>
          <t xml:space="preserve">Probable</t>
        </is>
      </c>
      <c r="N459" s="15" t="inlineStr">
        <is>
          <t xml:space="preserve">Luke</t>
        </is>
      </c>
      <c r="O459" s="15" t="inlineStr">
        <is>
          <t xml:space="preserve">CMP-07-014</t>
        </is>
      </c>
      <c r="P459" s="15" t="inlineStr">
        <is>
          <t xml:space="preserve">6:16</t>
        </is>
      </c>
      <c r="Q459" s="15" t="inlineStr">
        <is>
          <t xml:space="preserve">SRC-07-01; SRC-07-02</t>
        </is>
      </c>
      <c r="R459" s="15"/>
      <c r="S459" s="15"/>
    </row>
    <row r="460" ht="34" customHeight="1">
      <c r="A460" s="15" t="inlineStr">
        <is>
          <t xml:space="preserve">v0.7</t>
        </is>
      </c>
      <c r="B460" s="15" t="inlineStr">
        <is>
          <t xml:space="preserve">Bible_Journey_Canon_Map_v0_7_Gospel_Chronology.xlsx</t>
        </is>
      </c>
      <c r="C460" s="15" t="inlineStr">
        <is>
          <t xml:space="preserve">BLK-07-054</t>
        </is>
      </c>
      <c r="D460" s="15" t="inlineStr">
        <is>
          <t xml:space="preserve">CRS-07-030</t>
        </is>
      </c>
      <c r="E460" s="15">
        <v>1</v>
      </c>
      <c r="F460" s="15" t="inlineStr">
        <is>
          <t xml:space="preserve">Matthew</t>
        </is>
      </c>
      <c r="G460" s="15" t="inlineStr">
        <is>
          <t xml:space="preserve">Matthew 5-7</t>
        </is>
      </c>
      <c r="H460" s="15" t="inlineStr">
        <is>
          <t xml:space="preserve">Primary Account</t>
        </is>
      </c>
      <c r="I460" s="15"/>
      <c r="J460" s="15" t="inlineStr">
        <is>
          <t xml:space="preserve">Yes</t>
        </is>
      </c>
      <c r="K460" s="15" t="inlineStr">
        <is>
          <t xml:space="preserve">Yes</t>
        </is>
      </c>
      <c r="L460" s="15" t="inlineStr">
        <is>
          <t xml:space="preserve">Probable</t>
        </is>
      </c>
      <c r="M460" s="15" t="inlineStr">
        <is>
          <t xml:space="preserve">Probable</t>
        </is>
      </c>
      <c r="N460" s="15" t="inlineStr">
        <is>
          <t xml:space="preserve">Matthew</t>
        </is>
      </c>
      <c r="O460" s="15" t="inlineStr">
        <is>
          <t xml:space="preserve">CMP-07-015</t>
        </is>
      </c>
      <c r="P460" s="15" t="inlineStr">
        <is>
          <t xml:space="preserve">7:end</t>
        </is>
      </c>
      <c r="Q460" s="15" t="inlineStr">
        <is>
          <t xml:space="preserve">SRC-07-01; SRC-07-02</t>
        </is>
      </c>
      <c r="R460" s="15"/>
      <c r="S460" s="15"/>
    </row>
    <row r="461" ht="34" customHeight="1">
      <c r="A461" s="15" t="inlineStr">
        <is>
          <t xml:space="preserve">v0.7</t>
        </is>
      </c>
      <c r="B461" s="15" t="inlineStr">
        <is>
          <t xml:space="preserve">Bible_Journey_Canon_Map_v0_7_Gospel_Chronology.xlsx</t>
        </is>
      </c>
      <c r="C461" s="15" t="inlineStr">
        <is>
          <t xml:space="preserve">BLK-07-055</t>
        </is>
      </c>
      <c r="D461" s="15" t="inlineStr">
        <is>
          <t xml:space="preserve">CRS-07-030</t>
        </is>
      </c>
      <c r="E461" s="15">
        <v>2</v>
      </c>
      <c r="F461" s="15" t="inlineStr">
        <is>
          <t xml:space="preserve">Luke</t>
        </is>
      </c>
      <c r="G461" s="15" t="inlineStr">
        <is>
          <t xml:space="preserve">Luke 6:17-49</t>
        </is>
      </c>
      <c r="H461" s="15" t="inlineStr">
        <is>
          <t xml:space="preserve">Related Account</t>
        </is>
      </c>
      <c r="I461" s="15"/>
      <c r="J461" s="15" t="inlineStr">
        <is>
          <t xml:space="preserve">Yes</t>
        </is>
      </c>
      <c r="K461" s="15" t="inlineStr">
        <is>
          <t xml:space="preserve">No</t>
        </is>
      </c>
      <c r="L461" s="15" t="inlineStr">
        <is>
          <t xml:space="preserve">Probable</t>
        </is>
      </c>
      <c r="M461" s="15" t="inlineStr">
        <is>
          <t xml:space="preserve">Probable</t>
        </is>
      </c>
      <c r="N461" s="15" t="inlineStr">
        <is>
          <t xml:space="preserve">Luke</t>
        </is>
      </c>
      <c r="O461" s="15" t="inlineStr">
        <is>
          <t xml:space="preserve">CMP-07-015</t>
        </is>
      </c>
      <c r="P461" s="15" t="inlineStr">
        <is>
          <t xml:space="preserve">6:end</t>
        </is>
      </c>
      <c r="Q461" s="15" t="inlineStr">
        <is>
          <t xml:space="preserve">SRC-07-01; SRC-07-02</t>
        </is>
      </c>
      <c r="R461" s="15"/>
      <c r="S461" s="15"/>
    </row>
    <row r="462" ht="34" customHeight="1">
      <c r="A462" s="15" t="inlineStr">
        <is>
          <t xml:space="preserve">v0.7</t>
        </is>
      </c>
      <c r="B462" s="15" t="inlineStr">
        <is>
          <t xml:space="preserve">Bible_Journey_Canon_Map_v0_7_Gospel_Chronology.xlsx</t>
        </is>
      </c>
      <c r="C462" s="15" t="inlineStr">
        <is>
          <t xml:space="preserve">BLK-07-056</t>
        </is>
      </c>
      <c r="D462" s="15" t="inlineStr">
        <is>
          <t xml:space="preserve">CRS-07-031</t>
        </is>
      </c>
      <c r="E462" s="15">
        <v>1</v>
      </c>
      <c r="F462" s="15" t="inlineStr">
        <is>
          <t xml:space="preserve">Matthew</t>
        </is>
      </c>
      <c r="G462" s="15" t="inlineStr">
        <is>
          <t xml:space="preserve">Matthew 8:5-13</t>
        </is>
      </c>
      <c r="H462" s="15" t="inlineStr">
        <is>
          <t xml:space="preserve">Primary Account</t>
        </is>
      </c>
      <c r="I462" s="15"/>
      <c r="J462" s="15" t="inlineStr">
        <is>
          <t xml:space="preserve">Yes</t>
        </is>
      </c>
      <c r="K462" s="15" t="inlineStr">
        <is>
          <t xml:space="preserve">Yes</t>
        </is>
      </c>
      <c r="L462" s="15" t="inlineStr">
        <is>
          <t xml:space="preserve">Probable</t>
        </is>
      </c>
      <c r="M462" s="15" t="inlineStr">
        <is>
          <t xml:space="preserve">Probable</t>
        </is>
      </c>
      <c r="N462" s="15" t="inlineStr">
        <is>
          <t xml:space="preserve">Matthew</t>
        </is>
      </c>
      <c r="O462" s="15" t="inlineStr">
        <is>
          <t xml:space="preserve">CMP-07-016</t>
        </is>
      </c>
      <c r="P462" s="15" t="inlineStr">
        <is>
          <t xml:space="preserve">8:13</t>
        </is>
      </c>
      <c r="Q462" s="15" t="inlineStr">
        <is>
          <t xml:space="preserve">SRC-07-01; SRC-07-02</t>
        </is>
      </c>
      <c r="R462" s="15"/>
      <c r="S462" s="15"/>
    </row>
    <row r="463" ht="34" customHeight="1">
      <c r="A463" s="15" t="inlineStr">
        <is>
          <t xml:space="preserve">v0.7</t>
        </is>
      </c>
      <c r="B463" s="15" t="inlineStr">
        <is>
          <t xml:space="preserve">Bible_Journey_Canon_Map_v0_7_Gospel_Chronology.xlsx</t>
        </is>
      </c>
      <c r="C463" s="15" t="inlineStr">
        <is>
          <t xml:space="preserve">BLK-07-057</t>
        </is>
      </c>
      <c r="D463" s="15" t="inlineStr">
        <is>
          <t xml:space="preserve">CRS-07-031</t>
        </is>
      </c>
      <c r="E463" s="15">
        <v>2</v>
      </c>
      <c r="F463" s="15" t="inlineStr">
        <is>
          <t xml:space="preserve">Luke</t>
        </is>
      </c>
      <c r="G463" s="15" t="inlineStr">
        <is>
          <t xml:space="preserve">Luke 7:1-10</t>
        </is>
      </c>
      <c r="H463" s="15" t="inlineStr">
        <is>
          <t xml:space="preserve">Parallel Account</t>
        </is>
      </c>
      <c r="I463" s="15"/>
      <c r="J463" s="15" t="inlineStr">
        <is>
          <t xml:space="preserve">Yes</t>
        </is>
      </c>
      <c r="K463" s="15" t="inlineStr">
        <is>
          <t xml:space="preserve">No</t>
        </is>
      </c>
      <c r="L463" s="15" t="inlineStr">
        <is>
          <t xml:space="preserve">Probable</t>
        </is>
      </c>
      <c r="M463" s="15" t="inlineStr">
        <is>
          <t xml:space="preserve">Probable</t>
        </is>
      </c>
      <c r="N463" s="15" t="inlineStr">
        <is>
          <t xml:space="preserve">Luke</t>
        </is>
      </c>
      <c r="O463" s="15" t="inlineStr">
        <is>
          <t xml:space="preserve">CMP-07-016</t>
        </is>
      </c>
      <c r="P463" s="15" t="inlineStr">
        <is>
          <t xml:space="preserve">7:10</t>
        </is>
      </c>
      <c r="Q463" s="15" t="inlineStr">
        <is>
          <t xml:space="preserve">SRC-07-01; SRC-07-02</t>
        </is>
      </c>
      <c r="R463" s="15"/>
      <c r="S463" s="15"/>
    </row>
    <row r="464" ht="34" customHeight="1">
      <c r="A464" s="15" t="inlineStr">
        <is>
          <t xml:space="preserve">v0.7</t>
        </is>
      </c>
      <c r="B464" s="15" t="inlineStr">
        <is>
          <t xml:space="preserve">Bible_Journey_Canon_Map_v0_7_Gospel_Chronology.xlsx</t>
        </is>
      </c>
      <c r="C464" s="15" t="inlineStr">
        <is>
          <t xml:space="preserve">BLK-07-058</t>
        </is>
      </c>
      <c r="D464" s="15" t="inlineStr">
        <is>
          <t xml:space="preserve">CRS-07-032</t>
        </is>
      </c>
      <c r="E464" s="15">
        <v>1</v>
      </c>
      <c r="F464" s="15" t="inlineStr">
        <is>
          <t xml:space="preserve">Luke</t>
        </is>
      </c>
      <c r="G464" s="15" t="inlineStr">
        <is>
          <t xml:space="preserve">Luke 7:11-17</t>
        </is>
      </c>
      <c r="H464" s="15" t="inlineStr">
        <is>
          <t xml:space="preserve">Primary Account</t>
        </is>
      </c>
      <c r="I464" s="15"/>
      <c r="J464" s="15" t="inlineStr">
        <is>
          <t xml:space="preserve">Yes</t>
        </is>
      </c>
      <c r="K464" s="15" t="inlineStr">
        <is>
          <t xml:space="preserve">Yes</t>
        </is>
      </c>
      <c r="L464" s="15" t="inlineStr">
        <is>
          <t xml:space="preserve">Probable</t>
        </is>
      </c>
      <c r="M464" s="15" t="inlineStr">
        <is>
          <t xml:space="preserve">Probable</t>
        </is>
      </c>
      <c r="N464" s="15" t="inlineStr">
        <is>
          <t xml:space="preserve">Luke</t>
        </is>
      </c>
      <c r="O464" s="15"/>
      <c r="P464" s="15" t="inlineStr">
        <is>
          <t xml:space="preserve">7:17</t>
        </is>
      </c>
      <c r="Q464" s="15" t="inlineStr">
        <is>
          <t xml:space="preserve">SRC-07-03</t>
        </is>
      </c>
      <c r="R464" s="15"/>
      <c r="S464" s="15"/>
    </row>
    <row r="465" ht="34" customHeight="1">
      <c r="A465" s="15" t="inlineStr">
        <is>
          <t xml:space="preserve">v0.7</t>
        </is>
      </c>
      <c r="B465" s="15" t="inlineStr">
        <is>
          <t xml:space="preserve">Bible_Journey_Canon_Map_v0_7_Gospel_Chronology.xlsx</t>
        </is>
      </c>
      <c r="C465" s="15" t="inlineStr">
        <is>
          <t xml:space="preserve">BLK-07-059</t>
        </is>
      </c>
      <c r="D465" s="15" t="inlineStr">
        <is>
          <t xml:space="preserve">CRS-07-033</t>
        </is>
      </c>
      <c r="E465" s="15">
        <v>1</v>
      </c>
      <c r="F465" s="15" t="inlineStr">
        <is>
          <t xml:space="preserve">Matthew</t>
        </is>
      </c>
      <c r="G465" s="15" t="inlineStr">
        <is>
          <t xml:space="preserve">Matthew 11:2-30</t>
        </is>
      </c>
      <c r="H465" s="15" t="inlineStr">
        <is>
          <t xml:space="preserve">Primary Account</t>
        </is>
      </c>
      <c r="I465" s="15"/>
      <c r="J465" s="15" t="inlineStr">
        <is>
          <t xml:space="preserve">Yes</t>
        </is>
      </c>
      <c r="K465" s="15" t="inlineStr">
        <is>
          <t xml:space="preserve">Yes</t>
        </is>
      </c>
      <c r="L465" s="15" t="inlineStr">
        <is>
          <t xml:space="preserve">Probable</t>
        </is>
      </c>
      <c r="M465" s="15" t="inlineStr">
        <is>
          <t xml:space="preserve">Probable</t>
        </is>
      </c>
      <c r="N465" s="15" t="inlineStr">
        <is>
          <t xml:space="preserve">Matthew</t>
        </is>
      </c>
      <c r="O465" s="15" t="inlineStr">
        <is>
          <t xml:space="preserve">CMP-07-017</t>
        </is>
      </c>
      <c r="P465" s="15" t="inlineStr">
        <is>
          <t xml:space="preserve">11:end</t>
        </is>
      </c>
      <c r="Q465" s="15" t="inlineStr">
        <is>
          <t xml:space="preserve">SRC-07-01; SRC-07-02</t>
        </is>
      </c>
      <c r="R465" s="15"/>
      <c r="S465" s="15"/>
    </row>
    <row r="466" ht="34" customHeight="1">
      <c r="A466" s="15" t="inlineStr">
        <is>
          <t xml:space="preserve">v0.7</t>
        </is>
      </c>
      <c r="B466" s="15" t="inlineStr">
        <is>
          <t xml:space="preserve">Bible_Journey_Canon_Map_v0_7_Gospel_Chronology.xlsx</t>
        </is>
      </c>
      <c r="C466" s="15" t="inlineStr">
        <is>
          <t xml:space="preserve">BLK-07-060</t>
        </is>
      </c>
      <c r="D466" s="15" t="inlineStr">
        <is>
          <t xml:space="preserve">CRS-07-033</t>
        </is>
      </c>
      <c r="E466" s="15">
        <v>2</v>
      </c>
      <c r="F466" s="15" t="inlineStr">
        <is>
          <t xml:space="preserve">Luke</t>
        </is>
      </c>
      <c r="G466" s="15" t="inlineStr">
        <is>
          <t xml:space="preserve">Luke 7:18-35</t>
        </is>
      </c>
      <c r="H466" s="15" t="inlineStr">
        <is>
          <t xml:space="preserve">Parallel Account</t>
        </is>
      </c>
      <c r="I466" s="15"/>
      <c r="J466" s="15" t="inlineStr">
        <is>
          <t xml:space="preserve">Yes</t>
        </is>
      </c>
      <c r="K466" s="15" t="inlineStr">
        <is>
          <t xml:space="preserve">No</t>
        </is>
      </c>
      <c r="L466" s="15" t="inlineStr">
        <is>
          <t xml:space="preserve">Probable</t>
        </is>
      </c>
      <c r="M466" s="15" t="inlineStr">
        <is>
          <t xml:space="preserve">Probable</t>
        </is>
      </c>
      <c r="N466" s="15" t="inlineStr">
        <is>
          <t xml:space="preserve">Luke</t>
        </is>
      </c>
      <c r="O466" s="15" t="inlineStr">
        <is>
          <t xml:space="preserve">CMP-07-017</t>
        </is>
      </c>
      <c r="P466" s="15" t="inlineStr">
        <is>
          <t xml:space="preserve">7:35</t>
        </is>
      </c>
      <c r="Q466" s="15" t="inlineStr">
        <is>
          <t xml:space="preserve">SRC-07-01; SRC-07-02</t>
        </is>
      </c>
      <c r="R466" s="15"/>
      <c r="S466" s="15"/>
    </row>
    <row r="467" ht="34" customHeight="1">
      <c r="A467" s="15" t="inlineStr">
        <is>
          <t xml:space="preserve">v0.7</t>
        </is>
      </c>
      <c r="B467" s="15" t="inlineStr">
        <is>
          <t xml:space="preserve">Bible_Journey_Canon_Map_v0_7_Gospel_Chronology.xlsx</t>
        </is>
      </c>
      <c r="C467" s="15" t="inlineStr">
        <is>
          <t xml:space="preserve">BLK-07-061</t>
        </is>
      </c>
      <c r="D467" s="15" t="inlineStr">
        <is>
          <t xml:space="preserve">CRS-07-034</t>
        </is>
      </c>
      <c r="E467" s="15">
        <v>1</v>
      </c>
      <c r="F467" s="15" t="inlineStr">
        <is>
          <t xml:space="preserve">Luke</t>
        </is>
      </c>
      <c r="G467" s="15" t="inlineStr">
        <is>
          <t xml:space="preserve">Luke 7:36-50</t>
        </is>
      </c>
      <c r="H467" s="15" t="inlineStr">
        <is>
          <t xml:space="preserve">Primary Account</t>
        </is>
      </c>
      <c r="I467" s="15"/>
      <c r="J467" s="15" t="inlineStr">
        <is>
          <t xml:space="preserve">Yes</t>
        </is>
      </c>
      <c r="K467" s="15" t="inlineStr">
        <is>
          <t xml:space="preserve">Yes</t>
        </is>
      </c>
      <c r="L467" s="15" t="inlineStr">
        <is>
          <t xml:space="preserve">Probable</t>
        </is>
      </c>
      <c r="M467" s="15" t="inlineStr">
        <is>
          <t xml:space="preserve">Probable</t>
        </is>
      </c>
      <c r="N467" s="15" t="inlineStr">
        <is>
          <t xml:space="preserve">Luke</t>
        </is>
      </c>
      <c r="O467" s="15"/>
      <c r="P467" s="15" t="inlineStr">
        <is>
          <t xml:space="preserve">7:end</t>
        </is>
      </c>
      <c r="Q467" s="15" t="inlineStr">
        <is>
          <t xml:space="preserve">SRC-07-03; SRC-07-09</t>
        </is>
      </c>
      <c r="R467" s="15"/>
      <c r="S467" s="15" t="inlineStr">
        <is>
          <t xml:space="preserve">Cross-link to Bethany anointing traditions with explicit non-identity caution.</t>
        </is>
      </c>
    </row>
    <row r="468" ht="34" customHeight="1">
      <c r="A468" s="15" t="inlineStr">
        <is>
          <t xml:space="preserve">v0.7</t>
        </is>
      </c>
      <c r="B468" s="15" t="inlineStr">
        <is>
          <t xml:space="preserve">Bible_Journey_Canon_Map_v0_7_Gospel_Chronology.xlsx</t>
        </is>
      </c>
      <c r="C468" s="15" t="inlineStr">
        <is>
          <t xml:space="preserve">BLK-07-062</t>
        </is>
      </c>
      <c r="D468" s="15" t="inlineStr">
        <is>
          <t xml:space="preserve">CRS-07-035</t>
        </is>
      </c>
      <c r="E468" s="15">
        <v>1</v>
      </c>
      <c r="F468" s="15" t="inlineStr">
        <is>
          <t xml:space="preserve">Luke</t>
        </is>
      </c>
      <c r="G468" s="15" t="inlineStr">
        <is>
          <t xml:space="preserve">Luke 8:1-3</t>
        </is>
      </c>
      <c r="H468" s="15" t="inlineStr">
        <is>
          <t xml:space="preserve">Primary Account</t>
        </is>
      </c>
      <c r="I468" s="15"/>
      <c r="J468" s="15" t="inlineStr">
        <is>
          <t xml:space="preserve">Yes</t>
        </is>
      </c>
      <c r="K468" s="15" t="inlineStr">
        <is>
          <t xml:space="preserve">Yes</t>
        </is>
      </c>
      <c r="L468" s="15" t="inlineStr">
        <is>
          <t xml:space="preserve">Probable</t>
        </is>
      </c>
      <c r="M468" s="15" t="inlineStr">
        <is>
          <t xml:space="preserve">Probable</t>
        </is>
      </c>
      <c r="N468" s="15" t="inlineStr">
        <is>
          <t xml:space="preserve">Luke</t>
        </is>
      </c>
      <c r="O468" s="15"/>
      <c r="P468" s="15" t="inlineStr">
        <is>
          <t xml:space="preserve">8:3</t>
        </is>
      </c>
      <c r="Q468" s="15" t="inlineStr">
        <is>
          <t xml:space="preserve">SRC-07-03</t>
        </is>
      </c>
      <c r="R468" s="15"/>
      <c r="S468" s="15"/>
    </row>
    <row r="469" ht="34" customHeight="1">
      <c r="A469" s="15" t="inlineStr">
        <is>
          <t xml:space="preserve">v0.7</t>
        </is>
      </c>
      <c r="B469" s="15" t="inlineStr">
        <is>
          <t xml:space="preserve">Bible_Journey_Canon_Map_v0_7_Gospel_Chronology.xlsx</t>
        </is>
      </c>
      <c r="C469" s="15" t="inlineStr">
        <is>
          <t xml:space="preserve">BLK-07-063</t>
        </is>
      </c>
      <c r="D469" s="15" t="inlineStr">
        <is>
          <t xml:space="preserve">CRS-07-035</t>
        </is>
      </c>
      <c r="E469" s="15">
        <v>2</v>
      </c>
      <c r="F469" s="15" t="inlineStr">
        <is>
          <t xml:space="preserve">Mark</t>
        </is>
      </c>
      <c r="G469" s="15" t="inlineStr">
        <is>
          <t xml:space="preserve">Mark 3:20-35</t>
        </is>
      </c>
      <c r="H469" s="15" t="inlineStr">
        <is>
          <t xml:space="preserve">Primary Account</t>
        </is>
      </c>
      <c r="I469" s="15"/>
      <c r="J469" s="15" t="inlineStr">
        <is>
          <t xml:space="preserve">Yes</t>
        </is>
      </c>
      <c r="K469" s="15" t="inlineStr">
        <is>
          <t xml:space="preserve">Yes</t>
        </is>
      </c>
      <c r="L469" s="15" t="inlineStr">
        <is>
          <t xml:space="preserve">Probable</t>
        </is>
      </c>
      <c r="M469" s="15" t="inlineStr">
        <is>
          <t xml:space="preserve">Probable</t>
        </is>
      </c>
      <c r="N469" s="15" t="inlineStr">
        <is>
          <t xml:space="preserve">Mark</t>
        </is>
      </c>
      <c r="O469" s="15" t="inlineStr">
        <is>
          <t xml:space="preserve">CMP-07-018</t>
        </is>
      </c>
      <c r="P469" s="15" t="inlineStr">
        <is>
          <t xml:space="preserve">3:end</t>
        </is>
      </c>
      <c r="Q469" s="15" t="inlineStr">
        <is>
          <t xml:space="preserve">SRC-07-01; SRC-07-02</t>
        </is>
      </c>
      <c r="R469" s="15"/>
      <c r="S469" s="15"/>
    </row>
    <row r="470" ht="34" customHeight="1">
      <c r="A470" s="15" t="inlineStr">
        <is>
          <t xml:space="preserve">v0.7</t>
        </is>
      </c>
      <c r="B470" s="15" t="inlineStr">
        <is>
          <t xml:space="preserve">Bible_Journey_Canon_Map_v0_7_Gospel_Chronology.xlsx</t>
        </is>
      </c>
      <c r="C470" s="15" t="inlineStr">
        <is>
          <t xml:space="preserve">BLK-07-199</t>
        </is>
      </c>
      <c r="D470" s="15" t="inlineStr">
        <is>
          <t xml:space="preserve">CRS-07-035</t>
        </is>
      </c>
      <c r="E470" s="15">
        <v>3</v>
      </c>
      <c r="F470" s="15" t="inlineStr">
        <is>
          <t xml:space="preserve">Matthew</t>
        </is>
      </c>
      <c r="G470" s="15" t="inlineStr">
        <is>
          <t xml:space="preserve">Matthew 12:15-21</t>
        </is>
      </c>
      <c r="H470" s="15" t="inlineStr">
        <is>
          <t xml:space="preserve">Supplementary Reading</t>
        </is>
      </c>
      <c r="I470" s="15"/>
      <c r="J470" s="15" t="inlineStr">
        <is>
          <t xml:space="preserve">Yes</t>
        </is>
      </c>
      <c r="K470" s="15" t="inlineStr">
        <is>
          <t xml:space="preserve">Yes</t>
        </is>
      </c>
      <c r="L470" s="15" t="inlineStr">
        <is>
          <t xml:space="preserve">Probable</t>
        </is>
      </c>
      <c r="M470" s="15" t="inlineStr">
        <is>
          <t xml:space="preserve">Probable</t>
        </is>
      </c>
      <c r="N470" s="15" t="inlineStr">
        <is>
          <t xml:space="preserve">Matthew</t>
        </is>
      </c>
      <c r="O470" s="15"/>
      <c r="P470" s="15" t="inlineStr">
        <is>
          <t xml:space="preserve">12:21</t>
        </is>
      </c>
      <c r="Q470" s="15" t="inlineStr">
        <is>
          <t xml:space="preserve">SRC-07-01; SRC-07-02</t>
        </is>
      </c>
      <c r="R470" s="15"/>
      <c r="S470" s="15"/>
    </row>
    <row r="471" ht="34" customHeight="1">
      <c r="A471" s="15" t="inlineStr">
        <is>
          <t xml:space="preserve">v0.7</t>
        </is>
      </c>
      <c r="B471" s="15" t="inlineStr">
        <is>
          <t xml:space="preserve">Bible_Journey_Canon_Map_v0_7_Gospel_Chronology.xlsx</t>
        </is>
      </c>
      <c r="C471" s="15" t="inlineStr">
        <is>
          <t xml:space="preserve">BLK-07-064</t>
        </is>
      </c>
      <c r="D471" s="15" t="inlineStr">
        <is>
          <t xml:space="preserve">CRS-07-035</t>
        </is>
      </c>
      <c r="E471" s="15">
        <v>4</v>
      </c>
      <c r="F471" s="15" t="inlineStr">
        <is>
          <t xml:space="preserve">Matthew</t>
        </is>
      </c>
      <c r="G471" s="15" t="inlineStr">
        <is>
          <t xml:space="preserve">Matthew 12:22-50</t>
        </is>
      </c>
      <c r="H471" s="15" t="inlineStr">
        <is>
          <t xml:space="preserve">Parallel Account</t>
        </is>
      </c>
      <c r="I471" s="15"/>
      <c r="J471" s="15" t="inlineStr">
        <is>
          <t xml:space="preserve">Yes</t>
        </is>
      </c>
      <c r="K471" s="15" t="inlineStr">
        <is>
          <t xml:space="preserve">No</t>
        </is>
      </c>
      <c r="L471" s="15" t="inlineStr">
        <is>
          <t xml:space="preserve">Probable</t>
        </is>
      </c>
      <c r="M471" s="15" t="inlineStr">
        <is>
          <t xml:space="preserve">Probable</t>
        </is>
      </c>
      <c r="N471" s="15" t="inlineStr">
        <is>
          <t xml:space="preserve">Matthew</t>
        </is>
      </c>
      <c r="O471" s="15" t="inlineStr">
        <is>
          <t xml:space="preserve">CMP-07-018</t>
        </is>
      </c>
      <c r="P471" s="15" t="inlineStr">
        <is>
          <t xml:space="preserve">12:end</t>
        </is>
      </c>
      <c r="Q471" s="15" t="inlineStr">
        <is>
          <t xml:space="preserve">SRC-07-01; SRC-07-02</t>
        </is>
      </c>
      <c r="R471" s="15"/>
      <c r="S471" s="15"/>
    </row>
    <row r="472" ht="34" customHeight="1">
      <c r="A472" s="15" t="inlineStr">
        <is>
          <t xml:space="preserve">v0.7</t>
        </is>
      </c>
      <c r="B472" s="15" t="inlineStr">
        <is>
          <t xml:space="preserve">Bible_Journey_Canon_Map_v0_7_Gospel_Chronology.xlsx</t>
        </is>
      </c>
      <c r="C472" s="15" t="inlineStr">
        <is>
          <t xml:space="preserve">BLK-07-065</t>
        </is>
      </c>
      <c r="D472" s="15" t="inlineStr">
        <is>
          <t xml:space="preserve">CRS-07-035</t>
        </is>
      </c>
      <c r="E472" s="15">
        <v>5</v>
      </c>
      <c r="F472" s="15" t="inlineStr">
        <is>
          <t xml:space="preserve">Luke</t>
        </is>
      </c>
      <c r="G472" s="15" t="inlineStr">
        <is>
          <t xml:space="preserve">Luke 8:19-21</t>
        </is>
      </c>
      <c r="H472" s="15" t="inlineStr">
        <is>
          <t xml:space="preserve">Parallel Account</t>
        </is>
      </c>
      <c r="I472" s="15"/>
      <c r="J472" s="15" t="inlineStr">
        <is>
          <t xml:space="preserve">Yes</t>
        </is>
      </c>
      <c r="K472" s="15" t="inlineStr">
        <is>
          <t xml:space="preserve">No</t>
        </is>
      </c>
      <c r="L472" s="15" t="inlineStr">
        <is>
          <t xml:space="preserve">Probable</t>
        </is>
      </c>
      <c r="M472" s="15" t="inlineStr">
        <is>
          <t xml:space="preserve">Probable</t>
        </is>
      </c>
      <c r="N472" s="15" t="inlineStr">
        <is>
          <t xml:space="preserve">Luke</t>
        </is>
      </c>
      <c r="O472" s="15" t="inlineStr">
        <is>
          <t xml:space="preserve">CMP-07-018</t>
        </is>
      </c>
      <c r="P472" s="15" t="inlineStr">
        <is>
          <t xml:space="preserve">8:21</t>
        </is>
      </c>
      <c r="Q472" s="15" t="inlineStr">
        <is>
          <t xml:space="preserve">SRC-07-01; SRC-07-02</t>
        </is>
      </c>
      <c r="R472" s="15"/>
      <c r="S472" s="15"/>
    </row>
    <row r="473" ht="34" customHeight="1">
      <c r="A473" s="15" t="inlineStr">
        <is>
          <t xml:space="preserve">v0.7</t>
        </is>
      </c>
      <c r="B473" s="15" t="inlineStr">
        <is>
          <t xml:space="preserve">Bible_Journey_Canon_Map_v0_7_Gospel_Chronology.xlsx</t>
        </is>
      </c>
      <c r="C473" s="15" t="inlineStr">
        <is>
          <t xml:space="preserve">BLK-07-066</t>
        </is>
      </c>
      <c r="D473" s="15" t="inlineStr">
        <is>
          <t xml:space="preserve">CRS-07-035</t>
        </is>
      </c>
      <c r="E473" s="15">
        <v>6</v>
      </c>
      <c r="F473" s="15" t="inlineStr">
        <is>
          <t xml:space="preserve">Luke</t>
        </is>
      </c>
      <c r="G473" s="15" t="inlineStr">
        <is>
          <t xml:space="preserve">Luke 11:14-36</t>
        </is>
      </c>
      <c r="H473" s="15" t="inlineStr">
        <is>
          <t xml:space="preserve">Related Account</t>
        </is>
      </c>
      <c r="I473" s="15"/>
      <c r="J473" s="15" t="inlineStr">
        <is>
          <t xml:space="preserve">Yes</t>
        </is>
      </c>
      <c r="K473" s="15" t="inlineStr">
        <is>
          <t xml:space="preserve">No</t>
        </is>
      </c>
      <c r="L473" s="15" t="inlineStr">
        <is>
          <t xml:space="preserve">Probable</t>
        </is>
      </c>
      <c r="M473" s="15" t="inlineStr">
        <is>
          <t xml:space="preserve">Probable</t>
        </is>
      </c>
      <c r="N473" s="15" t="inlineStr">
        <is>
          <t xml:space="preserve">Placed here as related tradition; Book Order context retained in Compare Accounts.</t>
        </is>
      </c>
      <c r="O473" s="15" t="inlineStr">
        <is>
          <t xml:space="preserve">CMP-07-018</t>
        </is>
      </c>
      <c r="P473" s="15" t="inlineStr">
        <is>
          <t xml:space="preserve">11:36</t>
        </is>
      </c>
      <c r="Q473" s="15" t="inlineStr">
        <is>
          <t xml:space="preserve">SRC-07-01; SRC-07-02</t>
        </is>
      </c>
      <c r="R473" s="15"/>
      <c r="S473" s="15"/>
    </row>
    <row r="474" ht="34" customHeight="1">
      <c r="A474" s="15" t="inlineStr">
        <is>
          <t xml:space="preserve">v0.7</t>
        </is>
      </c>
      <c r="B474" s="15" t="inlineStr">
        <is>
          <t xml:space="preserve">Bible_Journey_Canon_Map_v0_7_Gospel_Chronology.xlsx</t>
        </is>
      </c>
      <c r="C474" s="15" t="inlineStr">
        <is>
          <t xml:space="preserve">BLK-07-067</t>
        </is>
      </c>
      <c r="D474" s="15" t="inlineStr">
        <is>
          <t xml:space="preserve">CRS-07-036</t>
        </is>
      </c>
      <c r="E474" s="15">
        <v>1</v>
      </c>
      <c r="F474" s="15" t="inlineStr">
        <is>
          <t xml:space="preserve">Mark</t>
        </is>
      </c>
      <c r="G474" s="15" t="inlineStr">
        <is>
          <t xml:space="preserve">Mark 4:1-34</t>
        </is>
      </c>
      <c r="H474" s="15" t="inlineStr">
        <is>
          <t xml:space="preserve">Primary Account</t>
        </is>
      </c>
      <c r="I474" s="15"/>
      <c r="J474" s="15" t="inlineStr">
        <is>
          <t xml:space="preserve">Yes</t>
        </is>
      </c>
      <c r="K474" s="15" t="inlineStr">
        <is>
          <t xml:space="preserve">Yes</t>
        </is>
      </c>
      <c r="L474" s="15" t="inlineStr">
        <is>
          <t xml:space="preserve">Probable</t>
        </is>
      </c>
      <c r="M474" s="15" t="inlineStr">
        <is>
          <t xml:space="preserve">Probable</t>
        </is>
      </c>
      <c r="N474" s="15" t="inlineStr">
        <is>
          <t xml:space="preserve">Mark</t>
        </is>
      </c>
      <c r="O474" s="15" t="inlineStr">
        <is>
          <t xml:space="preserve">CMP-07-019</t>
        </is>
      </c>
      <c r="P474" s="15" t="inlineStr">
        <is>
          <t xml:space="preserve">4:end</t>
        </is>
      </c>
      <c r="Q474" s="15" t="inlineStr">
        <is>
          <t xml:space="preserve">SRC-07-01; SRC-07-02</t>
        </is>
      </c>
      <c r="R474" s="15"/>
      <c r="S474" s="15"/>
    </row>
    <row r="475" ht="34" customHeight="1">
      <c r="A475" s="15" t="inlineStr">
        <is>
          <t xml:space="preserve">v0.7</t>
        </is>
      </c>
      <c r="B475" s="15" t="inlineStr">
        <is>
          <t xml:space="preserve">Bible_Journey_Canon_Map_v0_7_Gospel_Chronology.xlsx</t>
        </is>
      </c>
      <c r="C475" s="15" t="inlineStr">
        <is>
          <t xml:space="preserve">BLK-07-068</t>
        </is>
      </c>
      <c r="D475" s="15" t="inlineStr">
        <is>
          <t xml:space="preserve">CRS-07-036</t>
        </is>
      </c>
      <c r="E475" s="15">
        <v>2</v>
      </c>
      <c r="F475" s="15" t="inlineStr">
        <is>
          <t xml:space="preserve">Matthew</t>
        </is>
      </c>
      <c r="G475" s="15" t="inlineStr">
        <is>
          <t xml:space="preserve">Matthew 13:1-52</t>
        </is>
      </c>
      <c r="H475" s="15" t="inlineStr">
        <is>
          <t xml:space="preserve">Parallel Account</t>
        </is>
      </c>
      <c r="I475" s="15"/>
      <c r="J475" s="15" t="inlineStr">
        <is>
          <t xml:space="preserve">Yes</t>
        </is>
      </c>
      <c r="K475" s="15" t="inlineStr">
        <is>
          <t xml:space="preserve">No</t>
        </is>
      </c>
      <c r="L475" s="15" t="inlineStr">
        <is>
          <t xml:space="preserve">Probable</t>
        </is>
      </c>
      <c r="M475" s="15" t="inlineStr">
        <is>
          <t xml:space="preserve">Probable</t>
        </is>
      </c>
      <c r="N475" s="15" t="inlineStr">
        <is>
          <t xml:space="preserve">Matthew</t>
        </is>
      </c>
      <c r="O475" s="15" t="inlineStr">
        <is>
          <t xml:space="preserve">CMP-07-019</t>
        </is>
      </c>
      <c r="P475" s="15" t="inlineStr">
        <is>
          <t xml:space="preserve">13:52</t>
        </is>
      </c>
      <c r="Q475" s="15" t="inlineStr">
        <is>
          <t xml:space="preserve">SRC-07-01; SRC-07-02</t>
        </is>
      </c>
      <c r="R475" s="15"/>
      <c r="S475" s="15"/>
    </row>
    <row r="476" ht="34" customHeight="1">
      <c r="A476" s="15" t="inlineStr">
        <is>
          <t xml:space="preserve">v0.7</t>
        </is>
      </c>
      <c r="B476" s="15" t="inlineStr">
        <is>
          <t xml:space="preserve">Bible_Journey_Canon_Map_v0_7_Gospel_Chronology.xlsx</t>
        </is>
      </c>
      <c r="C476" s="15" t="inlineStr">
        <is>
          <t xml:space="preserve">BLK-07-069</t>
        </is>
      </c>
      <c r="D476" s="15" t="inlineStr">
        <is>
          <t xml:space="preserve">CRS-07-036</t>
        </is>
      </c>
      <c r="E476" s="15">
        <v>3</v>
      </c>
      <c r="F476" s="15" t="inlineStr">
        <is>
          <t xml:space="preserve">Luke</t>
        </is>
      </c>
      <c r="G476" s="15" t="inlineStr">
        <is>
          <t xml:space="preserve">Luke 8:4-18</t>
        </is>
      </c>
      <c r="H476" s="15" t="inlineStr">
        <is>
          <t xml:space="preserve">Parallel Account</t>
        </is>
      </c>
      <c r="I476" s="15"/>
      <c r="J476" s="15" t="inlineStr">
        <is>
          <t xml:space="preserve">Yes</t>
        </is>
      </c>
      <c r="K476" s="15" t="inlineStr">
        <is>
          <t xml:space="preserve">No</t>
        </is>
      </c>
      <c r="L476" s="15" t="inlineStr">
        <is>
          <t xml:space="preserve">Probable</t>
        </is>
      </c>
      <c r="M476" s="15" t="inlineStr">
        <is>
          <t xml:space="preserve">Probable</t>
        </is>
      </c>
      <c r="N476" s="15" t="inlineStr">
        <is>
          <t xml:space="preserve">Luke</t>
        </is>
      </c>
      <c r="O476" s="15" t="inlineStr">
        <is>
          <t xml:space="preserve">CMP-07-019</t>
        </is>
      </c>
      <c r="P476" s="15" t="inlineStr">
        <is>
          <t xml:space="preserve">8:18</t>
        </is>
      </c>
      <c r="Q476" s="15" t="inlineStr">
        <is>
          <t xml:space="preserve">SRC-07-01; SRC-07-02</t>
        </is>
      </c>
      <c r="R476" s="15"/>
      <c r="S476" s="15"/>
    </row>
    <row r="477" ht="34" customHeight="1">
      <c r="A477" s="15" t="inlineStr">
        <is>
          <t xml:space="preserve">v0.7</t>
        </is>
      </c>
      <c r="B477" s="15" t="inlineStr">
        <is>
          <t xml:space="preserve">Bible_Journey_Canon_Map_v0_7_Gospel_Chronology.xlsx</t>
        </is>
      </c>
      <c r="C477" s="15" t="inlineStr">
        <is>
          <t xml:space="preserve">BLK-07-198</t>
        </is>
      </c>
      <c r="D477" s="15" t="inlineStr">
        <is>
          <t xml:space="preserve">CRS-07-037</t>
        </is>
      </c>
      <c r="E477" s="15">
        <v>1</v>
      </c>
      <c r="F477" s="15" t="inlineStr">
        <is>
          <t xml:space="preserve">Matthew</t>
        </is>
      </c>
      <c r="G477" s="15" t="inlineStr">
        <is>
          <t xml:space="preserve">Matthew 8:18-22</t>
        </is>
      </c>
      <c r="H477" s="15" t="inlineStr">
        <is>
          <t xml:space="preserve">Supplementary Reading</t>
        </is>
      </c>
      <c r="I477" s="15"/>
      <c r="J477" s="15" t="inlineStr">
        <is>
          <t xml:space="preserve">Yes</t>
        </is>
      </c>
      <c r="K477" s="15" t="inlineStr">
        <is>
          <t xml:space="preserve">Yes</t>
        </is>
      </c>
      <c r="L477" s="15" t="inlineStr">
        <is>
          <t xml:space="preserve">Probable</t>
        </is>
      </c>
      <c r="M477" s="15" t="inlineStr">
        <is>
          <t xml:space="preserve">Probable</t>
        </is>
      </c>
      <c r="N477" s="15" t="inlineStr">
        <is>
          <t xml:space="preserve">Matthew</t>
        </is>
      </c>
      <c r="O477" s="15"/>
      <c r="P477" s="15" t="inlineStr">
        <is>
          <t xml:space="preserve">8:22</t>
        </is>
      </c>
      <c r="Q477" s="15" t="inlineStr">
        <is>
          <t xml:space="preserve">SRC-07-01; SRC-07-02</t>
        </is>
      </c>
      <c r="R477" s="15"/>
      <c r="S477" s="15" t="inlineStr">
        <is>
          <t xml:space="preserve">Not treated as a direct parallel of the storm narrative.</t>
        </is>
      </c>
    </row>
    <row r="478" ht="34" customHeight="1">
      <c r="A478" s="15" t="inlineStr">
        <is>
          <t xml:space="preserve">v0.7</t>
        </is>
      </c>
      <c r="B478" s="15" t="inlineStr">
        <is>
          <t xml:space="preserve">Bible_Journey_Canon_Map_v0_7_Gospel_Chronology.xlsx</t>
        </is>
      </c>
      <c r="C478" s="15" t="inlineStr">
        <is>
          <t xml:space="preserve">BLK-07-070</t>
        </is>
      </c>
      <c r="D478" s="15" t="inlineStr">
        <is>
          <t xml:space="preserve">CRS-07-037</t>
        </is>
      </c>
      <c r="E478" s="15">
        <v>2</v>
      </c>
      <c r="F478" s="15" t="inlineStr">
        <is>
          <t xml:space="preserve">Mark</t>
        </is>
      </c>
      <c r="G478" s="15" t="inlineStr">
        <is>
          <t xml:space="preserve">Mark 4:35-41</t>
        </is>
      </c>
      <c r="H478" s="15" t="inlineStr">
        <is>
          <t xml:space="preserve">Primary Account</t>
        </is>
      </c>
      <c r="I478" s="15"/>
      <c r="J478" s="15" t="inlineStr">
        <is>
          <t xml:space="preserve">Yes</t>
        </is>
      </c>
      <c r="K478" s="15" t="inlineStr">
        <is>
          <t xml:space="preserve">Yes</t>
        </is>
      </c>
      <c r="L478" s="15" t="inlineStr">
        <is>
          <t xml:space="preserve">Probable</t>
        </is>
      </c>
      <c r="M478" s="15" t="inlineStr">
        <is>
          <t xml:space="preserve">Probable</t>
        </is>
      </c>
      <c r="N478" s="15" t="inlineStr">
        <is>
          <t xml:space="preserve">Mark</t>
        </is>
      </c>
      <c r="O478" s="15" t="inlineStr">
        <is>
          <t xml:space="preserve">CMP-07-020</t>
        </is>
      </c>
      <c r="P478" s="15" t="inlineStr">
        <is>
          <t xml:space="preserve">4:end</t>
        </is>
      </c>
      <c r="Q478" s="15" t="inlineStr">
        <is>
          <t xml:space="preserve">SRC-07-01; SRC-07-02</t>
        </is>
      </c>
      <c r="R478" s="15"/>
      <c r="S478" s="15"/>
    </row>
    <row r="479" ht="34" customHeight="1">
      <c r="A479" s="15" t="inlineStr">
        <is>
          <t xml:space="preserve">v0.7</t>
        </is>
      </c>
      <c r="B479" s="15" t="inlineStr">
        <is>
          <t xml:space="preserve">Bible_Journey_Canon_Map_v0_7_Gospel_Chronology.xlsx</t>
        </is>
      </c>
      <c r="C479" s="15" t="inlineStr">
        <is>
          <t xml:space="preserve">BLK-07-071</t>
        </is>
      </c>
      <c r="D479" s="15" t="inlineStr">
        <is>
          <t xml:space="preserve">CRS-07-037</t>
        </is>
      </c>
      <c r="E479" s="15">
        <v>3</v>
      </c>
      <c r="F479" s="15" t="inlineStr">
        <is>
          <t xml:space="preserve">Matthew</t>
        </is>
      </c>
      <c r="G479" s="15" t="inlineStr">
        <is>
          <t xml:space="preserve">Matthew 8:23-27</t>
        </is>
      </c>
      <c r="H479" s="15" t="inlineStr">
        <is>
          <t xml:space="preserve">Parallel Account</t>
        </is>
      </c>
      <c r="I479" s="15"/>
      <c r="J479" s="15" t="inlineStr">
        <is>
          <t xml:space="preserve">Yes</t>
        </is>
      </c>
      <c r="K479" s="15" t="inlineStr">
        <is>
          <t xml:space="preserve">No</t>
        </is>
      </c>
      <c r="L479" s="15" t="inlineStr">
        <is>
          <t xml:space="preserve">Probable</t>
        </is>
      </c>
      <c r="M479" s="15" t="inlineStr">
        <is>
          <t xml:space="preserve">Probable</t>
        </is>
      </c>
      <c r="N479" s="15" t="inlineStr">
        <is>
          <t xml:space="preserve">Matthew</t>
        </is>
      </c>
      <c r="O479" s="15" t="inlineStr">
        <is>
          <t xml:space="preserve">CMP-07-020</t>
        </is>
      </c>
      <c r="P479" s="15" t="inlineStr">
        <is>
          <t xml:space="preserve">8:27</t>
        </is>
      </c>
      <c r="Q479" s="15" t="inlineStr">
        <is>
          <t xml:space="preserve">SRC-07-01; SRC-07-02</t>
        </is>
      </c>
      <c r="R479" s="15"/>
      <c r="S479" s="15"/>
    </row>
    <row r="480" ht="34" customHeight="1">
      <c r="A480" s="15" t="inlineStr">
        <is>
          <t xml:space="preserve">v0.7</t>
        </is>
      </c>
      <c r="B480" s="15" t="inlineStr">
        <is>
          <t xml:space="preserve">Bible_Journey_Canon_Map_v0_7_Gospel_Chronology.xlsx</t>
        </is>
      </c>
      <c r="C480" s="15" t="inlineStr">
        <is>
          <t xml:space="preserve">BLK-07-072</t>
        </is>
      </c>
      <c r="D480" s="15" t="inlineStr">
        <is>
          <t xml:space="preserve">CRS-07-037</t>
        </is>
      </c>
      <c r="E480" s="15">
        <v>4</v>
      </c>
      <c r="F480" s="15" t="inlineStr">
        <is>
          <t xml:space="preserve">Luke</t>
        </is>
      </c>
      <c r="G480" s="15" t="inlineStr">
        <is>
          <t xml:space="preserve">Luke 8:22-25</t>
        </is>
      </c>
      <c r="H480" s="15" t="inlineStr">
        <is>
          <t xml:space="preserve">Parallel Account</t>
        </is>
      </c>
      <c r="I480" s="15"/>
      <c r="J480" s="15" t="inlineStr">
        <is>
          <t xml:space="preserve">Yes</t>
        </is>
      </c>
      <c r="K480" s="15" t="inlineStr">
        <is>
          <t xml:space="preserve">No</t>
        </is>
      </c>
      <c r="L480" s="15" t="inlineStr">
        <is>
          <t xml:space="preserve">Probable</t>
        </is>
      </c>
      <c r="M480" s="15" t="inlineStr">
        <is>
          <t xml:space="preserve">Probable</t>
        </is>
      </c>
      <c r="N480" s="15" t="inlineStr">
        <is>
          <t xml:space="preserve">Luke</t>
        </is>
      </c>
      <c r="O480" s="15" t="inlineStr">
        <is>
          <t xml:space="preserve">CMP-07-020</t>
        </is>
      </c>
      <c r="P480" s="15" t="inlineStr">
        <is>
          <t xml:space="preserve">8:25</t>
        </is>
      </c>
      <c r="Q480" s="15" t="inlineStr">
        <is>
          <t xml:space="preserve">SRC-07-01; SRC-07-02</t>
        </is>
      </c>
      <c r="R480" s="15"/>
      <c r="S480" s="15"/>
    </row>
    <row r="481" ht="34" customHeight="1">
      <c r="A481" s="15" t="inlineStr">
        <is>
          <t xml:space="preserve">v0.7</t>
        </is>
      </c>
      <c r="B481" s="15" t="inlineStr">
        <is>
          <t xml:space="preserve">Bible_Journey_Canon_Map_v0_7_Gospel_Chronology.xlsx</t>
        </is>
      </c>
      <c r="C481" s="15" t="inlineStr">
        <is>
          <t xml:space="preserve">BLK-07-073</t>
        </is>
      </c>
      <c r="D481" s="15" t="inlineStr">
        <is>
          <t xml:space="preserve">CRS-07-038</t>
        </is>
      </c>
      <c r="E481" s="15">
        <v>1</v>
      </c>
      <c r="F481" s="15" t="inlineStr">
        <is>
          <t xml:space="preserve">Mark</t>
        </is>
      </c>
      <c r="G481" s="15" t="inlineStr">
        <is>
          <t xml:space="preserve">Mark 5:1-20</t>
        </is>
      </c>
      <c r="H481" s="15" t="inlineStr">
        <is>
          <t xml:space="preserve">Primary Account</t>
        </is>
      </c>
      <c r="I481" s="15"/>
      <c r="J481" s="15" t="inlineStr">
        <is>
          <t xml:space="preserve">Yes</t>
        </is>
      </c>
      <c r="K481" s="15" t="inlineStr">
        <is>
          <t xml:space="preserve">Yes</t>
        </is>
      </c>
      <c r="L481" s="15" t="inlineStr">
        <is>
          <t xml:space="preserve">Probable</t>
        </is>
      </c>
      <c r="M481" s="15" t="inlineStr">
        <is>
          <t xml:space="preserve">Probable</t>
        </is>
      </c>
      <c r="N481" s="15" t="inlineStr">
        <is>
          <t xml:space="preserve">Mark</t>
        </is>
      </c>
      <c r="O481" s="15" t="inlineStr">
        <is>
          <t xml:space="preserve">CMP-07-021</t>
        </is>
      </c>
      <c r="P481" s="15" t="inlineStr">
        <is>
          <t xml:space="preserve">5:20</t>
        </is>
      </c>
      <c r="Q481" s="15" t="inlineStr">
        <is>
          <t xml:space="preserve">SRC-07-01; SRC-07-02</t>
        </is>
      </c>
      <c r="R481" s="15"/>
      <c r="S481" s="15"/>
    </row>
    <row r="482" ht="34" customHeight="1">
      <c r="A482" s="15" t="inlineStr">
        <is>
          <t xml:space="preserve">v0.7</t>
        </is>
      </c>
      <c r="B482" s="15" t="inlineStr">
        <is>
          <t xml:space="preserve">Bible_Journey_Canon_Map_v0_7_Gospel_Chronology.xlsx</t>
        </is>
      </c>
      <c r="C482" s="15" t="inlineStr">
        <is>
          <t xml:space="preserve">BLK-07-074</t>
        </is>
      </c>
      <c r="D482" s="15" t="inlineStr">
        <is>
          <t xml:space="preserve">CRS-07-038</t>
        </is>
      </c>
      <c r="E482" s="15">
        <v>2</v>
      </c>
      <c r="F482" s="15" t="inlineStr">
        <is>
          <t xml:space="preserve">Matthew</t>
        </is>
      </c>
      <c r="G482" s="15" t="inlineStr">
        <is>
          <t xml:space="preserve">Matthew 8:28-34</t>
        </is>
      </c>
      <c r="H482" s="15" t="inlineStr">
        <is>
          <t xml:space="preserve">Parallel Account</t>
        </is>
      </c>
      <c r="I482" s="15"/>
      <c r="J482" s="15" t="inlineStr">
        <is>
          <t xml:space="preserve">Yes</t>
        </is>
      </c>
      <c r="K482" s="15" t="inlineStr">
        <is>
          <t xml:space="preserve">No</t>
        </is>
      </c>
      <c r="L482" s="15" t="inlineStr">
        <is>
          <t xml:space="preserve">Probable</t>
        </is>
      </c>
      <c r="M482" s="15" t="inlineStr">
        <is>
          <t xml:space="preserve">Probable</t>
        </is>
      </c>
      <c r="N482" s="15" t="inlineStr">
        <is>
          <t xml:space="preserve">Matthew</t>
        </is>
      </c>
      <c r="O482" s="15" t="inlineStr">
        <is>
          <t xml:space="preserve">CMP-07-021</t>
        </is>
      </c>
      <c r="P482" s="15" t="inlineStr">
        <is>
          <t xml:space="preserve">8:end</t>
        </is>
      </c>
      <c r="Q482" s="15" t="inlineStr">
        <is>
          <t xml:space="preserve">SRC-07-01; SRC-07-02</t>
        </is>
      </c>
      <c r="R482" s="15"/>
      <c r="S482" s="15"/>
    </row>
    <row r="483" ht="34" customHeight="1">
      <c r="A483" s="15" t="inlineStr">
        <is>
          <t xml:space="preserve">v0.7</t>
        </is>
      </c>
      <c r="B483" s="15" t="inlineStr">
        <is>
          <t xml:space="preserve">Bible_Journey_Canon_Map_v0_7_Gospel_Chronology.xlsx</t>
        </is>
      </c>
      <c r="C483" s="15" t="inlineStr">
        <is>
          <t xml:space="preserve">BLK-07-075</t>
        </is>
      </c>
      <c r="D483" s="15" t="inlineStr">
        <is>
          <t xml:space="preserve">CRS-07-038</t>
        </is>
      </c>
      <c r="E483" s="15">
        <v>3</v>
      </c>
      <c r="F483" s="15" t="inlineStr">
        <is>
          <t xml:space="preserve">Luke</t>
        </is>
      </c>
      <c r="G483" s="15" t="inlineStr">
        <is>
          <t xml:space="preserve">Luke 8:26-39</t>
        </is>
      </c>
      <c r="H483" s="15" t="inlineStr">
        <is>
          <t xml:space="preserve">Parallel Account</t>
        </is>
      </c>
      <c r="I483" s="15"/>
      <c r="J483" s="15" t="inlineStr">
        <is>
          <t xml:space="preserve">Yes</t>
        </is>
      </c>
      <c r="K483" s="15" t="inlineStr">
        <is>
          <t xml:space="preserve">No</t>
        </is>
      </c>
      <c r="L483" s="15" t="inlineStr">
        <is>
          <t xml:space="preserve">Probable</t>
        </is>
      </c>
      <c r="M483" s="15" t="inlineStr">
        <is>
          <t xml:space="preserve">Probable</t>
        </is>
      </c>
      <c r="N483" s="15" t="inlineStr">
        <is>
          <t xml:space="preserve">Luke</t>
        </is>
      </c>
      <c r="O483" s="15" t="inlineStr">
        <is>
          <t xml:space="preserve">CMP-07-021</t>
        </is>
      </c>
      <c r="P483" s="15" t="inlineStr">
        <is>
          <t xml:space="preserve">8:39</t>
        </is>
      </c>
      <c r="Q483" s="15" t="inlineStr">
        <is>
          <t xml:space="preserve">SRC-07-01; SRC-07-02</t>
        </is>
      </c>
      <c r="R483" s="15"/>
      <c r="S483" s="15"/>
    </row>
    <row r="484" ht="34" customHeight="1">
      <c r="A484" s="15" t="inlineStr">
        <is>
          <t xml:space="preserve">v0.7</t>
        </is>
      </c>
      <c r="B484" s="15" t="inlineStr">
        <is>
          <t xml:space="preserve">Bible_Journey_Canon_Map_v0_7_Gospel_Chronology.xlsx</t>
        </is>
      </c>
      <c r="C484" s="15" t="inlineStr">
        <is>
          <t xml:space="preserve">BLK-07-076</t>
        </is>
      </c>
      <c r="D484" s="15" t="inlineStr">
        <is>
          <t xml:space="preserve">CRS-07-039</t>
        </is>
      </c>
      <c r="E484" s="15">
        <v>1</v>
      </c>
      <c r="F484" s="15" t="inlineStr">
        <is>
          <t xml:space="preserve">Mark</t>
        </is>
      </c>
      <c r="G484" s="15" t="inlineStr">
        <is>
          <t xml:space="preserve">Mark 5:21-43</t>
        </is>
      </c>
      <c r="H484" s="15" t="inlineStr">
        <is>
          <t xml:space="preserve">Primary Account</t>
        </is>
      </c>
      <c r="I484" s="15"/>
      <c r="J484" s="15" t="inlineStr">
        <is>
          <t xml:space="preserve">Yes</t>
        </is>
      </c>
      <c r="K484" s="15" t="inlineStr">
        <is>
          <t xml:space="preserve">Yes</t>
        </is>
      </c>
      <c r="L484" s="15" t="inlineStr">
        <is>
          <t xml:space="preserve">Probable</t>
        </is>
      </c>
      <c r="M484" s="15" t="inlineStr">
        <is>
          <t xml:space="preserve">Probable</t>
        </is>
      </c>
      <c r="N484" s="15" t="inlineStr">
        <is>
          <t xml:space="preserve">Mark</t>
        </is>
      </c>
      <c r="O484" s="15" t="inlineStr">
        <is>
          <t xml:space="preserve">CMP-07-022</t>
        </is>
      </c>
      <c r="P484" s="15" t="inlineStr">
        <is>
          <t xml:space="preserve">5:end</t>
        </is>
      </c>
      <c r="Q484" s="15" t="inlineStr">
        <is>
          <t xml:space="preserve">SRC-07-01; SRC-07-02</t>
        </is>
      </c>
      <c r="R484" s="15"/>
      <c r="S484" s="15"/>
    </row>
    <row r="485" ht="34" customHeight="1">
      <c r="A485" s="15" t="inlineStr">
        <is>
          <t xml:space="preserve">v0.7</t>
        </is>
      </c>
      <c r="B485" s="15" t="inlineStr">
        <is>
          <t xml:space="preserve">Bible_Journey_Canon_Map_v0_7_Gospel_Chronology.xlsx</t>
        </is>
      </c>
      <c r="C485" s="15" t="inlineStr">
        <is>
          <t xml:space="preserve">BLK-07-077</t>
        </is>
      </c>
      <c r="D485" s="15" t="inlineStr">
        <is>
          <t xml:space="preserve">CRS-07-039</t>
        </is>
      </c>
      <c r="E485" s="15">
        <v>2</v>
      </c>
      <c r="F485" s="15" t="inlineStr">
        <is>
          <t xml:space="preserve">Matthew</t>
        </is>
      </c>
      <c r="G485" s="15" t="inlineStr">
        <is>
          <t xml:space="preserve">Matthew 9:18-26</t>
        </is>
      </c>
      <c r="H485" s="15" t="inlineStr">
        <is>
          <t xml:space="preserve">Parallel Account</t>
        </is>
      </c>
      <c r="I485" s="15"/>
      <c r="J485" s="15" t="inlineStr">
        <is>
          <t xml:space="preserve">Yes</t>
        </is>
      </c>
      <c r="K485" s="15" t="inlineStr">
        <is>
          <t xml:space="preserve">No</t>
        </is>
      </c>
      <c r="L485" s="15" t="inlineStr">
        <is>
          <t xml:space="preserve">Probable</t>
        </is>
      </c>
      <c r="M485" s="15" t="inlineStr">
        <is>
          <t xml:space="preserve">Probable</t>
        </is>
      </c>
      <c r="N485" s="15" t="inlineStr">
        <is>
          <t xml:space="preserve">Matthew</t>
        </is>
      </c>
      <c r="O485" s="15" t="inlineStr">
        <is>
          <t xml:space="preserve">CMP-07-022</t>
        </is>
      </c>
      <c r="P485" s="15" t="inlineStr">
        <is>
          <t xml:space="preserve">9:26</t>
        </is>
      </c>
      <c r="Q485" s="15" t="inlineStr">
        <is>
          <t xml:space="preserve">SRC-07-01; SRC-07-02</t>
        </is>
      </c>
      <c r="R485" s="15"/>
      <c r="S485" s="15"/>
    </row>
    <row r="486" ht="34" customHeight="1">
      <c r="A486" s="15" t="inlineStr">
        <is>
          <t xml:space="preserve">v0.7</t>
        </is>
      </c>
      <c r="B486" s="15" t="inlineStr">
        <is>
          <t xml:space="preserve">Bible_Journey_Canon_Map_v0_7_Gospel_Chronology.xlsx</t>
        </is>
      </c>
      <c r="C486" s="15" t="inlineStr">
        <is>
          <t xml:space="preserve">BLK-07-078</t>
        </is>
      </c>
      <c r="D486" s="15" t="inlineStr">
        <is>
          <t xml:space="preserve">CRS-07-039</t>
        </is>
      </c>
      <c r="E486" s="15">
        <v>3</v>
      </c>
      <c r="F486" s="15" t="inlineStr">
        <is>
          <t xml:space="preserve">Luke</t>
        </is>
      </c>
      <c r="G486" s="15" t="inlineStr">
        <is>
          <t xml:space="preserve">Luke 8:40-56</t>
        </is>
      </c>
      <c r="H486" s="15" t="inlineStr">
        <is>
          <t xml:space="preserve">Parallel Account</t>
        </is>
      </c>
      <c r="I486" s="15"/>
      <c r="J486" s="15" t="inlineStr">
        <is>
          <t xml:space="preserve">Yes</t>
        </is>
      </c>
      <c r="K486" s="15" t="inlineStr">
        <is>
          <t xml:space="preserve">No</t>
        </is>
      </c>
      <c r="L486" s="15" t="inlineStr">
        <is>
          <t xml:space="preserve">Probable</t>
        </is>
      </c>
      <c r="M486" s="15" t="inlineStr">
        <is>
          <t xml:space="preserve">Probable</t>
        </is>
      </c>
      <c r="N486" s="15" t="inlineStr">
        <is>
          <t xml:space="preserve">Luke</t>
        </is>
      </c>
      <c r="O486" s="15" t="inlineStr">
        <is>
          <t xml:space="preserve">CMP-07-022</t>
        </is>
      </c>
      <c r="P486" s="15" t="inlineStr">
        <is>
          <t xml:space="preserve">8:end</t>
        </is>
      </c>
      <c r="Q486" s="15" t="inlineStr">
        <is>
          <t xml:space="preserve">SRC-07-01; SRC-07-02</t>
        </is>
      </c>
      <c r="R486" s="15"/>
      <c r="S486" s="15"/>
    </row>
    <row r="487" ht="34" customHeight="1">
      <c r="A487" s="15" t="inlineStr">
        <is>
          <t xml:space="preserve">v0.7</t>
        </is>
      </c>
      <c r="B487" s="15" t="inlineStr">
        <is>
          <t xml:space="preserve">Bible_Journey_Canon_Map_v0_7_Gospel_Chronology.xlsx</t>
        </is>
      </c>
      <c r="C487" s="15" t="inlineStr">
        <is>
          <t xml:space="preserve">BLK-07-079</t>
        </is>
      </c>
      <c r="D487" s="15" t="inlineStr">
        <is>
          <t xml:space="preserve">CRS-07-040</t>
        </is>
      </c>
      <c r="E487" s="15">
        <v>1</v>
      </c>
      <c r="F487" s="15" t="inlineStr">
        <is>
          <t xml:space="preserve">Matthew</t>
        </is>
      </c>
      <c r="G487" s="15" t="inlineStr">
        <is>
          <t xml:space="preserve">Matthew 9:27-38</t>
        </is>
      </c>
      <c r="H487" s="15" t="inlineStr">
        <is>
          <t xml:space="preserve">Primary Account</t>
        </is>
      </c>
      <c r="I487" s="15"/>
      <c r="J487" s="15" t="inlineStr">
        <is>
          <t xml:space="preserve">Yes</t>
        </is>
      </c>
      <c r="K487" s="15" t="inlineStr">
        <is>
          <t xml:space="preserve">Yes</t>
        </is>
      </c>
      <c r="L487" s="15" t="inlineStr">
        <is>
          <t xml:space="preserve">Probable</t>
        </is>
      </c>
      <c r="M487" s="15" t="inlineStr">
        <is>
          <t xml:space="preserve">Probable</t>
        </is>
      </c>
      <c r="N487" s="15" t="inlineStr">
        <is>
          <t xml:space="preserve">Matthew</t>
        </is>
      </c>
      <c r="O487" s="15"/>
      <c r="P487" s="15" t="inlineStr">
        <is>
          <t xml:space="preserve">9:end</t>
        </is>
      </c>
      <c r="Q487" s="15" t="inlineStr">
        <is>
          <t xml:space="preserve">SRC-07-01; SRC-07-03</t>
        </is>
      </c>
      <c r="R487" s="15"/>
      <c r="S487" s="15"/>
    </row>
    <row r="488" ht="34" customHeight="1">
      <c r="A488" s="15" t="inlineStr">
        <is>
          <t xml:space="preserve">v0.7</t>
        </is>
      </c>
      <c r="B488" s="15" t="inlineStr">
        <is>
          <t xml:space="preserve">Bible_Journey_Canon_Map_v0_7_Gospel_Chronology.xlsx</t>
        </is>
      </c>
      <c r="C488" s="15" t="inlineStr">
        <is>
          <t xml:space="preserve">BLK-07-080</t>
        </is>
      </c>
      <c r="D488" s="15" t="inlineStr">
        <is>
          <t xml:space="preserve">CRS-07-041</t>
        </is>
      </c>
      <c r="E488" s="15">
        <v>1</v>
      </c>
      <c r="F488" s="15" t="inlineStr">
        <is>
          <t xml:space="preserve">Mark</t>
        </is>
      </c>
      <c r="G488" s="15" t="inlineStr">
        <is>
          <t xml:space="preserve">Mark 6:7-13</t>
        </is>
      </c>
      <c r="H488" s="15" t="inlineStr">
        <is>
          <t xml:space="preserve">Primary Account</t>
        </is>
      </c>
      <c r="I488" s="15"/>
      <c r="J488" s="15" t="inlineStr">
        <is>
          <t xml:space="preserve">Yes</t>
        </is>
      </c>
      <c r="K488" s="15" t="inlineStr">
        <is>
          <t xml:space="preserve">Yes</t>
        </is>
      </c>
      <c r="L488" s="15" t="inlineStr">
        <is>
          <t xml:space="preserve">Probable</t>
        </is>
      </c>
      <c r="M488" s="15" t="inlineStr">
        <is>
          <t xml:space="preserve">Probable</t>
        </is>
      </c>
      <c r="N488" s="15" t="inlineStr">
        <is>
          <t xml:space="preserve">Mark</t>
        </is>
      </c>
      <c r="O488" s="15" t="inlineStr">
        <is>
          <t xml:space="preserve">CMP-07-023</t>
        </is>
      </c>
      <c r="P488" s="15" t="inlineStr">
        <is>
          <t xml:space="preserve">6:13</t>
        </is>
      </c>
      <c r="Q488" s="15" t="inlineStr">
        <is>
          <t xml:space="preserve">SRC-07-01; SRC-07-02</t>
        </is>
      </c>
      <c r="R488" s="15"/>
      <c r="S488" s="15"/>
    </row>
    <row r="489" ht="34" customHeight="1">
      <c r="A489" s="15" t="inlineStr">
        <is>
          <t xml:space="preserve">v0.7</t>
        </is>
      </c>
      <c r="B489" s="15" t="inlineStr">
        <is>
          <t xml:space="preserve">Bible_Journey_Canon_Map_v0_7_Gospel_Chronology.xlsx</t>
        </is>
      </c>
      <c r="C489" s="15" t="inlineStr">
        <is>
          <t xml:space="preserve">BLK-07-081</t>
        </is>
      </c>
      <c r="D489" s="15" t="inlineStr">
        <is>
          <t xml:space="preserve">CRS-07-041</t>
        </is>
      </c>
      <c r="E489" s="15">
        <v>2</v>
      </c>
      <c r="F489" s="15" t="inlineStr">
        <is>
          <t xml:space="preserve">Matthew</t>
        </is>
      </c>
      <c r="G489" s="15" t="inlineStr">
        <is>
          <t xml:space="preserve">Matthew 10:5-42</t>
        </is>
      </c>
      <c r="H489" s="15" t="inlineStr">
        <is>
          <t xml:space="preserve">Parallel Account</t>
        </is>
      </c>
      <c r="I489" s="15"/>
      <c r="J489" s="15" t="inlineStr">
        <is>
          <t xml:space="preserve">Yes</t>
        </is>
      </c>
      <c r="K489" s="15" t="inlineStr">
        <is>
          <t xml:space="preserve">No</t>
        </is>
      </c>
      <c r="L489" s="15" t="inlineStr">
        <is>
          <t xml:space="preserve">Probable</t>
        </is>
      </c>
      <c r="M489" s="15" t="inlineStr">
        <is>
          <t xml:space="preserve">Probable</t>
        </is>
      </c>
      <c r="N489" s="15" t="inlineStr">
        <is>
          <t xml:space="preserve">Matthew</t>
        </is>
      </c>
      <c r="O489" s="15" t="inlineStr">
        <is>
          <t xml:space="preserve">CMP-07-023</t>
        </is>
      </c>
      <c r="P489" s="15" t="inlineStr">
        <is>
          <t xml:space="preserve">10:end</t>
        </is>
      </c>
      <c r="Q489" s="15" t="inlineStr">
        <is>
          <t xml:space="preserve">SRC-07-01; SRC-07-02</t>
        </is>
      </c>
      <c r="R489" s="15"/>
      <c r="S489" s="15"/>
    </row>
    <row r="490" ht="34" customHeight="1">
      <c r="A490" s="15" t="inlineStr">
        <is>
          <t xml:space="preserve">v0.7</t>
        </is>
      </c>
      <c r="B490" s="15" t="inlineStr">
        <is>
          <t xml:space="preserve">Bible_Journey_Canon_Map_v0_7_Gospel_Chronology.xlsx</t>
        </is>
      </c>
      <c r="C490" s="15" t="inlineStr">
        <is>
          <t xml:space="preserve">BLK-07-082</t>
        </is>
      </c>
      <c r="D490" s="15" t="inlineStr">
        <is>
          <t xml:space="preserve">CRS-07-041</t>
        </is>
      </c>
      <c r="E490" s="15">
        <v>3</v>
      </c>
      <c r="F490" s="15" t="inlineStr">
        <is>
          <t xml:space="preserve">Luke</t>
        </is>
      </c>
      <c r="G490" s="15" t="inlineStr">
        <is>
          <t xml:space="preserve">Luke 9:1-6</t>
        </is>
      </c>
      <c r="H490" s="15" t="inlineStr">
        <is>
          <t xml:space="preserve">Parallel Account</t>
        </is>
      </c>
      <c r="I490" s="15"/>
      <c r="J490" s="15" t="inlineStr">
        <is>
          <t xml:space="preserve">Yes</t>
        </is>
      </c>
      <c r="K490" s="15" t="inlineStr">
        <is>
          <t xml:space="preserve">No</t>
        </is>
      </c>
      <c r="L490" s="15" t="inlineStr">
        <is>
          <t xml:space="preserve">Probable</t>
        </is>
      </c>
      <c r="M490" s="15" t="inlineStr">
        <is>
          <t xml:space="preserve">Probable</t>
        </is>
      </c>
      <c r="N490" s="15" t="inlineStr">
        <is>
          <t xml:space="preserve">Luke</t>
        </is>
      </c>
      <c r="O490" s="15" t="inlineStr">
        <is>
          <t xml:space="preserve">CMP-07-023</t>
        </is>
      </c>
      <c r="P490" s="15" t="inlineStr">
        <is>
          <t xml:space="preserve">9:6</t>
        </is>
      </c>
      <c r="Q490" s="15" t="inlineStr">
        <is>
          <t xml:space="preserve">SRC-07-01; SRC-07-02</t>
        </is>
      </c>
      <c r="R490" s="15"/>
      <c r="S490" s="15"/>
    </row>
    <row r="491" ht="34" customHeight="1">
      <c r="A491" s="15" t="inlineStr">
        <is>
          <t xml:space="preserve">v0.7</t>
        </is>
      </c>
      <c r="B491" s="15" t="inlineStr">
        <is>
          <t xml:space="preserve">Bible_Journey_Canon_Map_v0_7_Gospel_Chronology.xlsx</t>
        </is>
      </c>
      <c r="C491" s="15" t="inlineStr">
        <is>
          <t xml:space="preserve">BLK-07-083</t>
        </is>
      </c>
      <c r="D491" s="15" t="inlineStr">
        <is>
          <t xml:space="preserve">CRS-07-042</t>
        </is>
      </c>
      <c r="E491" s="15">
        <v>1</v>
      </c>
      <c r="F491" s="15" t="inlineStr">
        <is>
          <t xml:space="preserve">Mark</t>
        </is>
      </c>
      <c r="G491" s="15" t="inlineStr">
        <is>
          <t xml:space="preserve">Mark 6:14-29</t>
        </is>
      </c>
      <c r="H491" s="15" t="inlineStr">
        <is>
          <t xml:space="preserve">Primary Account</t>
        </is>
      </c>
      <c r="I491" s="15"/>
      <c r="J491" s="15" t="inlineStr">
        <is>
          <t xml:space="preserve">Yes</t>
        </is>
      </c>
      <c r="K491" s="15" t="inlineStr">
        <is>
          <t xml:space="preserve">Yes</t>
        </is>
      </c>
      <c r="L491" s="15" t="inlineStr">
        <is>
          <t xml:space="preserve">Probable</t>
        </is>
      </c>
      <c r="M491" s="15" t="inlineStr">
        <is>
          <t xml:space="preserve">Probable</t>
        </is>
      </c>
      <c r="N491" s="15" t="inlineStr">
        <is>
          <t xml:space="preserve">Mark</t>
        </is>
      </c>
      <c r="O491" s="15" t="inlineStr">
        <is>
          <t xml:space="preserve">CMP-07-024</t>
        </is>
      </c>
      <c r="P491" s="15" t="inlineStr">
        <is>
          <t xml:space="preserve">6:29</t>
        </is>
      </c>
      <c r="Q491" s="15" t="inlineStr">
        <is>
          <t xml:space="preserve">SRC-07-01; SRC-07-02</t>
        </is>
      </c>
      <c r="R491" s="15"/>
      <c r="S491" s="15"/>
    </row>
    <row r="492" ht="34" customHeight="1">
      <c r="A492" s="15" t="inlineStr">
        <is>
          <t xml:space="preserve">v0.7</t>
        </is>
      </c>
      <c r="B492" s="15" t="inlineStr">
        <is>
          <t xml:space="preserve">Bible_Journey_Canon_Map_v0_7_Gospel_Chronology.xlsx</t>
        </is>
      </c>
      <c r="C492" s="15" t="inlineStr">
        <is>
          <t xml:space="preserve">BLK-07-084</t>
        </is>
      </c>
      <c r="D492" s="15" t="inlineStr">
        <is>
          <t xml:space="preserve">CRS-07-042</t>
        </is>
      </c>
      <c r="E492" s="15">
        <v>2</v>
      </c>
      <c r="F492" s="15" t="inlineStr">
        <is>
          <t xml:space="preserve">Matthew</t>
        </is>
      </c>
      <c r="G492" s="15" t="inlineStr">
        <is>
          <t xml:space="preserve">Matthew 14:1-12</t>
        </is>
      </c>
      <c r="H492" s="15" t="inlineStr">
        <is>
          <t xml:space="preserve">Parallel Account</t>
        </is>
      </c>
      <c r="I492" s="15"/>
      <c r="J492" s="15" t="inlineStr">
        <is>
          <t xml:space="preserve">Yes</t>
        </is>
      </c>
      <c r="K492" s="15" t="inlineStr">
        <is>
          <t xml:space="preserve">No</t>
        </is>
      </c>
      <c r="L492" s="15" t="inlineStr">
        <is>
          <t xml:space="preserve">Probable</t>
        </is>
      </c>
      <c r="M492" s="15" t="inlineStr">
        <is>
          <t xml:space="preserve">Probable</t>
        </is>
      </c>
      <c r="N492" s="15" t="inlineStr">
        <is>
          <t xml:space="preserve">Matthew</t>
        </is>
      </c>
      <c r="O492" s="15" t="inlineStr">
        <is>
          <t xml:space="preserve">CMP-07-024</t>
        </is>
      </c>
      <c r="P492" s="15" t="inlineStr">
        <is>
          <t xml:space="preserve">14:12</t>
        </is>
      </c>
      <c r="Q492" s="15" t="inlineStr">
        <is>
          <t xml:space="preserve">SRC-07-01; SRC-07-02</t>
        </is>
      </c>
      <c r="R492" s="15"/>
      <c r="S492" s="15"/>
    </row>
    <row r="493" ht="34" customHeight="1">
      <c r="A493" s="15" t="inlineStr">
        <is>
          <t xml:space="preserve">v0.7</t>
        </is>
      </c>
      <c r="B493" s="15" t="inlineStr">
        <is>
          <t xml:space="preserve">Bible_Journey_Canon_Map_v0_7_Gospel_Chronology.xlsx</t>
        </is>
      </c>
      <c r="C493" s="15" t="inlineStr">
        <is>
          <t xml:space="preserve">BLK-07-085</t>
        </is>
      </c>
      <c r="D493" s="15" t="inlineStr">
        <is>
          <t xml:space="preserve">CRS-07-042</t>
        </is>
      </c>
      <c r="E493" s="15">
        <v>3</v>
      </c>
      <c r="F493" s="15" t="inlineStr">
        <is>
          <t xml:space="preserve">Luke</t>
        </is>
      </c>
      <c r="G493" s="15" t="inlineStr">
        <is>
          <t xml:space="preserve">Luke 9:7-9</t>
        </is>
      </c>
      <c r="H493" s="15" t="inlineStr">
        <is>
          <t xml:space="preserve">Related Account</t>
        </is>
      </c>
      <c r="I493" s="15"/>
      <c r="J493" s="15" t="inlineStr">
        <is>
          <t xml:space="preserve">Yes</t>
        </is>
      </c>
      <c r="K493" s="15" t="inlineStr">
        <is>
          <t xml:space="preserve">No</t>
        </is>
      </c>
      <c r="L493" s="15" t="inlineStr">
        <is>
          <t xml:space="preserve">Probable</t>
        </is>
      </c>
      <c r="M493" s="15" t="inlineStr">
        <is>
          <t xml:space="preserve">Probable</t>
        </is>
      </c>
      <c r="N493" s="15" t="inlineStr">
        <is>
          <t xml:space="preserve">Luke</t>
        </is>
      </c>
      <c r="O493" s="15" t="inlineStr">
        <is>
          <t xml:space="preserve">CMP-07-024</t>
        </is>
      </c>
      <c r="P493" s="15" t="inlineStr">
        <is>
          <t xml:space="preserve">9:9</t>
        </is>
      </c>
      <c r="Q493" s="15" t="inlineStr">
        <is>
          <t xml:space="preserve">SRC-07-01; SRC-07-02</t>
        </is>
      </c>
      <c r="R493" s="15"/>
      <c r="S493" s="15"/>
    </row>
    <row r="494" ht="34" customHeight="1">
      <c r="A494" s="15" t="inlineStr">
        <is>
          <t xml:space="preserve">v0.7</t>
        </is>
      </c>
      <c r="B494" s="15" t="inlineStr">
        <is>
          <t xml:space="preserve">Bible_Journey_Canon_Map_v0_7_Gospel_Chronology.xlsx</t>
        </is>
      </c>
      <c r="C494" s="15" t="inlineStr">
        <is>
          <t xml:space="preserve">BLK-07-086</t>
        </is>
      </c>
      <c r="D494" s="15" t="inlineStr">
        <is>
          <t xml:space="preserve">CRS-07-043</t>
        </is>
      </c>
      <c r="E494" s="15">
        <v>1</v>
      </c>
      <c r="F494" s="15" t="inlineStr">
        <is>
          <t xml:space="preserve">Mark</t>
        </is>
      </c>
      <c r="G494" s="15" t="inlineStr">
        <is>
          <t xml:space="preserve">Mark 6:1-6</t>
        </is>
      </c>
      <c r="H494" s="15" t="inlineStr">
        <is>
          <t xml:space="preserve">Primary Account</t>
        </is>
      </c>
      <c r="I494" s="15"/>
      <c r="J494" s="15" t="inlineStr">
        <is>
          <t xml:space="preserve">Yes</t>
        </is>
      </c>
      <c r="K494" s="15" t="inlineStr">
        <is>
          <t xml:space="preserve">Yes</t>
        </is>
      </c>
      <c r="L494" s="15" t="inlineStr">
        <is>
          <t xml:space="preserve">Probable</t>
        </is>
      </c>
      <c r="M494" s="15" t="inlineStr">
        <is>
          <t xml:space="preserve">Probable</t>
        </is>
      </c>
      <c r="N494" s="15" t="inlineStr">
        <is>
          <t xml:space="preserve">Mark</t>
        </is>
      </c>
      <c r="O494" s="15" t="inlineStr">
        <is>
          <t xml:space="preserve">CMP-07-025</t>
        </is>
      </c>
      <c r="P494" s="15" t="inlineStr">
        <is>
          <t xml:space="preserve">6:6</t>
        </is>
      </c>
      <c r="Q494" s="15" t="inlineStr">
        <is>
          <t xml:space="preserve">SRC-07-01; SRC-07-02</t>
        </is>
      </c>
      <c r="R494" s="15"/>
      <c r="S494" s="15"/>
    </row>
    <row r="495" ht="34" customHeight="1">
      <c r="A495" s="15" t="inlineStr">
        <is>
          <t xml:space="preserve">v0.7</t>
        </is>
      </c>
      <c r="B495" s="15" t="inlineStr">
        <is>
          <t xml:space="preserve">Bible_Journey_Canon_Map_v0_7_Gospel_Chronology.xlsx</t>
        </is>
      </c>
      <c r="C495" s="15" t="inlineStr">
        <is>
          <t xml:space="preserve">BLK-07-087</t>
        </is>
      </c>
      <c r="D495" s="15" t="inlineStr">
        <is>
          <t xml:space="preserve">CRS-07-043</t>
        </is>
      </c>
      <c r="E495" s="15">
        <v>2</v>
      </c>
      <c r="F495" s="15" t="inlineStr">
        <is>
          <t xml:space="preserve">Matthew</t>
        </is>
      </c>
      <c r="G495" s="15" t="inlineStr">
        <is>
          <t xml:space="preserve">Matthew 13:53-58</t>
        </is>
      </c>
      <c r="H495" s="15" t="inlineStr">
        <is>
          <t xml:space="preserve">Parallel Account</t>
        </is>
      </c>
      <c r="I495" s="15"/>
      <c r="J495" s="15" t="inlineStr">
        <is>
          <t xml:space="preserve">Yes</t>
        </is>
      </c>
      <c r="K495" s="15" t="inlineStr">
        <is>
          <t xml:space="preserve">No</t>
        </is>
      </c>
      <c r="L495" s="15" t="inlineStr">
        <is>
          <t xml:space="preserve">Probable</t>
        </is>
      </c>
      <c r="M495" s="15" t="inlineStr">
        <is>
          <t xml:space="preserve">Probable</t>
        </is>
      </c>
      <c r="N495" s="15" t="inlineStr">
        <is>
          <t xml:space="preserve">Matthew</t>
        </is>
      </c>
      <c r="O495" s="15" t="inlineStr">
        <is>
          <t xml:space="preserve">CMP-07-025</t>
        </is>
      </c>
      <c r="P495" s="15" t="inlineStr">
        <is>
          <t xml:space="preserve">13:end</t>
        </is>
      </c>
      <c r="Q495" s="15" t="inlineStr">
        <is>
          <t xml:space="preserve">SRC-07-01; SRC-07-02</t>
        </is>
      </c>
      <c r="R495" s="15"/>
      <c r="S495" s="15"/>
    </row>
    <row r="496" ht="34" customHeight="1">
      <c r="A496" s="15" t="inlineStr">
        <is>
          <t xml:space="preserve">v0.7</t>
        </is>
      </c>
      <c r="B496" s="15" t="inlineStr">
        <is>
          <t xml:space="preserve">Bible_Journey_Canon_Map_v0_7_Gospel_Chronology.xlsx</t>
        </is>
      </c>
      <c r="C496" s="15" t="inlineStr">
        <is>
          <t xml:space="preserve">BLK-07-088</t>
        </is>
      </c>
      <c r="D496" s="15" t="inlineStr">
        <is>
          <t xml:space="preserve">CRS-07-044</t>
        </is>
      </c>
      <c r="E496" s="15">
        <v>1</v>
      </c>
      <c r="F496" s="15" t="inlineStr">
        <is>
          <t xml:space="preserve">Mark</t>
        </is>
      </c>
      <c r="G496" s="15" t="inlineStr">
        <is>
          <t xml:space="preserve">Mark 6:30-44</t>
        </is>
      </c>
      <c r="H496" s="15" t="inlineStr">
        <is>
          <t xml:space="preserve">Primary Account</t>
        </is>
      </c>
      <c r="I496" s="15"/>
      <c r="J496" s="15" t="inlineStr">
        <is>
          <t xml:space="preserve">Yes</t>
        </is>
      </c>
      <c r="K496" s="15" t="inlineStr">
        <is>
          <t xml:space="preserve">Yes</t>
        </is>
      </c>
      <c r="L496" s="15" t="inlineStr">
        <is>
          <t xml:space="preserve">Probable</t>
        </is>
      </c>
      <c r="M496" s="15" t="inlineStr">
        <is>
          <t xml:space="preserve">Probable</t>
        </is>
      </c>
      <c r="N496" s="15" t="inlineStr">
        <is>
          <t xml:space="preserve">Mark</t>
        </is>
      </c>
      <c r="O496" s="15" t="inlineStr">
        <is>
          <t xml:space="preserve">CMP-07-026</t>
        </is>
      </c>
      <c r="P496" s="15" t="inlineStr">
        <is>
          <t xml:space="preserve">6:44</t>
        </is>
      </c>
      <c r="Q496" s="15" t="inlineStr">
        <is>
          <t xml:space="preserve">SRC-07-02; SRC-07-03</t>
        </is>
      </c>
      <c r="R496" s="15"/>
      <c r="S496" s="15"/>
    </row>
    <row r="497" ht="34" customHeight="1">
      <c r="A497" s="15" t="inlineStr">
        <is>
          <t xml:space="preserve">v0.7</t>
        </is>
      </c>
      <c r="B497" s="15" t="inlineStr">
        <is>
          <t xml:space="preserve">Bible_Journey_Canon_Map_v0_7_Gospel_Chronology.xlsx</t>
        </is>
      </c>
      <c r="C497" s="15" t="inlineStr">
        <is>
          <t xml:space="preserve">BLK-07-089</t>
        </is>
      </c>
      <c r="D497" s="15" t="inlineStr">
        <is>
          <t xml:space="preserve">CRS-07-044</t>
        </is>
      </c>
      <c r="E497" s="15">
        <v>2</v>
      </c>
      <c r="F497" s="15" t="inlineStr">
        <is>
          <t xml:space="preserve">Matthew</t>
        </is>
      </c>
      <c r="G497" s="15" t="inlineStr">
        <is>
          <t xml:space="preserve">Matthew 14:13-21</t>
        </is>
      </c>
      <c r="H497" s="15" t="inlineStr">
        <is>
          <t xml:space="preserve">Parallel Account</t>
        </is>
      </c>
      <c r="I497" s="15"/>
      <c r="J497" s="15" t="inlineStr">
        <is>
          <t xml:space="preserve">Yes</t>
        </is>
      </c>
      <c r="K497" s="15" t="inlineStr">
        <is>
          <t xml:space="preserve">No</t>
        </is>
      </c>
      <c r="L497" s="15" t="inlineStr">
        <is>
          <t xml:space="preserve">Probable</t>
        </is>
      </c>
      <c r="M497" s="15" t="inlineStr">
        <is>
          <t xml:space="preserve">Probable</t>
        </is>
      </c>
      <c r="N497" s="15" t="inlineStr">
        <is>
          <t xml:space="preserve">Matthew</t>
        </is>
      </c>
      <c r="O497" s="15" t="inlineStr">
        <is>
          <t xml:space="preserve">CMP-07-026</t>
        </is>
      </c>
      <c r="P497" s="15" t="inlineStr">
        <is>
          <t xml:space="preserve">14:21</t>
        </is>
      </c>
      <c r="Q497" s="15" t="inlineStr">
        <is>
          <t xml:space="preserve">SRC-07-02; SRC-07-03</t>
        </is>
      </c>
      <c r="R497" s="15"/>
      <c r="S497" s="15"/>
    </row>
    <row r="498" ht="34" customHeight="1">
      <c r="A498" s="15" t="inlineStr">
        <is>
          <t xml:space="preserve">v0.7</t>
        </is>
      </c>
      <c r="B498" s="15" t="inlineStr">
        <is>
          <t xml:space="preserve">Bible_Journey_Canon_Map_v0_7_Gospel_Chronology.xlsx</t>
        </is>
      </c>
      <c r="C498" s="15" t="inlineStr">
        <is>
          <t xml:space="preserve">BLK-07-090</t>
        </is>
      </c>
      <c r="D498" s="15" t="inlineStr">
        <is>
          <t xml:space="preserve">CRS-07-044</t>
        </is>
      </c>
      <c r="E498" s="15">
        <v>3</v>
      </c>
      <c r="F498" s="15" t="inlineStr">
        <is>
          <t xml:space="preserve">Luke</t>
        </is>
      </c>
      <c r="G498" s="15" t="inlineStr">
        <is>
          <t xml:space="preserve">Luke 9:10-17</t>
        </is>
      </c>
      <c r="H498" s="15" t="inlineStr">
        <is>
          <t xml:space="preserve">Parallel Account</t>
        </is>
      </c>
      <c r="I498" s="15"/>
      <c r="J498" s="15" t="inlineStr">
        <is>
          <t xml:space="preserve">Yes</t>
        </is>
      </c>
      <c r="K498" s="15" t="inlineStr">
        <is>
          <t xml:space="preserve">No</t>
        </is>
      </c>
      <c r="L498" s="15" t="inlineStr">
        <is>
          <t xml:space="preserve">Probable</t>
        </is>
      </c>
      <c r="M498" s="15" t="inlineStr">
        <is>
          <t xml:space="preserve">Probable</t>
        </is>
      </c>
      <c r="N498" s="15" t="inlineStr">
        <is>
          <t xml:space="preserve">Luke</t>
        </is>
      </c>
      <c r="O498" s="15" t="inlineStr">
        <is>
          <t xml:space="preserve">CMP-07-026</t>
        </is>
      </c>
      <c r="P498" s="15" t="inlineStr">
        <is>
          <t xml:space="preserve">9:17</t>
        </is>
      </c>
      <c r="Q498" s="15" t="inlineStr">
        <is>
          <t xml:space="preserve">SRC-07-02; SRC-07-03</t>
        </is>
      </c>
      <c r="R498" s="15"/>
      <c r="S498" s="15"/>
    </row>
    <row r="499" ht="34" customHeight="1">
      <c r="A499" s="15" t="inlineStr">
        <is>
          <t xml:space="preserve">v0.7</t>
        </is>
      </c>
      <c r="B499" s="15" t="inlineStr">
        <is>
          <t xml:space="preserve">Bible_Journey_Canon_Map_v0_7_Gospel_Chronology.xlsx</t>
        </is>
      </c>
      <c r="C499" s="15" t="inlineStr">
        <is>
          <t xml:space="preserve">BLK-07-091</t>
        </is>
      </c>
      <c r="D499" s="15" t="inlineStr">
        <is>
          <t xml:space="preserve">CRS-07-044</t>
        </is>
      </c>
      <c r="E499" s="15">
        <v>4</v>
      </c>
      <c r="F499" s="15" t="inlineStr">
        <is>
          <t xml:space="preserve">John</t>
        </is>
      </c>
      <c r="G499" s="15" t="inlineStr">
        <is>
          <t xml:space="preserve">John 6:1-15</t>
        </is>
      </c>
      <c r="H499" s="15" t="inlineStr">
        <is>
          <t xml:space="preserve">Parallel Account</t>
        </is>
      </c>
      <c r="I499" s="15"/>
      <c r="J499" s="15" t="inlineStr">
        <is>
          <t xml:space="preserve">Yes</t>
        </is>
      </c>
      <c r="K499" s="15" t="inlineStr">
        <is>
          <t xml:space="preserve">No</t>
        </is>
      </c>
      <c r="L499" s="15" t="inlineStr">
        <is>
          <t xml:space="preserve">Probable</t>
        </is>
      </c>
      <c r="M499" s="15" t="inlineStr">
        <is>
          <t xml:space="preserve">Probable</t>
        </is>
      </c>
      <c r="N499" s="15" t="inlineStr">
        <is>
          <t xml:space="preserve">John</t>
        </is>
      </c>
      <c r="O499" s="15" t="inlineStr">
        <is>
          <t xml:space="preserve">CMP-07-026</t>
        </is>
      </c>
      <c r="P499" s="15" t="inlineStr">
        <is>
          <t xml:space="preserve">6:15</t>
        </is>
      </c>
      <c r="Q499" s="15" t="inlineStr">
        <is>
          <t xml:space="preserve">SRC-07-02; SRC-07-03</t>
        </is>
      </c>
      <c r="R499" s="15"/>
      <c r="S499" s="15"/>
    </row>
    <row r="500" ht="34" customHeight="1">
      <c r="A500" s="15" t="inlineStr">
        <is>
          <t xml:space="preserve">v0.7</t>
        </is>
      </c>
      <c r="B500" s="15" t="inlineStr">
        <is>
          <t xml:space="preserve">Bible_Journey_Canon_Map_v0_7_Gospel_Chronology.xlsx</t>
        </is>
      </c>
      <c r="C500" s="15" t="inlineStr">
        <is>
          <t xml:space="preserve">BLK-07-092</t>
        </is>
      </c>
      <c r="D500" s="15" t="inlineStr">
        <is>
          <t xml:space="preserve">CRS-07-045</t>
        </is>
      </c>
      <c r="E500" s="15">
        <v>1</v>
      </c>
      <c r="F500" s="15" t="inlineStr">
        <is>
          <t xml:space="preserve">Mark</t>
        </is>
      </c>
      <c r="G500" s="15" t="inlineStr">
        <is>
          <t xml:space="preserve">Mark 6:45-52</t>
        </is>
      </c>
      <c r="H500" s="15" t="inlineStr">
        <is>
          <t xml:space="preserve">Primary Account</t>
        </is>
      </c>
      <c r="I500" s="15"/>
      <c r="J500" s="15" t="inlineStr">
        <is>
          <t xml:space="preserve">Yes</t>
        </is>
      </c>
      <c r="K500" s="15" t="inlineStr">
        <is>
          <t xml:space="preserve">Yes</t>
        </is>
      </c>
      <c r="L500" s="15" t="inlineStr">
        <is>
          <t xml:space="preserve">Probable</t>
        </is>
      </c>
      <c r="M500" s="15" t="inlineStr">
        <is>
          <t xml:space="preserve">Probable</t>
        </is>
      </c>
      <c r="N500" s="15" t="inlineStr">
        <is>
          <t xml:space="preserve">Mark</t>
        </is>
      </c>
      <c r="O500" s="15" t="inlineStr">
        <is>
          <t xml:space="preserve">CMP-07-027</t>
        </is>
      </c>
      <c r="P500" s="15" t="inlineStr">
        <is>
          <t xml:space="preserve">6:52</t>
        </is>
      </c>
      <c r="Q500" s="15" t="inlineStr">
        <is>
          <t xml:space="preserve">SRC-07-01; SRC-07-02</t>
        </is>
      </c>
      <c r="R500" s="15"/>
      <c r="S500" s="15"/>
    </row>
    <row r="501" ht="34" customHeight="1">
      <c r="A501" s="15" t="inlineStr">
        <is>
          <t xml:space="preserve">v0.7</t>
        </is>
      </c>
      <c r="B501" s="15" t="inlineStr">
        <is>
          <t xml:space="preserve">Bible_Journey_Canon_Map_v0_7_Gospel_Chronology.xlsx</t>
        </is>
      </c>
      <c r="C501" s="15" t="inlineStr">
        <is>
          <t xml:space="preserve">BLK-07-093</t>
        </is>
      </c>
      <c r="D501" s="15" t="inlineStr">
        <is>
          <t xml:space="preserve">CRS-07-045</t>
        </is>
      </c>
      <c r="E501" s="15">
        <v>2</v>
      </c>
      <c r="F501" s="15" t="inlineStr">
        <is>
          <t xml:space="preserve">Matthew</t>
        </is>
      </c>
      <c r="G501" s="15" t="inlineStr">
        <is>
          <t xml:space="preserve">Matthew 14:22-33</t>
        </is>
      </c>
      <c r="H501" s="15" t="inlineStr">
        <is>
          <t xml:space="preserve">Parallel Account</t>
        </is>
      </c>
      <c r="I501" s="15"/>
      <c r="J501" s="15" t="inlineStr">
        <is>
          <t xml:space="preserve">Yes</t>
        </is>
      </c>
      <c r="K501" s="15" t="inlineStr">
        <is>
          <t xml:space="preserve">No</t>
        </is>
      </c>
      <c r="L501" s="15" t="inlineStr">
        <is>
          <t xml:space="preserve">Probable</t>
        </is>
      </c>
      <c r="M501" s="15" t="inlineStr">
        <is>
          <t xml:space="preserve">Probable</t>
        </is>
      </c>
      <c r="N501" s="15" t="inlineStr">
        <is>
          <t xml:space="preserve">Matthew</t>
        </is>
      </c>
      <c r="O501" s="15" t="inlineStr">
        <is>
          <t xml:space="preserve">CMP-07-027</t>
        </is>
      </c>
      <c r="P501" s="15" t="inlineStr">
        <is>
          <t xml:space="preserve">14:33</t>
        </is>
      </c>
      <c r="Q501" s="15" t="inlineStr">
        <is>
          <t xml:space="preserve">SRC-07-01; SRC-07-02</t>
        </is>
      </c>
      <c r="R501" s="15"/>
      <c r="S501" s="15"/>
    </row>
    <row r="502" ht="34" customHeight="1">
      <c r="A502" s="15" t="inlineStr">
        <is>
          <t xml:space="preserve">v0.7</t>
        </is>
      </c>
      <c r="B502" s="15" t="inlineStr">
        <is>
          <t xml:space="preserve">Bible_Journey_Canon_Map_v0_7_Gospel_Chronology.xlsx</t>
        </is>
      </c>
      <c r="C502" s="15" t="inlineStr">
        <is>
          <t xml:space="preserve">BLK-07-094</t>
        </is>
      </c>
      <c r="D502" s="15" t="inlineStr">
        <is>
          <t xml:space="preserve">CRS-07-045</t>
        </is>
      </c>
      <c r="E502" s="15">
        <v>3</v>
      </c>
      <c r="F502" s="15" t="inlineStr">
        <is>
          <t xml:space="preserve">John</t>
        </is>
      </c>
      <c r="G502" s="15" t="inlineStr">
        <is>
          <t xml:space="preserve">John 6:16-21</t>
        </is>
      </c>
      <c r="H502" s="15" t="inlineStr">
        <is>
          <t xml:space="preserve">Parallel Account</t>
        </is>
      </c>
      <c r="I502" s="15"/>
      <c r="J502" s="15" t="inlineStr">
        <is>
          <t xml:space="preserve">Yes</t>
        </is>
      </c>
      <c r="K502" s="15" t="inlineStr">
        <is>
          <t xml:space="preserve">No</t>
        </is>
      </c>
      <c r="L502" s="15" t="inlineStr">
        <is>
          <t xml:space="preserve">Probable</t>
        </is>
      </c>
      <c r="M502" s="15" t="inlineStr">
        <is>
          <t xml:space="preserve">Probable</t>
        </is>
      </c>
      <c r="N502" s="15" t="inlineStr">
        <is>
          <t xml:space="preserve">John</t>
        </is>
      </c>
      <c r="O502" s="15" t="inlineStr">
        <is>
          <t xml:space="preserve">CMP-07-027</t>
        </is>
      </c>
      <c r="P502" s="15" t="inlineStr">
        <is>
          <t xml:space="preserve">6:21</t>
        </is>
      </c>
      <c r="Q502" s="15" t="inlineStr">
        <is>
          <t xml:space="preserve">SRC-07-01; SRC-07-02</t>
        </is>
      </c>
      <c r="R502" s="15"/>
      <c r="S502" s="15"/>
    </row>
    <row r="503" ht="34" customHeight="1">
      <c r="A503" s="15" t="inlineStr">
        <is>
          <t xml:space="preserve">v0.7</t>
        </is>
      </c>
      <c r="B503" s="15" t="inlineStr">
        <is>
          <t xml:space="preserve">Bible_Journey_Canon_Map_v0_7_Gospel_Chronology.xlsx</t>
        </is>
      </c>
      <c r="C503" s="15" t="inlineStr">
        <is>
          <t xml:space="preserve">BLK-07-095</t>
        </is>
      </c>
      <c r="D503" s="15" t="inlineStr">
        <is>
          <t xml:space="preserve">CRS-07-046</t>
        </is>
      </c>
      <c r="E503" s="15">
        <v>1</v>
      </c>
      <c r="F503" s="15" t="inlineStr">
        <is>
          <t xml:space="preserve">John</t>
        </is>
      </c>
      <c r="G503" s="15" t="inlineStr">
        <is>
          <t xml:space="preserve">John 6:22-71</t>
        </is>
      </c>
      <c r="H503" s="15" t="inlineStr">
        <is>
          <t xml:space="preserve">Primary Account</t>
        </is>
      </c>
      <c r="I503" s="15"/>
      <c r="J503" s="15" t="inlineStr">
        <is>
          <t xml:space="preserve">Yes</t>
        </is>
      </c>
      <c r="K503" s="15" t="inlineStr">
        <is>
          <t xml:space="preserve">Yes</t>
        </is>
      </c>
      <c r="L503" s="15" t="inlineStr">
        <is>
          <t xml:space="preserve">Probable</t>
        </is>
      </c>
      <c r="M503" s="15" t="inlineStr">
        <is>
          <t xml:space="preserve">Probable</t>
        </is>
      </c>
      <c r="N503" s="15" t="inlineStr">
        <is>
          <t xml:space="preserve">John</t>
        </is>
      </c>
      <c r="O503" s="15"/>
      <c r="P503" s="15" t="inlineStr">
        <is>
          <t xml:space="preserve">6:end</t>
        </is>
      </c>
      <c r="Q503" s="15" t="inlineStr">
        <is>
          <t xml:space="preserve">SRC-07-10; SRC-07-12</t>
        </is>
      </c>
      <c r="R503" s="15"/>
      <c r="S503" s="15"/>
    </row>
    <row r="504" ht="34" customHeight="1">
      <c r="A504" s="15" t="inlineStr">
        <is>
          <t xml:space="preserve">v0.7</t>
        </is>
      </c>
      <c r="B504" s="15" t="inlineStr">
        <is>
          <t xml:space="preserve">Bible_Journey_Canon_Map_v0_7_Gospel_Chronology.xlsx</t>
        </is>
      </c>
      <c r="C504" s="15" t="inlineStr">
        <is>
          <t xml:space="preserve">BLK-07-096</t>
        </is>
      </c>
      <c r="D504" s="15" t="inlineStr">
        <is>
          <t xml:space="preserve">CRS-07-047</t>
        </is>
      </c>
      <c r="E504" s="15">
        <v>1</v>
      </c>
      <c r="F504" s="15" t="inlineStr">
        <is>
          <t xml:space="preserve">Mark</t>
        </is>
      </c>
      <c r="G504" s="15" t="inlineStr">
        <is>
          <t xml:space="preserve">Mark 6:53-7:23</t>
        </is>
      </c>
      <c r="H504" s="15" t="inlineStr">
        <is>
          <t xml:space="preserve">Primary Account</t>
        </is>
      </c>
      <c r="I504" s="15"/>
      <c r="J504" s="15" t="inlineStr">
        <is>
          <t xml:space="preserve">Yes</t>
        </is>
      </c>
      <c r="K504" s="15" t="inlineStr">
        <is>
          <t xml:space="preserve">Yes</t>
        </is>
      </c>
      <c r="L504" s="15" t="inlineStr">
        <is>
          <t xml:space="preserve">Probable</t>
        </is>
      </c>
      <c r="M504" s="15" t="inlineStr">
        <is>
          <t xml:space="preserve">Probable</t>
        </is>
      </c>
      <c r="N504" s="15" t="inlineStr">
        <is>
          <t xml:space="preserve">Mark</t>
        </is>
      </c>
      <c r="O504" s="15" t="inlineStr">
        <is>
          <t xml:space="preserve">CMP-07-028</t>
        </is>
      </c>
      <c r="P504" s="15" t="inlineStr">
        <is>
          <t xml:space="preserve">7:23</t>
        </is>
      </c>
      <c r="Q504" s="15" t="inlineStr">
        <is>
          <t xml:space="preserve">SRC-07-01; SRC-07-02</t>
        </is>
      </c>
      <c r="R504" s="15"/>
      <c r="S504" s="15"/>
    </row>
    <row r="505" ht="34" customHeight="1">
      <c r="A505" s="15" t="inlineStr">
        <is>
          <t xml:space="preserve">v0.7</t>
        </is>
      </c>
      <c r="B505" s="15" t="inlineStr">
        <is>
          <t xml:space="preserve">Bible_Journey_Canon_Map_v0_7_Gospel_Chronology.xlsx</t>
        </is>
      </c>
      <c r="C505" s="15" t="inlineStr">
        <is>
          <t xml:space="preserve">BLK-07-097</t>
        </is>
      </c>
      <c r="D505" s="15" t="inlineStr">
        <is>
          <t xml:space="preserve">CRS-07-047</t>
        </is>
      </c>
      <c r="E505" s="15">
        <v>2</v>
      </c>
      <c r="F505" s="15" t="inlineStr">
        <is>
          <t xml:space="preserve">Matthew</t>
        </is>
      </c>
      <c r="G505" s="15" t="inlineStr">
        <is>
          <t xml:space="preserve">Matthew 14:34-15:20</t>
        </is>
      </c>
      <c r="H505" s="15" t="inlineStr">
        <is>
          <t xml:space="preserve">Parallel Account</t>
        </is>
      </c>
      <c r="I505" s="15"/>
      <c r="J505" s="15" t="inlineStr">
        <is>
          <t xml:space="preserve">Yes</t>
        </is>
      </c>
      <c r="K505" s="15" t="inlineStr">
        <is>
          <t xml:space="preserve">No</t>
        </is>
      </c>
      <c r="L505" s="15" t="inlineStr">
        <is>
          <t xml:space="preserve">Probable</t>
        </is>
      </c>
      <c r="M505" s="15" t="inlineStr">
        <is>
          <t xml:space="preserve">Probable</t>
        </is>
      </c>
      <c r="N505" s="15" t="inlineStr">
        <is>
          <t xml:space="preserve">Matthew</t>
        </is>
      </c>
      <c r="O505" s="15" t="inlineStr">
        <is>
          <t xml:space="preserve">CMP-07-028</t>
        </is>
      </c>
      <c r="P505" s="15" t="inlineStr">
        <is>
          <t xml:space="preserve">15:20</t>
        </is>
      </c>
      <c r="Q505" s="15" t="inlineStr">
        <is>
          <t xml:space="preserve">SRC-07-01; SRC-07-02</t>
        </is>
      </c>
      <c r="R505" s="15"/>
      <c r="S505" s="15"/>
    </row>
    <row r="506" ht="34" customHeight="1">
      <c r="A506" s="15" t="inlineStr">
        <is>
          <t xml:space="preserve">v0.7</t>
        </is>
      </c>
      <c r="B506" s="15" t="inlineStr">
        <is>
          <t xml:space="preserve">Bible_Journey_Canon_Map_v0_7_Gospel_Chronology.xlsx</t>
        </is>
      </c>
      <c r="C506" s="15" t="inlineStr">
        <is>
          <t xml:space="preserve">BLK-07-098</t>
        </is>
      </c>
      <c r="D506" s="15" t="inlineStr">
        <is>
          <t xml:space="preserve">CRS-07-048</t>
        </is>
      </c>
      <c r="E506" s="15">
        <v>1</v>
      </c>
      <c r="F506" s="15" t="inlineStr">
        <is>
          <t xml:space="preserve">Mark</t>
        </is>
      </c>
      <c r="G506" s="15" t="inlineStr">
        <is>
          <t xml:space="preserve">Mark 7:24-37</t>
        </is>
      </c>
      <c r="H506" s="15" t="inlineStr">
        <is>
          <t xml:space="preserve">Primary Account</t>
        </is>
      </c>
      <c r="I506" s="15"/>
      <c r="J506" s="15" t="inlineStr">
        <is>
          <t xml:space="preserve">Yes</t>
        </is>
      </c>
      <c r="K506" s="15" t="inlineStr">
        <is>
          <t xml:space="preserve">Yes</t>
        </is>
      </c>
      <c r="L506" s="15" t="inlineStr">
        <is>
          <t xml:space="preserve">Probable</t>
        </is>
      </c>
      <c r="M506" s="15" t="inlineStr">
        <is>
          <t xml:space="preserve">Probable</t>
        </is>
      </c>
      <c r="N506" s="15" t="inlineStr">
        <is>
          <t xml:space="preserve">Mark</t>
        </is>
      </c>
      <c r="O506" s="15" t="inlineStr">
        <is>
          <t xml:space="preserve">CMP-07-029</t>
        </is>
      </c>
      <c r="P506" s="15" t="inlineStr">
        <is>
          <t xml:space="preserve">7:end</t>
        </is>
      </c>
      <c r="Q506" s="15" t="inlineStr">
        <is>
          <t xml:space="preserve">SRC-07-01; SRC-07-02</t>
        </is>
      </c>
      <c r="R506" s="15"/>
      <c r="S506" s="15"/>
    </row>
    <row r="507" ht="34" customHeight="1">
      <c r="A507" s="15" t="inlineStr">
        <is>
          <t xml:space="preserve">v0.7</t>
        </is>
      </c>
      <c r="B507" s="15" t="inlineStr">
        <is>
          <t xml:space="preserve">Bible_Journey_Canon_Map_v0_7_Gospel_Chronology.xlsx</t>
        </is>
      </c>
      <c r="C507" s="15" t="inlineStr">
        <is>
          <t xml:space="preserve">BLK-07-099</t>
        </is>
      </c>
      <c r="D507" s="15" t="inlineStr">
        <is>
          <t xml:space="preserve">CRS-07-048</t>
        </is>
      </c>
      <c r="E507" s="15">
        <v>2</v>
      </c>
      <c r="F507" s="15" t="inlineStr">
        <is>
          <t xml:space="preserve">Matthew</t>
        </is>
      </c>
      <c r="G507" s="15" t="inlineStr">
        <is>
          <t xml:space="preserve">Matthew 15:21-31</t>
        </is>
      </c>
      <c r="H507" s="15" t="inlineStr">
        <is>
          <t xml:space="preserve">Parallel Account</t>
        </is>
      </c>
      <c r="I507" s="15"/>
      <c r="J507" s="15" t="inlineStr">
        <is>
          <t xml:space="preserve">Yes</t>
        </is>
      </c>
      <c r="K507" s="15" t="inlineStr">
        <is>
          <t xml:space="preserve">No</t>
        </is>
      </c>
      <c r="L507" s="15" t="inlineStr">
        <is>
          <t xml:space="preserve">Probable</t>
        </is>
      </c>
      <c r="M507" s="15" t="inlineStr">
        <is>
          <t xml:space="preserve">Probable</t>
        </is>
      </c>
      <c r="N507" s="15" t="inlineStr">
        <is>
          <t xml:space="preserve">Matthew</t>
        </is>
      </c>
      <c r="O507" s="15" t="inlineStr">
        <is>
          <t xml:space="preserve">CMP-07-029</t>
        </is>
      </c>
      <c r="P507" s="15" t="inlineStr">
        <is>
          <t xml:space="preserve">15:31</t>
        </is>
      </c>
      <c r="Q507" s="15" t="inlineStr">
        <is>
          <t xml:space="preserve">SRC-07-01; SRC-07-02</t>
        </is>
      </c>
      <c r="R507" s="15"/>
      <c r="S507" s="15"/>
    </row>
    <row r="508" ht="34" customHeight="1">
      <c r="A508" s="15" t="inlineStr">
        <is>
          <t xml:space="preserve">v0.7</t>
        </is>
      </c>
      <c r="B508" s="15" t="inlineStr">
        <is>
          <t xml:space="preserve">Bible_Journey_Canon_Map_v0_7_Gospel_Chronology.xlsx</t>
        </is>
      </c>
      <c r="C508" s="15" t="inlineStr">
        <is>
          <t xml:space="preserve">BLK-07-100</t>
        </is>
      </c>
      <c r="D508" s="15" t="inlineStr">
        <is>
          <t xml:space="preserve">CRS-07-049</t>
        </is>
      </c>
      <c r="E508" s="15">
        <v>1</v>
      </c>
      <c r="F508" s="15" t="inlineStr">
        <is>
          <t xml:space="preserve">Mark</t>
        </is>
      </c>
      <c r="G508" s="15" t="inlineStr">
        <is>
          <t xml:space="preserve">Mark 8:1-10</t>
        </is>
      </c>
      <c r="H508" s="15" t="inlineStr">
        <is>
          <t xml:space="preserve">Primary Account</t>
        </is>
      </c>
      <c r="I508" s="15"/>
      <c r="J508" s="15" t="inlineStr">
        <is>
          <t xml:space="preserve">Yes</t>
        </is>
      </c>
      <c r="K508" s="15" t="inlineStr">
        <is>
          <t xml:space="preserve">Yes</t>
        </is>
      </c>
      <c r="L508" s="15" t="inlineStr">
        <is>
          <t xml:space="preserve">Probable</t>
        </is>
      </c>
      <c r="M508" s="15" t="inlineStr">
        <is>
          <t xml:space="preserve">Probable</t>
        </is>
      </c>
      <c r="N508" s="15" t="inlineStr">
        <is>
          <t xml:space="preserve">Mark</t>
        </is>
      </c>
      <c r="O508" s="15" t="inlineStr">
        <is>
          <t xml:space="preserve">CMP-07-030</t>
        </is>
      </c>
      <c r="P508" s="15" t="inlineStr">
        <is>
          <t xml:space="preserve">8:10</t>
        </is>
      </c>
      <c r="Q508" s="15" t="inlineStr">
        <is>
          <t xml:space="preserve">SRC-07-01; SRC-07-02</t>
        </is>
      </c>
      <c r="R508" s="15"/>
      <c r="S508" s="15"/>
    </row>
    <row r="509" ht="34" customHeight="1">
      <c r="A509" s="15" t="inlineStr">
        <is>
          <t xml:space="preserve">v0.7</t>
        </is>
      </c>
      <c r="B509" s="15" t="inlineStr">
        <is>
          <t xml:space="preserve">Bible_Journey_Canon_Map_v0_7_Gospel_Chronology.xlsx</t>
        </is>
      </c>
      <c r="C509" s="15" t="inlineStr">
        <is>
          <t xml:space="preserve">BLK-07-101</t>
        </is>
      </c>
      <c r="D509" s="15" t="inlineStr">
        <is>
          <t xml:space="preserve">CRS-07-049</t>
        </is>
      </c>
      <c r="E509" s="15">
        <v>2</v>
      </c>
      <c r="F509" s="15" t="inlineStr">
        <is>
          <t xml:space="preserve">Matthew</t>
        </is>
      </c>
      <c r="G509" s="15" t="inlineStr">
        <is>
          <t xml:space="preserve">Matthew 15:32-39</t>
        </is>
      </c>
      <c r="H509" s="15" t="inlineStr">
        <is>
          <t xml:space="preserve">Parallel Account</t>
        </is>
      </c>
      <c r="I509" s="15"/>
      <c r="J509" s="15" t="inlineStr">
        <is>
          <t xml:space="preserve">Yes</t>
        </is>
      </c>
      <c r="K509" s="15" t="inlineStr">
        <is>
          <t xml:space="preserve">No</t>
        </is>
      </c>
      <c r="L509" s="15" t="inlineStr">
        <is>
          <t xml:space="preserve">Probable</t>
        </is>
      </c>
      <c r="M509" s="15" t="inlineStr">
        <is>
          <t xml:space="preserve">Probable</t>
        </is>
      </c>
      <c r="N509" s="15" t="inlineStr">
        <is>
          <t xml:space="preserve">Matthew</t>
        </is>
      </c>
      <c r="O509" s="15" t="inlineStr">
        <is>
          <t xml:space="preserve">CMP-07-030</t>
        </is>
      </c>
      <c r="P509" s="15" t="inlineStr">
        <is>
          <t xml:space="preserve">15:end</t>
        </is>
      </c>
      <c r="Q509" s="15" t="inlineStr">
        <is>
          <t xml:space="preserve">SRC-07-01; SRC-07-02</t>
        </is>
      </c>
      <c r="R509" s="15"/>
      <c r="S509" s="15"/>
    </row>
    <row r="510" ht="34" customHeight="1">
      <c r="A510" s="15" t="inlineStr">
        <is>
          <t xml:space="preserve">v0.7</t>
        </is>
      </c>
      <c r="B510" s="15" t="inlineStr">
        <is>
          <t xml:space="preserve">Bible_Journey_Canon_Map_v0_7_Gospel_Chronology.xlsx</t>
        </is>
      </c>
      <c r="C510" s="15" t="inlineStr">
        <is>
          <t xml:space="preserve">BLK-07-102</t>
        </is>
      </c>
      <c r="D510" s="15" t="inlineStr">
        <is>
          <t xml:space="preserve">CRS-07-050</t>
        </is>
      </c>
      <c r="E510" s="15">
        <v>1</v>
      </c>
      <c r="F510" s="15" t="inlineStr">
        <is>
          <t xml:space="preserve">Mark</t>
        </is>
      </c>
      <c r="G510" s="15" t="inlineStr">
        <is>
          <t xml:space="preserve">Mark 8:11-26</t>
        </is>
      </c>
      <c r="H510" s="15" t="inlineStr">
        <is>
          <t xml:space="preserve">Primary Account</t>
        </is>
      </c>
      <c r="I510" s="15"/>
      <c r="J510" s="15" t="inlineStr">
        <is>
          <t xml:space="preserve">Yes</t>
        </is>
      </c>
      <c r="K510" s="15" t="inlineStr">
        <is>
          <t xml:space="preserve">Yes</t>
        </is>
      </c>
      <c r="L510" s="15" t="inlineStr">
        <is>
          <t xml:space="preserve">Probable</t>
        </is>
      </c>
      <c r="M510" s="15" t="inlineStr">
        <is>
          <t xml:space="preserve">Probable</t>
        </is>
      </c>
      <c r="N510" s="15" t="inlineStr">
        <is>
          <t xml:space="preserve">Mark</t>
        </is>
      </c>
      <c r="O510" s="15" t="inlineStr">
        <is>
          <t xml:space="preserve">CMP-07-031</t>
        </is>
      </c>
      <c r="P510" s="15" t="inlineStr">
        <is>
          <t xml:space="preserve">8:26</t>
        </is>
      </c>
      <c r="Q510" s="15" t="inlineStr">
        <is>
          <t xml:space="preserve">SRC-07-01; SRC-07-02</t>
        </is>
      </c>
      <c r="R510" s="15"/>
      <c r="S510" s="15"/>
    </row>
    <row r="511" ht="34" customHeight="1">
      <c r="A511" s="15" t="inlineStr">
        <is>
          <t xml:space="preserve">v0.7</t>
        </is>
      </c>
      <c r="B511" s="15" t="inlineStr">
        <is>
          <t xml:space="preserve">Bible_Journey_Canon_Map_v0_7_Gospel_Chronology.xlsx</t>
        </is>
      </c>
      <c r="C511" s="15" t="inlineStr">
        <is>
          <t xml:space="preserve">BLK-07-103</t>
        </is>
      </c>
      <c r="D511" s="15" t="inlineStr">
        <is>
          <t xml:space="preserve">CRS-07-050</t>
        </is>
      </c>
      <c r="E511" s="15">
        <v>2</v>
      </c>
      <c r="F511" s="15" t="inlineStr">
        <is>
          <t xml:space="preserve">Matthew</t>
        </is>
      </c>
      <c r="G511" s="15" t="inlineStr">
        <is>
          <t xml:space="preserve">Matthew 16:1-12</t>
        </is>
      </c>
      <c r="H511" s="15" t="inlineStr">
        <is>
          <t xml:space="preserve">Parallel Account</t>
        </is>
      </c>
      <c r="I511" s="15"/>
      <c r="J511" s="15" t="inlineStr">
        <is>
          <t xml:space="preserve">Yes</t>
        </is>
      </c>
      <c r="K511" s="15" t="inlineStr">
        <is>
          <t xml:space="preserve">No</t>
        </is>
      </c>
      <c r="L511" s="15" t="inlineStr">
        <is>
          <t xml:space="preserve">Probable</t>
        </is>
      </c>
      <c r="M511" s="15" t="inlineStr">
        <is>
          <t xml:space="preserve">Probable</t>
        </is>
      </c>
      <c r="N511" s="15" t="inlineStr">
        <is>
          <t xml:space="preserve">Matthew</t>
        </is>
      </c>
      <c r="O511" s="15" t="inlineStr">
        <is>
          <t xml:space="preserve">CMP-07-031</t>
        </is>
      </c>
      <c r="P511" s="15" t="inlineStr">
        <is>
          <t xml:space="preserve">16:12</t>
        </is>
      </c>
      <c r="Q511" s="15" t="inlineStr">
        <is>
          <t xml:space="preserve">SRC-07-01; SRC-07-02</t>
        </is>
      </c>
      <c r="R511" s="15"/>
      <c r="S511" s="15"/>
    </row>
    <row r="512" ht="34" customHeight="1">
      <c r="A512" s="15" t="inlineStr">
        <is>
          <t xml:space="preserve">v0.7</t>
        </is>
      </c>
      <c r="B512" s="15" t="inlineStr">
        <is>
          <t xml:space="preserve">Bible_Journey_Canon_Map_v0_7_Gospel_Chronology.xlsx</t>
        </is>
      </c>
      <c r="C512" s="15" t="inlineStr">
        <is>
          <t xml:space="preserve">BLK-07-104</t>
        </is>
      </c>
      <c r="D512" s="15" t="inlineStr">
        <is>
          <t xml:space="preserve">CRS-07-051</t>
        </is>
      </c>
      <c r="E512" s="15">
        <v>1</v>
      </c>
      <c r="F512" s="15" t="inlineStr">
        <is>
          <t xml:space="preserve">Mark</t>
        </is>
      </c>
      <c r="G512" s="15" t="inlineStr">
        <is>
          <t xml:space="preserve">Mark 8:27-9:1</t>
        </is>
      </c>
      <c r="H512" s="15" t="inlineStr">
        <is>
          <t xml:space="preserve">Primary Account</t>
        </is>
      </c>
      <c r="I512" s="15"/>
      <c r="J512" s="15" t="inlineStr">
        <is>
          <t xml:space="preserve">Yes</t>
        </is>
      </c>
      <c r="K512" s="15" t="inlineStr">
        <is>
          <t xml:space="preserve">Yes</t>
        </is>
      </c>
      <c r="L512" s="15" t="inlineStr">
        <is>
          <t xml:space="preserve">Probable</t>
        </is>
      </c>
      <c r="M512" s="15" t="inlineStr">
        <is>
          <t xml:space="preserve">Probable</t>
        </is>
      </c>
      <c r="N512" s="15" t="inlineStr">
        <is>
          <t xml:space="preserve">Mark</t>
        </is>
      </c>
      <c r="O512" s="15" t="inlineStr">
        <is>
          <t xml:space="preserve">CMP-07-032</t>
        </is>
      </c>
      <c r="P512" s="15" t="inlineStr">
        <is>
          <t xml:space="preserve">9:1</t>
        </is>
      </c>
      <c r="Q512" s="15" t="inlineStr">
        <is>
          <t xml:space="preserve">SRC-07-01; SRC-07-02</t>
        </is>
      </c>
      <c r="R512" s="15"/>
      <c r="S512" s="15"/>
    </row>
    <row r="513" ht="34" customHeight="1">
      <c r="A513" s="15" t="inlineStr">
        <is>
          <t xml:space="preserve">v0.7</t>
        </is>
      </c>
      <c r="B513" s="15" t="inlineStr">
        <is>
          <t xml:space="preserve">Bible_Journey_Canon_Map_v0_7_Gospel_Chronology.xlsx</t>
        </is>
      </c>
      <c r="C513" s="15" t="inlineStr">
        <is>
          <t xml:space="preserve">BLK-07-105</t>
        </is>
      </c>
      <c r="D513" s="15" t="inlineStr">
        <is>
          <t xml:space="preserve">CRS-07-051</t>
        </is>
      </c>
      <c r="E513" s="15">
        <v>2</v>
      </c>
      <c r="F513" s="15" t="inlineStr">
        <is>
          <t xml:space="preserve">Matthew</t>
        </is>
      </c>
      <c r="G513" s="15" t="inlineStr">
        <is>
          <t xml:space="preserve">Matthew 16:13-28</t>
        </is>
      </c>
      <c r="H513" s="15" t="inlineStr">
        <is>
          <t xml:space="preserve">Parallel Account</t>
        </is>
      </c>
      <c r="I513" s="15"/>
      <c r="J513" s="15" t="inlineStr">
        <is>
          <t xml:space="preserve">Yes</t>
        </is>
      </c>
      <c r="K513" s="15" t="inlineStr">
        <is>
          <t xml:space="preserve">No</t>
        </is>
      </c>
      <c r="L513" s="15" t="inlineStr">
        <is>
          <t xml:space="preserve">Probable</t>
        </is>
      </c>
      <c r="M513" s="15" t="inlineStr">
        <is>
          <t xml:space="preserve">Probable</t>
        </is>
      </c>
      <c r="N513" s="15" t="inlineStr">
        <is>
          <t xml:space="preserve">Matthew</t>
        </is>
      </c>
      <c r="O513" s="15" t="inlineStr">
        <is>
          <t xml:space="preserve">CMP-07-032</t>
        </is>
      </c>
      <c r="P513" s="15" t="inlineStr">
        <is>
          <t xml:space="preserve">16:end</t>
        </is>
      </c>
      <c r="Q513" s="15" t="inlineStr">
        <is>
          <t xml:space="preserve">SRC-07-01; SRC-07-02</t>
        </is>
      </c>
      <c r="R513" s="15"/>
      <c r="S513" s="15"/>
    </row>
    <row r="514" ht="34" customHeight="1">
      <c r="A514" s="15" t="inlineStr">
        <is>
          <t xml:space="preserve">v0.7</t>
        </is>
      </c>
      <c r="B514" s="15" t="inlineStr">
        <is>
          <t xml:space="preserve">Bible_Journey_Canon_Map_v0_7_Gospel_Chronology.xlsx</t>
        </is>
      </c>
      <c r="C514" s="15" t="inlineStr">
        <is>
          <t xml:space="preserve">BLK-07-106</t>
        </is>
      </c>
      <c r="D514" s="15" t="inlineStr">
        <is>
          <t xml:space="preserve">CRS-07-051</t>
        </is>
      </c>
      <c r="E514" s="15">
        <v>3</v>
      </c>
      <c r="F514" s="15" t="inlineStr">
        <is>
          <t xml:space="preserve">Luke</t>
        </is>
      </c>
      <c r="G514" s="15" t="inlineStr">
        <is>
          <t xml:space="preserve">Luke 9:18-27</t>
        </is>
      </c>
      <c r="H514" s="15" t="inlineStr">
        <is>
          <t xml:space="preserve">Parallel Account</t>
        </is>
      </c>
      <c r="I514" s="15"/>
      <c r="J514" s="15" t="inlineStr">
        <is>
          <t xml:space="preserve">Yes</t>
        </is>
      </c>
      <c r="K514" s="15" t="inlineStr">
        <is>
          <t xml:space="preserve">No</t>
        </is>
      </c>
      <c r="L514" s="15" t="inlineStr">
        <is>
          <t xml:space="preserve">Probable</t>
        </is>
      </c>
      <c r="M514" s="15" t="inlineStr">
        <is>
          <t xml:space="preserve">Probable</t>
        </is>
      </c>
      <c r="N514" s="15" t="inlineStr">
        <is>
          <t xml:space="preserve">Luke</t>
        </is>
      </c>
      <c r="O514" s="15" t="inlineStr">
        <is>
          <t xml:space="preserve">CMP-07-032</t>
        </is>
      </c>
      <c r="P514" s="15" t="inlineStr">
        <is>
          <t xml:space="preserve">9:27</t>
        </is>
      </c>
      <c r="Q514" s="15" t="inlineStr">
        <is>
          <t xml:space="preserve">SRC-07-01; SRC-07-02</t>
        </is>
      </c>
      <c r="R514" s="15"/>
      <c r="S514" s="15"/>
    </row>
    <row r="515" ht="34" customHeight="1">
      <c r="A515" s="15" t="inlineStr">
        <is>
          <t xml:space="preserve">v0.7</t>
        </is>
      </c>
      <c r="B515" s="15" t="inlineStr">
        <is>
          <t xml:space="preserve">Bible_Journey_Canon_Map_v0_7_Gospel_Chronology.xlsx</t>
        </is>
      </c>
      <c r="C515" s="15" t="inlineStr">
        <is>
          <t xml:space="preserve">BLK-07-107</t>
        </is>
      </c>
      <c r="D515" s="15" t="inlineStr">
        <is>
          <t xml:space="preserve">CRS-07-052</t>
        </is>
      </c>
      <c r="E515" s="15">
        <v>1</v>
      </c>
      <c r="F515" s="15" t="inlineStr">
        <is>
          <t xml:space="preserve">Mark</t>
        </is>
      </c>
      <c r="G515" s="15" t="inlineStr">
        <is>
          <t xml:space="preserve">Mark 9:2-13</t>
        </is>
      </c>
      <c r="H515" s="15" t="inlineStr">
        <is>
          <t xml:space="preserve">Primary Account</t>
        </is>
      </c>
      <c r="I515" s="15"/>
      <c r="J515" s="15" t="inlineStr">
        <is>
          <t xml:space="preserve">Yes</t>
        </is>
      </c>
      <c r="K515" s="15" t="inlineStr">
        <is>
          <t xml:space="preserve">Yes</t>
        </is>
      </c>
      <c r="L515" s="15" t="inlineStr">
        <is>
          <t xml:space="preserve">Probable</t>
        </is>
      </c>
      <c r="M515" s="15" t="inlineStr">
        <is>
          <t xml:space="preserve">Probable</t>
        </is>
      </c>
      <c r="N515" s="15" t="inlineStr">
        <is>
          <t xml:space="preserve">Mark</t>
        </is>
      </c>
      <c r="O515" s="15" t="inlineStr">
        <is>
          <t xml:space="preserve">CMP-07-033</t>
        </is>
      </c>
      <c r="P515" s="15" t="inlineStr">
        <is>
          <t xml:space="preserve">9:13</t>
        </is>
      </c>
      <c r="Q515" s="15" t="inlineStr">
        <is>
          <t xml:space="preserve">SRC-07-01; SRC-07-02; SRC-07-06</t>
        </is>
      </c>
      <c r="R515" s="15"/>
      <c r="S515" s="15"/>
    </row>
    <row r="516" ht="34" customHeight="1">
      <c r="A516" s="15" t="inlineStr">
        <is>
          <t xml:space="preserve">v0.7</t>
        </is>
      </c>
      <c r="B516" s="15" t="inlineStr">
        <is>
          <t xml:space="preserve">Bible_Journey_Canon_Map_v0_7_Gospel_Chronology.xlsx</t>
        </is>
      </c>
      <c r="C516" s="15" t="inlineStr">
        <is>
          <t xml:space="preserve">BLK-07-108</t>
        </is>
      </c>
      <c r="D516" s="15" t="inlineStr">
        <is>
          <t xml:space="preserve">CRS-07-052</t>
        </is>
      </c>
      <c r="E516" s="15">
        <v>2</v>
      </c>
      <c r="F516" s="15" t="inlineStr">
        <is>
          <t xml:space="preserve">Matthew</t>
        </is>
      </c>
      <c r="G516" s="15" t="inlineStr">
        <is>
          <t xml:space="preserve">Matthew 17:1-13</t>
        </is>
      </c>
      <c r="H516" s="15" t="inlineStr">
        <is>
          <t xml:space="preserve">Parallel Account</t>
        </is>
      </c>
      <c r="I516" s="15"/>
      <c r="J516" s="15" t="inlineStr">
        <is>
          <t xml:space="preserve">Yes</t>
        </is>
      </c>
      <c r="K516" s="15" t="inlineStr">
        <is>
          <t xml:space="preserve">No</t>
        </is>
      </c>
      <c r="L516" s="15" t="inlineStr">
        <is>
          <t xml:space="preserve">Probable</t>
        </is>
      </c>
      <c r="M516" s="15" t="inlineStr">
        <is>
          <t xml:space="preserve">Probable</t>
        </is>
      </c>
      <c r="N516" s="15" t="inlineStr">
        <is>
          <t xml:space="preserve">Matthew</t>
        </is>
      </c>
      <c r="O516" s="15" t="inlineStr">
        <is>
          <t xml:space="preserve">CMP-07-033</t>
        </is>
      </c>
      <c r="P516" s="15" t="inlineStr">
        <is>
          <t xml:space="preserve">17:13</t>
        </is>
      </c>
      <c r="Q516" s="15" t="inlineStr">
        <is>
          <t xml:space="preserve">SRC-07-01; SRC-07-02; SRC-07-06</t>
        </is>
      </c>
      <c r="R516" s="15"/>
      <c r="S516" s="15"/>
    </row>
    <row r="517" ht="34" customHeight="1">
      <c r="A517" s="15" t="inlineStr">
        <is>
          <t xml:space="preserve">v0.7</t>
        </is>
      </c>
      <c r="B517" s="15" t="inlineStr">
        <is>
          <t xml:space="preserve">Bible_Journey_Canon_Map_v0_7_Gospel_Chronology.xlsx</t>
        </is>
      </c>
      <c r="C517" s="15" t="inlineStr">
        <is>
          <t xml:space="preserve">BLK-07-109</t>
        </is>
      </c>
      <c r="D517" s="15" t="inlineStr">
        <is>
          <t xml:space="preserve">CRS-07-052</t>
        </is>
      </c>
      <c r="E517" s="15">
        <v>3</v>
      </c>
      <c r="F517" s="15" t="inlineStr">
        <is>
          <t xml:space="preserve">Luke</t>
        </is>
      </c>
      <c r="G517" s="15" t="inlineStr">
        <is>
          <t xml:space="preserve">Luke 9:28-36</t>
        </is>
      </c>
      <c r="H517" s="15" t="inlineStr">
        <is>
          <t xml:space="preserve">Parallel Account</t>
        </is>
      </c>
      <c r="I517" s="15"/>
      <c r="J517" s="15" t="inlineStr">
        <is>
          <t xml:space="preserve">Yes</t>
        </is>
      </c>
      <c r="K517" s="15" t="inlineStr">
        <is>
          <t xml:space="preserve">No</t>
        </is>
      </c>
      <c r="L517" s="15" t="inlineStr">
        <is>
          <t xml:space="preserve">Probable</t>
        </is>
      </c>
      <c r="M517" s="15" t="inlineStr">
        <is>
          <t xml:space="preserve">Probable</t>
        </is>
      </c>
      <c r="N517" s="15" t="inlineStr">
        <is>
          <t xml:space="preserve">Luke</t>
        </is>
      </c>
      <c r="O517" s="15" t="inlineStr">
        <is>
          <t xml:space="preserve">CMP-07-033</t>
        </is>
      </c>
      <c r="P517" s="15" t="inlineStr">
        <is>
          <t xml:space="preserve">9:36</t>
        </is>
      </c>
      <c r="Q517" s="15" t="inlineStr">
        <is>
          <t xml:space="preserve">SRC-07-01; SRC-07-02; SRC-07-06</t>
        </is>
      </c>
      <c r="R517" s="15"/>
      <c r="S517" s="15"/>
    </row>
    <row r="518" ht="34" customHeight="1">
      <c r="A518" s="15" t="inlineStr">
        <is>
          <t xml:space="preserve">v0.7</t>
        </is>
      </c>
      <c r="B518" s="15" t="inlineStr">
        <is>
          <t xml:space="preserve">Bible_Journey_Canon_Map_v0_7_Gospel_Chronology.xlsx</t>
        </is>
      </c>
      <c r="C518" s="15" t="inlineStr">
        <is>
          <t xml:space="preserve">BLK-07-110</t>
        </is>
      </c>
      <c r="D518" s="15" t="inlineStr">
        <is>
          <t xml:space="preserve">CRS-07-053</t>
        </is>
      </c>
      <c r="E518" s="15">
        <v>1</v>
      </c>
      <c r="F518" s="15" t="inlineStr">
        <is>
          <t xml:space="preserve">Mark</t>
        </is>
      </c>
      <c r="G518" s="15" t="inlineStr">
        <is>
          <t xml:space="preserve">Mark 9:14-32</t>
        </is>
      </c>
      <c r="H518" s="15" t="inlineStr">
        <is>
          <t xml:space="preserve">Primary Account</t>
        </is>
      </c>
      <c r="I518" s="15"/>
      <c r="J518" s="15" t="inlineStr">
        <is>
          <t xml:space="preserve">Yes</t>
        </is>
      </c>
      <c r="K518" s="15" t="inlineStr">
        <is>
          <t xml:space="preserve">Yes</t>
        </is>
      </c>
      <c r="L518" s="15" t="inlineStr">
        <is>
          <t xml:space="preserve">Probable</t>
        </is>
      </c>
      <c r="M518" s="15" t="inlineStr">
        <is>
          <t xml:space="preserve">Probable</t>
        </is>
      </c>
      <c r="N518" s="15" t="inlineStr">
        <is>
          <t xml:space="preserve">Mark</t>
        </is>
      </c>
      <c r="O518" s="15" t="inlineStr">
        <is>
          <t xml:space="preserve">CMP-07-034</t>
        </is>
      </c>
      <c r="P518" s="15" t="inlineStr">
        <is>
          <t xml:space="preserve">9:32</t>
        </is>
      </c>
      <c r="Q518" s="15" t="inlineStr">
        <is>
          <t xml:space="preserve">SRC-07-01; SRC-07-02</t>
        </is>
      </c>
      <c r="R518" s="15"/>
      <c r="S518" s="15"/>
    </row>
    <row r="519" ht="34" customHeight="1">
      <c r="A519" s="15" t="inlineStr">
        <is>
          <t xml:space="preserve">v0.7</t>
        </is>
      </c>
      <c r="B519" s="15" t="inlineStr">
        <is>
          <t xml:space="preserve">Bible_Journey_Canon_Map_v0_7_Gospel_Chronology.xlsx</t>
        </is>
      </c>
      <c r="C519" s="15" t="inlineStr">
        <is>
          <t xml:space="preserve">BLK-07-111</t>
        </is>
      </c>
      <c r="D519" s="15" t="inlineStr">
        <is>
          <t xml:space="preserve">CRS-07-053</t>
        </is>
      </c>
      <c r="E519" s="15">
        <v>2</v>
      </c>
      <c r="F519" s="15" t="inlineStr">
        <is>
          <t xml:space="preserve">Matthew</t>
        </is>
      </c>
      <c r="G519" s="15" t="inlineStr">
        <is>
          <t xml:space="preserve">Matthew 17:14-23</t>
        </is>
      </c>
      <c r="H519" s="15" t="inlineStr">
        <is>
          <t xml:space="preserve">Parallel Account</t>
        </is>
      </c>
      <c r="I519" s="15"/>
      <c r="J519" s="15" t="inlineStr">
        <is>
          <t xml:space="preserve">Yes</t>
        </is>
      </c>
      <c r="K519" s="15" t="inlineStr">
        <is>
          <t xml:space="preserve">No</t>
        </is>
      </c>
      <c r="L519" s="15" t="inlineStr">
        <is>
          <t xml:space="preserve">Probable</t>
        </is>
      </c>
      <c r="M519" s="15" t="inlineStr">
        <is>
          <t xml:space="preserve">Probable</t>
        </is>
      </c>
      <c r="N519" s="15" t="inlineStr">
        <is>
          <t xml:space="preserve">Matthew</t>
        </is>
      </c>
      <c r="O519" s="15" t="inlineStr">
        <is>
          <t xml:space="preserve">CMP-07-034</t>
        </is>
      </c>
      <c r="P519" s="15" t="inlineStr">
        <is>
          <t xml:space="preserve">17:23</t>
        </is>
      </c>
      <c r="Q519" s="15" t="inlineStr">
        <is>
          <t xml:space="preserve">SRC-07-01; SRC-07-02</t>
        </is>
      </c>
      <c r="R519" s="15"/>
      <c r="S519" s="15"/>
    </row>
    <row r="520" ht="34" customHeight="1">
      <c r="A520" s="15" t="inlineStr">
        <is>
          <t xml:space="preserve">v0.7</t>
        </is>
      </c>
      <c r="B520" s="15" t="inlineStr">
        <is>
          <t xml:space="preserve">Bible_Journey_Canon_Map_v0_7_Gospel_Chronology.xlsx</t>
        </is>
      </c>
      <c r="C520" s="15" t="inlineStr">
        <is>
          <t xml:space="preserve">BLK-07-112</t>
        </is>
      </c>
      <c r="D520" s="15" t="inlineStr">
        <is>
          <t xml:space="preserve">CRS-07-053</t>
        </is>
      </c>
      <c r="E520" s="15">
        <v>3</v>
      </c>
      <c r="F520" s="15" t="inlineStr">
        <is>
          <t xml:space="preserve">Luke</t>
        </is>
      </c>
      <c r="G520" s="15" t="inlineStr">
        <is>
          <t xml:space="preserve">Luke 9:37-45</t>
        </is>
      </c>
      <c r="H520" s="15" t="inlineStr">
        <is>
          <t xml:space="preserve">Parallel Account</t>
        </is>
      </c>
      <c r="I520" s="15"/>
      <c r="J520" s="15" t="inlineStr">
        <is>
          <t xml:space="preserve">Yes</t>
        </is>
      </c>
      <c r="K520" s="15" t="inlineStr">
        <is>
          <t xml:space="preserve">No</t>
        </is>
      </c>
      <c r="L520" s="15" t="inlineStr">
        <is>
          <t xml:space="preserve">Probable</t>
        </is>
      </c>
      <c r="M520" s="15" t="inlineStr">
        <is>
          <t xml:space="preserve">Probable</t>
        </is>
      </c>
      <c r="N520" s="15" t="inlineStr">
        <is>
          <t xml:space="preserve">Luke</t>
        </is>
      </c>
      <c r="O520" s="15" t="inlineStr">
        <is>
          <t xml:space="preserve">CMP-07-034</t>
        </is>
      </c>
      <c r="P520" s="15" t="inlineStr">
        <is>
          <t xml:space="preserve">9:45</t>
        </is>
      </c>
      <c r="Q520" s="15" t="inlineStr">
        <is>
          <t xml:space="preserve">SRC-07-01; SRC-07-02</t>
        </is>
      </c>
      <c r="R520" s="15"/>
      <c r="S520" s="15"/>
    </row>
    <row r="521" ht="34" customHeight="1">
      <c r="A521" s="15" t="inlineStr">
        <is>
          <t xml:space="preserve">v0.7</t>
        </is>
      </c>
      <c r="B521" s="15" t="inlineStr">
        <is>
          <t xml:space="preserve">Bible_Journey_Canon_Map_v0_7_Gospel_Chronology.xlsx</t>
        </is>
      </c>
      <c r="C521" s="15" t="inlineStr">
        <is>
          <t xml:space="preserve">BLK-07-113</t>
        </is>
      </c>
      <c r="D521" s="15" t="inlineStr">
        <is>
          <t xml:space="preserve">CRS-07-054</t>
        </is>
      </c>
      <c r="E521" s="15">
        <v>1</v>
      </c>
      <c r="F521" s="15" t="inlineStr">
        <is>
          <t xml:space="preserve">Matthew</t>
        </is>
      </c>
      <c r="G521" s="15" t="inlineStr">
        <is>
          <t xml:space="preserve">Matthew 17:24-18:35</t>
        </is>
      </c>
      <c r="H521" s="15" t="inlineStr">
        <is>
          <t xml:space="preserve">Primary Account</t>
        </is>
      </c>
      <c r="I521" s="15"/>
      <c r="J521" s="15" t="inlineStr">
        <is>
          <t xml:space="preserve">Yes</t>
        </is>
      </c>
      <c r="K521" s="15" t="inlineStr">
        <is>
          <t xml:space="preserve">Yes</t>
        </is>
      </c>
      <c r="L521" s="15" t="inlineStr">
        <is>
          <t xml:space="preserve">Probable</t>
        </is>
      </c>
      <c r="M521" s="15" t="inlineStr">
        <is>
          <t xml:space="preserve">Probable</t>
        </is>
      </c>
      <c r="N521" s="15" t="inlineStr">
        <is>
          <t xml:space="preserve">Matthew</t>
        </is>
      </c>
      <c r="O521" s="15" t="inlineStr">
        <is>
          <t xml:space="preserve">CMP-07-035</t>
        </is>
      </c>
      <c r="P521" s="15" t="inlineStr">
        <is>
          <t xml:space="preserve">18:end</t>
        </is>
      </c>
      <c r="Q521" s="15" t="inlineStr">
        <is>
          <t xml:space="preserve">SRC-07-01; SRC-07-02</t>
        </is>
      </c>
      <c r="R521" s="15"/>
      <c r="S521" s="15"/>
    </row>
    <row r="522" ht="34" customHeight="1">
      <c r="A522" s="15" t="inlineStr">
        <is>
          <t xml:space="preserve">v0.7</t>
        </is>
      </c>
      <c r="B522" s="15" t="inlineStr">
        <is>
          <t xml:space="preserve">Bible_Journey_Canon_Map_v0_7_Gospel_Chronology.xlsx</t>
        </is>
      </c>
      <c r="C522" s="15" t="inlineStr">
        <is>
          <t xml:space="preserve">BLK-07-114</t>
        </is>
      </c>
      <c r="D522" s="15" t="inlineStr">
        <is>
          <t xml:space="preserve">CRS-07-054</t>
        </is>
      </c>
      <c r="E522" s="15">
        <v>2</v>
      </c>
      <c r="F522" s="15" t="inlineStr">
        <is>
          <t xml:space="preserve">Mark</t>
        </is>
      </c>
      <c r="G522" s="15" t="inlineStr">
        <is>
          <t xml:space="preserve">Mark 9:33-50</t>
        </is>
      </c>
      <c r="H522" s="15" t="inlineStr">
        <is>
          <t xml:space="preserve">Related Account</t>
        </is>
      </c>
      <c r="I522" s="15"/>
      <c r="J522" s="15" t="inlineStr">
        <is>
          <t xml:space="preserve">Yes</t>
        </is>
      </c>
      <c r="K522" s="15" t="inlineStr">
        <is>
          <t xml:space="preserve">No</t>
        </is>
      </c>
      <c r="L522" s="15" t="inlineStr">
        <is>
          <t xml:space="preserve">Probable</t>
        </is>
      </c>
      <c r="M522" s="15" t="inlineStr">
        <is>
          <t xml:space="preserve">Probable</t>
        </is>
      </c>
      <c r="N522" s="15" t="inlineStr">
        <is>
          <t xml:space="preserve">Mark</t>
        </is>
      </c>
      <c r="O522" s="15" t="inlineStr">
        <is>
          <t xml:space="preserve">CMP-07-035</t>
        </is>
      </c>
      <c r="P522" s="15" t="inlineStr">
        <is>
          <t xml:space="preserve">9:end</t>
        </is>
      </c>
      <c r="Q522" s="15" t="inlineStr">
        <is>
          <t xml:space="preserve">SRC-07-01; SRC-07-02</t>
        </is>
      </c>
      <c r="R522" s="15"/>
      <c r="S522" s="15"/>
    </row>
    <row r="523" ht="34" customHeight="1">
      <c r="A523" s="15" t="inlineStr">
        <is>
          <t xml:space="preserve">v0.7</t>
        </is>
      </c>
      <c r="B523" s="15" t="inlineStr">
        <is>
          <t xml:space="preserve">Bible_Journey_Canon_Map_v0_7_Gospel_Chronology.xlsx</t>
        </is>
      </c>
      <c r="C523" s="15" t="inlineStr">
        <is>
          <t xml:space="preserve">BLK-07-115</t>
        </is>
      </c>
      <c r="D523" s="15" t="inlineStr">
        <is>
          <t xml:space="preserve">CRS-07-054</t>
        </is>
      </c>
      <c r="E523" s="15">
        <v>3</v>
      </c>
      <c r="F523" s="15" t="inlineStr">
        <is>
          <t xml:space="preserve">Luke</t>
        </is>
      </c>
      <c r="G523" s="15" t="inlineStr">
        <is>
          <t xml:space="preserve">Luke 9:46-50</t>
        </is>
      </c>
      <c r="H523" s="15" t="inlineStr">
        <is>
          <t xml:space="preserve">Related Account</t>
        </is>
      </c>
      <c r="I523" s="15"/>
      <c r="J523" s="15" t="inlineStr">
        <is>
          <t xml:space="preserve">Yes</t>
        </is>
      </c>
      <c r="K523" s="15" t="inlineStr">
        <is>
          <t xml:space="preserve">No</t>
        </is>
      </c>
      <c r="L523" s="15" t="inlineStr">
        <is>
          <t xml:space="preserve">Probable</t>
        </is>
      </c>
      <c r="M523" s="15" t="inlineStr">
        <is>
          <t xml:space="preserve">Probable</t>
        </is>
      </c>
      <c r="N523" s="15" t="inlineStr">
        <is>
          <t xml:space="preserve">Luke</t>
        </is>
      </c>
      <c r="O523" s="15" t="inlineStr">
        <is>
          <t xml:space="preserve">CMP-07-035</t>
        </is>
      </c>
      <c r="P523" s="15" t="inlineStr">
        <is>
          <t xml:space="preserve">9:50</t>
        </is>
      </c>
      <c r="Q523" s="15" t="inlineStr">
        <is>
          <t xml:space="preserve">SRC-07-01; SRC-07-02</t>
        </is>
      </c>
      <c r="R523" s="15"/>
      <c r="S523" s="15"/>
    </row>
    <row r="524" ht="34" customHeight="1">
      <c r="A524" s="15" t="inlineStr">
        <is>
          <t xml:space="preserve">v0.7</t>
        </is>
      </c>
      <c r="B524" s="15" t="inlineStr">
        <is>
          <t xml:space="preserve">Bible_Journey_Canon_Map_v0_7_Gospel_Chronology.xlsx</t>
        </is>
      </c>
      <c r="C524" s="15" t="inlineStr">
        <is>
          <t xml:space="preserve">BLK-07-116</t>
        </is>
      </c>
      <c r="D524" s="15" t="inlineStr">
        <is>
          <t xml:space="preserve">CRS-07-055</t>
        </is>
      </c>
      <c r="E524" s="15">
        <v>1</v>
      </c>
      <c r="F524" s="15" t="inlineStr">
        <is>
          <t xml:space="preserve">John</t>
        </is>
      </c>
      <c r="G524" s="15" t="inlineStr">
        <is>
          <t xml:space="preserve">John 7:1-52</t>
        </is>
      </c>
      <c r="H524" s="15" t="inlineStr">
        <is>
          <t xml:space="preserve">Primary Account</t>
        </is>
      </c>
      <c r="I524" s="15"/>
      <c r="J524" s="15" t="inlineStr">
        <is>
          <t xml:space="preserve">Yes</t>
        </is>
      </c>
      <c r="K524" s="15" t="inlineStr">
        <is>
          <t xml:space="preserve">Yes</t>
        </is>
      </c>
      <c r="L524" s="15" t="inlineStr">
        <is>
          <t xml:space="preserve">Probable</t>
        </is>
      </c>
      <c r="M524" s="15" t="inlineStr">
        <is>
          <t xml:space="preserve">Probable</t>
        </is>
      </c>
      <c r="N524" s="15" t="inlineStr">
        <is>
          <t xml:space="preserve">John</t>
        </is>
      </c>
      <c r="O524" s="15"/>
      <c r="P524" s="15" t="inlineStr">
        <is>
          <t xml:space="preserve">7:52</t>
        </is>
      </c>
      <c r="Q524" s="15" t="inlineStr">
        <is>
          <t xml:space="preserve">SRC-07-10</t>
        </is>
      </c>
      <c r="R524" s="15"/>
      <c r="S524" s="15"/>
    </row>
    <row r="525" ht="34" customHeight="1">
      <c r="A525" s="15" t="inlineStr">
        <is>
          <t xml:space="preserve">v0.7</t>
        </is>
      </c>
      <c r="B525" s="15" t="inlineStr">
        <is>
          <t xml:space="preserve">Bible_Journey_Canon_Map_v0_7_Gospel_Chronology.xlsx</t>
        </is>
      </c>
      <c r="C525" s="15" t="inlineStr">
        <is>
          <t xml:space="preserve">BLK-07-117</t>
        </is>
      </c>
      <c r="D525" s="15" t="inlineStr">
        <is>
          <t xml:space="preserve">CRS-07-056</t>
        </is>
      </c>
      <c r="E525" s="15">
        <v>1</v>
      </c>
      <c r="F525" s="15" t="inlineStr">
        <is>
          <t xml:space="preserve">John</t>
        </is>
      </c>
      <c r="G525" s="15" t="inlineStr">
        <is>
          <t xml:space="preserve">John 7:53-8:11</t>
        </is>
      </c>
      <c r="H525" s="15" t="inlineStr">
        <is>
          <t xml:space="preserve">Textual Note</t>
        </is>
      </c>
      <c r="I525" s="15"/>
      <c r="J525" s="15" t="inlineStr">
        <is>
          <t xml:space="preserve">Yes</t>
        </is>
      </c>
      <c r="K525" s="15" t="inlineStr">
        <is>
          <t xml:space="preserve">Yes</t>
        </is>
      </c>
      <c r="L525" s="15" t="inlineStr">
        <is>
          <t xml:space="preserve">Probable</t>
        </is>
      </c>
      <c r="M525" s="15" t="inlineStr">
        <is>
          <t xml:space="preserve">Probable</t>
        </is>
      </c>
      <c r="N525" s="15" t="inlineStr">
        <is>
          <t xml:space="preserve">John</t>
        </is>
      </c>
      <c r="O525" s="15"/>
      <c r="P525" s="15" t="inlineStr">
        <is>
          <t xml:space="preserve">8:11</t>
        </is>
      </c>
      <c r="Q525" s="15" t="inlineStr">
        <is>
          <t xml:space="preserve">SRC-07-07</t>
        </is>
      </c>
      <c r="R525" s="15"/>
      <c r="S525" s="15" t="inlineStr">
        <is>
          <t xml:space="preserve">Surface according to licensed translation's text-critical presentation; do not remove text silently.</t>
        </is>
      </c>
    </row>
    <row r="526" ht="34" customHeight="1">
      <c r="A526" s="15" t="inlineStr">
        <is>
          <t xml:space="preserve">v0.7</t>
        </is>
      </c>
      <c r="B526" s="15" t="inlineStr">
        <is>
          <t xml:space="preserve">Bible_Journey_Canon_Map_v0_7_Gospel_Chronology.xlsx</t>
        </is>
      </c>
      <c r="C526" s="15" t="inlineStr">
        <is>
          <t xml:space="preserve">BLK-07-118</t>
        </is>
      </c>
      <c r="D526" s="15" t="inlineStr">
        <is>
          <t xml:space="preserve">CRS-07-056</t>
        </is>
      </c>
      <c r="E526" s="15">
        <v>2</v>
      </c>
      <c r="F526" s="15" t="inlineStr">
        <is>
          <t xml:space="preserve">John</t>
        </is>
      </c>
      <c r="G526" s="15" t="inlineStr">
        <is>
          <t xml:space="preserve">John 8:12-59</t>
        </is>
      </c>
      <c r="H526" s="15" t="inlineStr">
        <is>
          <t xml:space="preserve">Primary Account</t>
        </is>
      </c>
      <c r="I526" s="15"/>
      <c r="J526" s="15" t="inlineStr">
        <is>
          <t xml:space="preserve">Yes</t>
        </is>
      </c>
      <c r="K526" s="15" t="inlineStr">
        <is>
          <t xml:space="preserve">Yes</t>
        </is>
      </c>
      <c r="L526" s="15" t="inlineStr">
        <is>
          <t xml:space="preserve">Probable</t>
        </is>
      </c>
      <c r="M526" s="15" t="inlineStr">
        <is>
          <t xml:space="preserve">Probable</t>
        </is>
      </c>
      <c r="N526" s="15" t="inlineStr">
        <is>
          <t xml:space="preserve">John</t>
        </is>
      </c>
      <c r="O526" s="15"/>
      <c r="P526" s="15" t="inlineStr">
        <is>
          <t xml:space="preserve">8:end</t>
        </is>
      </c>
      <c r="Q526" s="15" t="inlineStr">
        <is>
          <t xml:space="preserve">SRC-07-10</t>
        </is>
      </c>
      <c r="R526" s="15"/>
      <c r="S526" s="15"/>
    </row>
    <row r="527" ht="34" customHeight="1">
      <c r="A527" s="15" t="inlineStr">
        <is>
          <t xml:space="preserve">v0.7</t>
        </is>
      </c>
      <c r="B527" s="15" t="inlineStr">
        <is>
          <t xml:space="preserve">Bible_Journey_Canon_Map_v0_7_Gospel_Chronology.xlsx</t>
        </is>
      </c>
      <c r="C527" s="15" t="inlineStr">
        <is>
          <t xml:space="preserve">BLK-07-119</t>
        </is>
      </c>
      <c r="D527" s="15" t="inlineStr">
        <is>
          <t xml:space="preserve">CRS-07-057</t>
        </is>
      </c>
      <c r="E527" s="15">
        <v>1</v>
      </c>
      <c r="F527" s="15" t="inlineStr">
        <is>
          <t xml:space="preserve">John</t>
        </is>
      </c>
      <c r="G527" s="15" t="inlineStr">
        <is>
          <t xml:space="preserve">John 9</t>
        </is>
      </c>
      <c r="H527" s="15" t="inlineStr">
        <is>
          <t xml:space="preserve">Primary Account</t>
        </is>
      </c>
      <c r="I527" s="15"/>
      <c r="J527" s="15" t="inlineStr">
        <is>
          <t xml:space="preserve">Yes</t>
        </is>
      </c>
      <c r="K527" s="15" t="inlineStr">
        <is>
          <t xml:space="preserve">Yes</t>
        </is>
      </c>
      <c r="L527" s="15" t="inlineStr">
        <is>
          <t xml:space="preserve">Probable</t>
        </is>
      </c>
      <c r="M527" s="15" t="inlineStr">
        <is>
          <t xml:space="preserve">Probable</t>
        </is>
      </c>
      <c r="N527" s="15" t="inlineStr">
        <is>
          <t xml:space="preserve">John</t>
        </is>
      </c>
      <c r="O527" s="15"/>
      <c r="P527" s="15" t="inlineStr">
        <is>
          <t xml:space="preserve">9:end</t>
        </is>
      </c>
      <c r="Q527" s="15" t="inlineStr">
        <is>
          <t xml:space="preserve">SRC-07-10</t>
        </is>
      </c>
      <c r="R527" s="15"/>
      <c r="S527" s="15"/>
    </row>
    <row r="528" ht="34" customHeight="1">
      <c r="A528" s="15" t="inlineStr">
        <is>
          <t xml:space="preserve">v0.7</t>
        </is>
      </c>
      <c r="B528" s="15" t="inlineStr">
        <is>
          <t xml:space="preserve">Bible_Journey_Canon_Map_v0_7_Gospel_Chronology.xlsx</t>
        </is>
      </c>
      <c r="C528" s="15" t="inlineStr">
        <is>
          <t xml:space="preserve">BLK-07-120</t>
        </is>
      </c>
      <c r="D528" s="15" t="inlineStr">
        <is>
          <t xml:space="preserve">CRS-07-058</t>
        </is>
      </c>
      <c r="E528" s="15">
        <v>1</v>
      </c>
      <c r="F528" s="15" t="inlineStr">
        <is>
          <t xml:space="preserve">John</t>
        </is>
      </c>
      <c r="G528" s="15" t="inlineStr">
        <is>
          <t xml:space="preserve">John 10:1-21</t>
        </is>
      </c>
      <c r="H528" s="15" t="inlineStr">
        <is>
          <t xml:space="preserve">Primary Account</t>
        </is>
      </c>
      <c r="I528" s="15"/>
      <c r="J528" s="15" t="inlineStr">
        <is>
          <t xml:space="preserve">Yes</t>
        </is>
      </c>
      <c r="K528" s="15" t="inlineStr">
        <is>
          <t xml:space="preserve">Yes</t>
        </is>
      </c>
      <c r="L528" s="15" t="inlineStr">
        <is>
          <t xml:space="preserve">Probable</t>
        </is>
      </c>
      <c r="M528" s="15" t="inlineStr">
        <is>
          <t xml:space="preserve">Probable</t>
        </is>
      </c>
      <c r="N528" s="15" t="inlineStr">
        <is>
          <t xml:space="preserve">John</t>
        </is>
      </c>
      <c r="O528" s="15"/>
      <c r="P528" s="15" t="inlineStr">
        <is>
          <t xml:space="preserve">10:21</t>
        </is>
      </c>
      <c r="Q528" s="15" t="inlineStr">
        <is>
          <t xml:space="preserve">SRC-07-10; SRC-07-12</t>
        </is>
      </c>
      <c r="R528" s="15"/>
      <c r="S528" s="15"/>
    </row>
    <row r="529" ht="34" customHeight="1">
      <c r="A529" s="15" t="inlineStr">
        <is>
          <t xml:space="preserve">v0.7</t>
        </is>
      </c>
      <c r="B529" s="15" t="inlineStr">
        <is>
          <t xml:space="preserve">Bible_Journey_Canon_Map_v0_7_Gospel_Chronology.xlsx</t>
        </is>
      </c>
      <c r="C529" s="15" t="inlineStr">
        <is>
          <t xml:space="preserve">BLK-07-121</t>
        </is>
      </c>
      <c r="D529" s="15" t="inlineStr">
        <is>
          <t xml:space="preserve">CRS-07-059</t>
        </is>
      </c>
      <c r="E529" s="15">
        <v>1</v>
      </c>
      <c r="F529" s="15" t="inlineStr">
        <is>
          <t xml:space="preserve">John</t>
        </is>
      </c>
      <c r="G529" s="15" t="inlineStr">
        <is>
          <t xml:space="preserve">John 10:22-42</t>
        </is>
      </c>
      <c r="H529" s="15" t="inlineStr">
        <is>
          <t xml:space="preserve">Primary Account</t>
        </is>
      </c>
      <c r="I529" s="15"/>
      <c r="J529" s="15" t="inlineStr">
        <is>
          <t xml:space="preserve">Yes</t>
        </is>
      </c>
      <c r="K529" s="15" t="inlineStr">
        <is>
          <t xml:space="preserve">Yes</t>
        </is>
      </c>
      <c r="L529" s="15" t="inlineStr">
        <is>
          <t xml:space="preserve">Probable</t>
        </is>
      </c>
      <c r="M529" s="15" t="inlineStr">
        <is>
          <t xml:space="preserve">Probable</t>
        </is>
      </c>
      <c r="N529" s="15" t="inlineStr">
        <is>
          <t xml:space="preserve">John</t>
        </is>
      </c>
      <c r="O529" s="15"/>
      <c r="P529" s="15" t="inlineStr">
        <is>
          <t xml:space="preserve">10:end</t>
        </is>
      </c>
      <c r="Q529" s="15" t="inlineStr">
        <is>
          <t xml:space="preserve">SRC-07-10</t>
        </is>
      </c>
      <c r="R529" s="15"/>
      <c r="S529" s="15"/>
    </row>
    <row r="530" ht="34" customHeight="1">
      <c r="A530" s="15" t="inlineStr">
        <is>
          <t xml:space="preserve">v0.7</t>
        </is>
      </c>
      <c r="B530" s="15" t="inlineStr">
        <is>
          <t xml:space="preserve">Bible_Journey_Canon_Map_v0_7_Gospel_Chronology.xlsx</t>
        </is>
      </c>
      <c r="C530" s="15" t="inlineStr">
        <is>
          <t xml:space="preserve">BLK-07-122</t>
        </is>
      </c>
      <c r="D530" s="15" t="inlineStr">
        <is>
          <t xml:space="preserve">CRS-07-060</t>
        </is>
      </c>
      <c r="E530" s="15">
        <v>1</v>
      </c>
      <c r="F530" s="15" t="inlineStr">
        <is>
          <t xml:space="preserve">Luke</t>
        </is>
      </c>
      <c r="G530" s="15" t="inlineStr">
        <is>
          <t xml:space="preserve">Luke 9:51-10:24</t>
        </is>
      </c>
      <c r="H530" s="15" t="inlineStr">
        <is>
          <t xml:space="preserve">Primary Account</t>
        </is>
      </c>
      <c r="I530" s="15"/>
      <c r="J530" s="15" t="inlineStr">
        <is>
          <t xml:space="preserve">Yes</t>
        </is>
      </c>
      <c r="K530" s="15" t="inlineStr">
        <is>
          <t xml:space="preserve">Yes</t>
        </is>
      </c>
      <c r="L530" s="15" t="inlineStr">
        <is>
          <t xml:space="preserve">Probable</t>
        </is>
      </c>
      <c r="M530" s="15" t="inlineStr">
        <is>
          <t xml:space="preserve">Probable</t>
        </is>
      </c>
      <c r="N530" s="15" t="inlineStr">
        <is>
          <t xml:space="preserve">Luke</t>
        </is>
      </c>
      <c r="O530" s="15"/>
      <c r="P530" s="15" t="inlineStr">
        <is>
          <t xml:space="preserve">10:24</t>
        </is>
      </c>
      <c r="Q530" s="15" t="inlineStr">
        <is>
          <t xml:space="preserve">SRC-07-01; SRC-07-03</t>
        </is>
      </c>
      <c r="R530" s="15"/>
      <c r="S530" s="15"/>
    </row>
    <row r="531" ht="34" customHeight="1">
      <c r="A531" s="15" t="inlineStr">
        <is>
          <t xml:space="preserve">v0.7</t>
        </is>
      </c>
      <c r="B531" s="15" t="inlineStr">
        <is>
          <t xml:space="preserve">Bible_Journey_Canon_Map_v0_7_Gospel_Chronology.xlsx</t>
        </is>
      </c>
      <c r="C531" s="15" t="inlineStr">
        <is>
          <t xml:space="preserve">BLK-07-123</t>
        </is>
      </c>
      <c r="D531" s="15" t="inlineStr">
        <is>
          <t xml:space="preserve">CRS-07-061</t>
        </is>
      </c>
      <c r="E531" s="15">
        <v>1</v>
      </c>
      <c r="F531" s="15" t="inlineStr">
        <is>
          <t xml:space="preserve">Luke</t>
        </is>
      </c>
      <c r="G531" s="15" t="inlineStr">
        <is>
          <t xml:space="preserve">Luke 10:25-42</t>
        </is>
      </c>
      <c r="H531" s="15" t="inlineStr">
        <is>
          <t xml:space="preserve">Primary Account</t>
        </is>
      </c>
      <c r="I531" s="15"/>
      <c r="J531" s="15" t="inlineStr">
        <is>
          <t xml:space="preserve">Yes</t>
        </is>
      </c>
      <c r="K531" s="15" t="inlineStr">
        <is>
          <t xml:space="preserve">Yes</t>
        </is>
      </c>
      <c r="L531" s="15" t="inlineStr">
        <is>
          <t xml:space="preserve">Probable</t>
        </is>
      </c>
      <c r="M531" s="15" t="inlineStr">
        <is>
          <t xml:space="preserve">Probable</t>
        </is>
      </c>
      <c r="N531" s="15" t="inlineStr">
        <is>
          <t xml:space="preserve">Luke</t>
        </is>
      </c>
      <c r="O531" s="15"/>
      <c r="P531" s="15" t="inlineStr">
        <is>
          <t xml:space="preserve">10:end</t>
        </is>
      </c>
      <c r="Q531" s="15" t="inlineStr">
        <is>
          <t xml:space="preserve">SRC-07-03</t>
        </is>
      </c>
      <c r="R531" s="15"/>
      <c r="S531" s="15"/>
    </row>
    <row r="532" ht="34" customHeight="1">
      <c r="A532" s="15" t="inlineStr">
        <is>
          <t xml:space="preserve">v0.7</t>
        </is>
      </c>
      <c r="B532" s="15" t="inlineStr">
        <is>
          <t xml:space="preserve">Bible_Journey_Canon_Map_v0_7_Gospel_Chronology.xlsx</t>
        </is>
      </c>
      <c r="C532" s="15" t="inlineStr">
        <is>
          <t xml:space="preserve">BLK-07-124</t>
        </is>
      </c>
      <c r="D532" s="15" t="inlineStr">
        <is>
          <t xml:space="preserve">CRS-07-062</t>
        </is>
      </c>
      <c r="E532" s="15">
        <v>1</v>
      </c>
      <c r="F532" s="15" t="inlineStr">
        <is>
          <t xml:space="preserve">Luke</t>
        </is>
      </c>
      <c r="G532" s="15" t="inlineStr">
        <is>
          <t xml:space="preserve">Luke 11:1-13; 11:37-54</t>
        </is>
      </c>
      <c r="H532" s="15" t="inlineStr">
        <is>
          <t xml:space="preserve">Primary Account</t>
        </is>
      </c>
      <c r="I532" s="15"/>
      <c r="J532" s="15" t="inlineStr">
        <is>
          <t xml:space="preserve">Yes</t>
        </is>
      </c>
      <c r="K532" s="15" t="inlineStr">
        <is>
          <t xml:space="preserve">Yes</t>
        </is>
      </c>
      <c r="L532" s="15" t="inlineStr">
        <is>
          <t xml:space="preserve">Probable</t>
        </is>
      </c>
      <c r="M532" s="15" t="inlineStr">
        <is>
          <t xml:space="preserve">Probable</t>
        </is>
      </c>
      <c r="N532" s="15" t="inlineStr">
        <is>
          <t xml:space="preserve">Book order split explicit: Luke 11:14-36 is tracked as related tradition earlier.</t>
        </is>
      </c>
      <c r="O532" s="15"/>
      <c r="P532" s="15" t="inlineStr">
        <is>
          <t xml:space="preserve">11:13; 11:37-54</t>
        </is>
      </c>
      <c r="Q532" s="15" t="inlineStr">
        <is>
          <t xml:space="preserve">SRC-07-03; SRC-07-01</t>
        </is>
      </c>
      <c r="R532" s="15"/>
      <c r="S532" s="15"/>
    </row>
    <row r="533" ht="34" customHeight="1">
      <c r="A533" s="15" t="inlineStr">
        <is>
          <t xml:space="preserve">v0.7</t>
        </is>
      </c>
      <c r="B533" s="15" t="inlineStr">
        <is>
          <t xml:space="preserve">Bible_Journey_Canon_Map_v0_7_Gospel_Chronology.xlsx</t>
        </is>
      </c>
      <c r="C533" s="15" t="inlineStr">
        <is>
          <t xml:space="preserve">BLK-07-125</t>
        </is>
      </c>
      <c r="D533" s="15" t="inlineStr">
        <is>
          <t xml:space="preserve">CRS-07-063</t>
        </is>
      </c>
      <c r="E533" s="15">
        <v>1</v>
      </c>
      <c r="F533" s="15" t="inlineStr">
        <is>
          <t xml:space="preserve">Luke</t>
        </is>
      </c>
      <c r="G533" s="15" t="inlineStr">
        <is>
          <t xml:space="preserve">Luke 12</t>
        </is>
      </c>
      <c r="H533" s="15" t="inlineStr">
        <is>
          <t xml:space="preserve">Primary Account</t>
        </is>
      </c>
      <c r="I533" s="15"/>
      <c r="J533" s="15" t="inlineStr">
        <is>
          <t xml:space="preserve">Yes</t>
        </is>
      </c>
      <c r="K533" s="15" t="inlineStr">
        <is>
          <t xml:space="preserve">Yes</t>
        </is>
      </c>
      <c r="L533" s="15" t="inlineStr">
        <is>
          <t xml:space="preserve">Probable</t>
        </is>
      </c>
      <c r="M533" s="15" t="inlineStr">
        <is>
          <t xml:space="preserve">Probable</t>
        </is>
      </c>
      <c r="N533" s="15" t="inlineStr">
        <is>
          <t xml:space="preserve">Luke</t>
        </is>
      </c>
      <c r="O533" s="15"/>
      <c r="P533" s="15" t="inlineStr">
        <is>
          <t xml:space="preserve">12:end</t>
        </is>
      </c>
      <c r="Q533" s="15" t="inlineStr">
        <is>
          <t xml:space="preserve">SRC-07-03</t>
        </is>
      </c>
      <c r="R533" s="15"/>
      <c r="S533" s="15"/>
    </row>
    <row r="534" ht="34" customHeight="1">
      <c r="A534" s="15" t="inlineStr">
        <is>
          <t xml:space="preserve">v0.7</t>
        </is>
      </c>
      <c r="B534" s="15" t="inlineStr">
        <is>
          <t xml:space="preserve">Bible_Journey_Canon_Map_v0_7_Gospel_Chronology.xlsx</t>
        </is>
      </c>
      <c r="C534" s="15" t="inlineStr">
        <is>
          <t xml:space="preserve">BLK-07-126</t>
        </is>
      </c>
      <c r="D534" s="15" t="inlineStr">
        <is>
          <t xml:space="preserve">CRS-07-064</t>
        </is>
      </c>
      <c r="E534" s="15">
        <v>1</v>
      </c>
      <c r="F534" s="15" t="inlineStr">
        <is>
          <t xml:space="preserve">Luke</t>
        </is>
      </c>
      <c r="G534" s="15" t="inlineStr">
        <is>
          <t xml:space="preserve">Luke 13</t>
        </is>
      </c>
      <c r="H534" s="15" t="inlineStr">
        <is>
          <t xml:space="preserve">Primary Account</t>
        </is>
      </c>
      <c r="I534" s="15"/>
      <c r="J534" s="15" t="inlineStr">
        <is>
          <t xml:space="preserve">Yes</t>
        </is>
      </c>
      <c r="K534" s="15" t="inlineStr">
        <is>
          <t xml:space="preserve">Yes</t>
        </is>
      </c>
      <c r="L534" s="15" t="inlineStr">
        <is>
          <t xml:space="preserve">Probable</t>
        </is>
      </c>
      <c r="M534" s="15" t="inlineStr">
        <is>
          <t xml:space="preserve">Probable</t>
        </is>
      </c>
      <c r="N534" s="15" t="inlineStr">
        <is>
          <t xml:space="preserve">Luke</t>
        </is>
      </c>
      <c r="O534" s="15"/>
      <c r="P534" s="15" t="inlineStr">
        <is>
          <t xml:space="preserve">13:end</t>
        </is>
      </c>
      <c r="Q534" s="15" t="inlineStr">
        <is>
          <t xml:space="preserve">SRC-07-03</t>
        </is>
      </c>
      <c r="R534" s="15"/>
      <c r="S534" s="15"/>
    </row>
    <row r="535" ht="34" customHeight="1">
      <c r="A535" s="15" t="inlineStr">
        <is>
          <t xml:space="preserve">v0.7</t>
        </is>
      </c>
      <c r="B535" s="15" t="inlineStr">
        <is>
          <t xml:space="preserve">Bible_Journey_Canon_Map_v0_7_Gospel_Chronology.xlsx</t>
        </is>
      </c>
      <c r="C535" s="15" t="inlineStr">
        <is>
          <t xml:space="preserve">BLK-07-127</t>
        </is>
      </c>
      <c r="D535" s="15" t="inlineStr">
        <is>
          <t xml:space="preserve">CRS-07-065</t>
        </is>
      </c>
      <c r="E535" s="15">
        <v>1</v>
      </c>
      <c r="F535" s="15" t="inlineStr">
        <is>
          <t xml:space="preserve">Luke</t>
        </is>
      </c>
      <c r="G535" s="15" t="inlineStr">
        <is>
          <t xml:space="preserve">Luke 14</t>
        </is>
      </c>
      <c r="H535" s="15" t="inlineStr">
        <is>
          <t xml:space="preserve">Primary Account</t>
        </is>
      </c>
      <c r="I535" s="15"/>
      <c r="J535" s="15" t="inlineStr">
        <is>
          <t xml:space="preserve">Yes</t>
        </is>
      </c>
      <c r="K535" s="15" t="inlineStr">
        <is>
          <t xml:space="preserve">Yes</t>
        </is>
      </c>
      <c r="L535" s="15" t="inlineStr">
        <is>
          <t xml:space="preserve">Probable</t>
        </is>
      </c>
      <c r="M535" s="15" t="inlineStr">
        <is>
          <t xml:space="preserve">Probable</t>
        </is>
      </c>
      <c r="N535" s="15" t="inlineStr">
        <is>
          <t xml:space="preserve">Luke</t>
        </is>
      </c>
      <c r="O535" s="15"/>
      <c r="P535" s="15" t="inlineStr">
        <is>
          <t xml:space="preserve">14:end</t>
        </is>
      </c>
      <c r="Q535" s="15" t="inlineStr">
        <is>
          <t xml:space="preserve">SRC-07-03</t>
        </is>
      </c>
      <c r="R535" s="15"/>
      <c r="S535" s="15"/>
    </row>
    <row r="536" ht="34" customHeight="1">
      <c r="A536" s="15" t="inlineStr">
        <is>
          <t xml:space="preserve">v0.7</t>
        </is>
      </c>
      <c r="B536" s="15" t="inlineStr">
        <is>
          <t xml:space="preserve">Bible_Journey_Canon_Map_v0_7_Gospel_Chronology.xlsx</t>
        </is>
      </c>
      <c r="C536" s="15" t="inlineStr">
        <is>
          <t xml:space="preserve">BLK-07-128</t>
        </is>
      </c>
      <c r="D536" s="15" t="inlineStr">
        <is>
          <t xml:space="preserve">CRS-07-066</t>
        </is>
      </c>
      <c r="E536" s="15">
        <v>1</v>
      </c>
      <c r="F536" s="15" t="inlineStr">
        <is>
          <t xml:space="preserve">Luke</t>
        </is>
      </c>
      <c r="G536" s="15" t="inlineStr">
        <is>
          <t xml:space="preserve">Luke 15</t>
        </is>
      </c>
      <c r="H536" s="15" t="inlineStr">
        <is>
          <t xml:space="preserve">Primary Account</t>
        </is>
      </c>
      <c r="I536" s="15"/>
      <c r="J536" s="15" t="inlineStr">
        <is>
          <t xml:space="preserve">Yes</t>
        </is>
      </c>
      <c r="K536" s="15" t="inlineStr">
        <is>
          <t xml:space="preserve">Yes</t>
        </is>
      </c>
      <c r="L536" s="15" t="inlineStr">
        <is>
          <t xml:space="preserve">Probable</t>
        </is>
      </c>
      <c r="M536" s="15" t="inlineStr">
        <is>
          <t xml:space="preserve">Probable</t>
        </is>
      </c>
      <c r="N536" s="15" t="inlineStr">
        <is>
          <t xml:space="preserve">Luke</t>
        </is>
      </c>
      <c r="O536" s="15"/>
      <c r="P536" s="15" t="inlineStr">
        <is>
          <t xml:space="preserve">15:end</t>
        </is>
      </c>
      <c r="Q536" s="15" t="inlineStr">
        <is>
          <t xml:space="preserve">SRC-07-03</t>
        </is>
      </c>
      <c r="R536" s="15"/>
      <c r="S536" s="15"/>
    </row>
    <row r="537" ht="34" customHeight="1">
      <c r="A537" s="15" t="inlineStr">
        <is>
          <t xml:space="preserve">v0.7</t>
        </is>
      </c>
      <c r="B537" s="15" t="inlineStr">
        <is>
          <t xml:space="preserve">Bible_Journey_Canon_Map_v0_7_Gospel_Chronology.xlsx</t>
        </is>
      </c>
      <c r="C537" s="15" t="inlineStr">
        <is>
          <t xml:space="preserve">BLK-07-129</t>
        </is>
      </c>
      <c r="D537" s="15" t="inlineStr">
        <is>
          <t xml:space="preserve">CRS-07-067</t>
        </is>
      </c>
      <c r="E537" s="15">
        <v>1</v>
      </c>
      <c r="F537" s="15" t="inlineStr">
        <is>
          <t xml:space="preserve">Luke</t>
        </is>
      </c>
      <c r="G537" s="15" t="inlineStr">
        <is>
          <t xml:space="preserve">Luke 16</t>
        </is>
      </c>
      <c r="H537" s="15" t="inlineStr">
        <is>
          <t xml:space="preserve">Primary Account</t>
        </is>
      </c>
      <c r="I537" s="15"/>
      <c r="J537" s="15" t="inlineStr">
        <is>
          <t xml:space="preserve">Yes</t>
        </is>
      </c>
      <c r="K537" s="15" t="inlineStr">
        <is>
          <t xml:space="preserve">Yes</t>
        </is>
      </c>
      <c r="L537" s="15" t="inlineStr">
        <is>
          <t xml:space="preserve">Probable</t>
        </is>
      </c>
      <c r="M537" s="15" t="inlineStr">
        <is>
          <t xml:space="preserve">Probable</t>
        </is>
      </c>
      <c r="N537" s="15" t="inlineStr">
        <is>
          <t xml:space="preserve">Luke</t>
        </is>
      </c>
      <c r="O537" s="15"/>
      <c r="P537" s="15" t="inlineStr">
        <is>
          <t xml:space="preserve">16:end</t>
        </is>
      </c>
      <c r="Q537" s="15" t="inlineStr">
        <is>
          <t xml:space="preserve">SRC-07-03</t>
        </is>
      </c>
      <c r="R537" s="15"/>
      <c r="S537" s="15"/>
    </row>
    <row r="538" ht="34" customHeight="1">
      <c r="A538" s="15" t="inlineStr">
        <is>
          <t xml:space="preserve">v0.7</t>
        </is>
      </c>
      <c r="B538" s="15" t="inlineStr">
        <is>
          <t xml:space="preserve">Bible_Journey_Canon_Map_v0_7_Gospel_Chronology.xlsx</t>
        </is>
      </c>
      <c r="C538" s="15" t="inlineStr">
        <is>
          <t xml:space="preserve">BLK-07-130</t>
        </is>
      </c>
      <c r="D538" s="15" t="inlineStr">
        <is>
          <t xml:space="preserve">CRS-07-068</t>
        </is>
      </c>
      <c r="E538" s="15">
        <v>1</v>
      </c>
      <c r="F538" s="15" t="inlineStr">
        <is>
          <t xml:space="preserve">Luke</t>
        </is>
      </c>
      <c r="G538" s="15" t="inlineStr">
        <is>
          <t xml:space="preserve">Luke 17</t>
        </is>
      </c>
      <c r="H538" s="15" t="inlineStr">
        <is>
          <t xml:space="preserve">Primary Account</t>
        </is>
      </c>
      <c r="I538" s="15"/>
      <c r="J538" s="15" t="inlineStr">
        <is>
          <t xml:space="preserve">Yes</t>
        </is>
      </c>
      <c r="K538" s="15" t="inlineStr">
        <is>
          <t xml:space="preserve">Yes</t>
        </is>
      </c>
      <c r="L538" s="15" t="inlineStr">
        <is>
          <t xml:space="preserve">Probable</t>
        </is>
      </c>
      <c r="M538" s="15" t="inlineStr">
        <is>
          <t xml:space="preserve">Probable</t>
        </is>
      </c>
      <c r="N538" s="15" t="inlineStr">
        <is>
          <t xml:space="preserve">Luke</t>
        </is>
      </c>
      <c r="O538" s="15"/>
      <c r="P538" s="15" t="inlineStr">
        <is>
          <t xml:space="preserve">17:end</t>
        </is>
      </c>
      <c r="Q538" s="15" t="inlineStr">
        <is>
          <t xml:space="preserve">SRC-07-03</t>
        </is>
      </c>
      <c r="R538" s="15"/>
      <c r="S538" s="15"/>
    </row>
    <row r="539" ht="34" customHeight="1">
      <c r="A539" s="15" t="inlineStr">
        <is>
          <t xml:space="preserve">v0.7</t>
        </is>
      </c>
      <c r="B539" s="15" t="inlineStr">
        <is>
          <t xml:space="preserve">Bible_Journey_Canon_Map_v0_7_Gospel_Chronology.xlsx</t>
        </is>
      </c>
      <c r="C539" s="15" t="inlineStr">
        <is>
          <t xml:space="preserve">BLK-07-131</t>
        </is>
      </c>
      <c r="D539" s="15" t="inlineStr">
        <is>
          <t xml:space="preserve">CRS-07-069</t>
        </is>
      </c>
      <c r="E539" s="15">
        <v>1</v>
      </c>
      <c r="F539" s="15" t="inlineStr">
        <is>
          <t xml:space="preserve">Luke</t>
        </is>
      </c>
      <c r="G539" s="15" t="inlineStr">
        <is>
          <t xml:space="preserve">Luke 18:1-14</t>
        </is>
      </c>
      <c r="H539" s="15" t="inlineStr">
        <is>
          <t xml:space="preserve">Primary Account</t>
        </is>
      </c>
      <c r="I539" s="15"/>
      <c r="J539" s="15" t="inlineStr">
        <is>
          <t xml:space="preserve">Yes</t>
        </is>
      </c>
      <c r="K539" s="15" t="inlineStr">
        <is>
          <t xml:space="preserve">Yes</t>
        </is>
      </c>
      <c r="L539" s="15" t="inlineStr">
        <is>
          <t xml:space="preserve">Probable</t>
        </is>
      </c>
      <c r="M539" s="15" t="inlineStr">
        <is>
          <t xml:space="preserve">Probable</t>
        </is>
      </c>
      <c r="N539" s="15" t="inlineStr">
        <is>
          <t xml:space="preserve">Luke</t>
        </is>
      </c>
      <c r="O539" s="15"/>
      <c r="P539" s="15" t="inlineStr">
        <is>
          <t xml:space="preserve">18:14</t>
        </is>
      </c>
      <c r="Q539" s="15" t="inlineStr">
        <is>
          <t xml:space="preserve">SRC-07-03</t>
        </is>
      </c>
      <c r="R539" s="15"/>
      <c r="S539" s="15"/>
    </row>
    <row r="540" ht="34" customHeight="1">
      <c r="A540" s="15" t="inlineStr">
        <is>
          <t xml:space="preserve">v0.7</t>
        </is>
      </c>
      <c r="B540" s="15" t="inlineStr">
        <is>
          <t xml:space="preserve">Bible_Journey_Canon_Map_v0_7_Gospel_Chronology.xlsx</t>
        </is>
      </c>
      <c r="C540" s="15" t="inlineStr">
        <is>
          <t xml:space="preserve">BLK-07-132</t>
        </is>
      </c>
      <c r="D540" s="15" t="inlineStr">
        <is>
          <t xml:space="preserve">CRS-07-069</t>
        </is>
      </c>
      <c r="E540" s="15">
        <v>2</v>
      </c>
      <c r="F540" s="15" t="inlineStr">
        <is>
          <t xml:space="preserve">Mark</t>
        </is>
      </c>
      <c r="G540" s="15" t="inlineStr">
        <is>
          <t xml:space="preserve">Mark 10:1-31</t>
        </is>
      </c>
      <c r="H540" s="15" t="inlineStr">
        <is>
          <t xml:space="preserve">Primary Account</t>
        </is>
      </c>
      <c r="I540" s="15"/>
      <c r="J540" s="15" t="inlineStr">
        <is>
          <t xml:space="preserve">Yes</t>
        </is>
      </c>
      <c r="K540" s="15" t="inlineStr">
        <is>
          <t xml:space="preserve">Yes</t>
        </is>
      </c>
      <c r="L540" s="15" t="inlineStr">
        <is>
          <t xml:space="preserve">Probable</t>
        </is>
      </c>
      <c r="M540" s="15" t="inlineStr">
        <is>
          <t xml:space="preserve">Probable</t>
        </is>
      </c>
      <c r="N540" s="15" t="inlineStr">
        <is>
          <t xml:space="preserve">Mark</t>
        </is>
      </c>
      <c r="O540" s="15" t="inlineStr">
        <is>
          <t xml:space="preserve">CMP-07-036</t>
        </is>
      </c>
      <c r="P540" s="15" t="inlineStr">
        <is>
          <t xml:space="preserve">10:31</t>
        </is>
      </c>
      <c r="Q540" s="15" t="inlineStr">
        <is>
          <t xml:space="preserve">SRC-07-01; SRC-07-02</t>
        </is>
      </c>
      <c r="R540" s="15"/>
      <c r="S540" s="15"/>
    </row>
    <row r="541" ht="34" customHeight="1">
      <c r="A541" s="15" t="inlineStr">
        <is>
          <t xml:space="preserve">v0.7</t>
        </is>
      </c>
      <c r="B541" s="15" t="inlineStr">
        <is>
          <t xml:space="preserve">Bible_Journey_Canon_Map_v0_7_Gospel_Chronology.xlsx</t>
        </is>
      </c>
      <c r="C541" s="15" t="inlineStr">
        <is>
          <t xml:space="preserve">BLK-07-133</t>
        </is>
      </c>
      <c r="D541" s="15" t="inlineStr">
        <is>
          <t xml:space="preserve">CRS-07-069</t>
        </is>
      </c>
      <c r="E541" s="15">
        <v>3</v>
      </c>
      <c r="F541" s="15" t="inlineStr">
        <is>
          <t xml:space="preserve">Matthew</t>
        </is>
      </c>
      <c r="G541" s="15" t="inlineStr">
        <is>
          <t xml:space="preserve">Matthew 19:1-30</t>
        </is>
      </c>
      <c r="H541" s="15" t="inlineStr">
        <is>
          <t xml:space="preserve">Parallel Account</t>
        </is>
      </c>
      <c r="I541" s="15"/>
      <c r="J541" s="15" t="inlineStr">
        <is>
          <t xml:space="preserve">Yes</t>
        </is>
      </c>
      <c r="K541" s="15" t="inlineStr">
        <is>
          <t xml:space="preserve">No</t>
        </is>
      </c>
      <c r="L541" s="15" t="inlineStr">
        <is>
          <t xml:space="preserve">Probable</t>
        </is>
      </c>
      <c r="M541" s="15" t="inlineStr">
        <is>
          <t xml:space="preserve">Probable</t>
        </is>
      </c>
      <c r="N541" s="15" t="inlineStr">
        <is>
          <t xml:space="preserve">Matthew</t>
        </is>
      </c>
      <c r="O541" s="15" t="inlineStr">
        <is>
          <t xml:space="preserve">CMP-07-036</t>
        </is>
      </c>
      <c r="P541" s="15" t="inlineStr">
        <is>
          <t xml:space="preserve">19:end</t>
        </is>
      </c>
      <c r="Q541" s="15" t="inlineStr">
        <is>
          <t xml:space="preserve">SRC-07-01; SRC-07-02</t>
        </is>
      </c>
      <c r="R541" s="15"/>
      <c r="S541" s="15"/>
    </row>
    <row r="542" ht="34" customHeight="1">
      <c r="A542" s="15" t="inlineStr">
        <is>
          <t xml:space="preserve">v0.7</t>
        </is>
      </c>
      <c r="B542" s="15" t="inlineStr">
        <is>
          <t xml:space="preserve">Bible_Journey_Canon_Map_v0_7_Gospel_Chronology.xlsx</t>
        </is>
      </c>
      <c r="C542" s="15" t="inlineStr">
        <is>
          <t xml:space="preserve">BLK-07-134</t>
        </is>
      </c>
      <c r="D542" s="15" t="inlineStr">
        <is>
          <t xml:space="preserve">CRS-07-069</t>
        </is>
      </c>
      <c r="E542" s="15">
        <v>4</v>
      </c>
      <c r="F542" s="15" t="inlineStr">
        <is>
          <t xml:space="preserve">Luke</t>
        </is>
      </c>
      <c r="G542" s="15" t="inlineStr">
        <is>
          <t xml:space="preserve">Luke 18:15-30</t>
        </is>
      </c>
      <c r="H542" s="15" t="inlineStr">
        <is>
          <t xml:space="preserve">Parallel Account</t>
        </is>
      </c>
      <c r="I542" s="15"/>
      <c r="J542" s="15" t="inlineStr">
        <is>
          <t xml:space="preserve">Yes</t>
        </is>
      </c>
      <c r="K542" s="15" t="inlineStr">
        <is>
          <t xml:space="preserve">No</t>
        </is>
      </c>
      <c r="L542" s="15" t="inlineStr">
        <is>
          <t xml:space="preserve">Probable</t>
        </is>
      </c>
      <c r="M542" s="15" t="inlineStr">
        <is>
          <t xml:space="preserve">Probable</t>
        </is>
      </c>
      <c r="N542" s="15" t="inlineStr">
        <is>
          <t xml:space="preserve">Luke</t>
        </is>
      </c>
      <c r="O542" s="15" t="inlineStr">
        <is>
          <t xml:space="preserve">CMP-07-036</t>
        </is>
      </c>
      <c r="P542" s="15" t="inlineStr">
        <is>
          <t xml:space="preserve">18:30</t>
        </is>
      </c>
      <c r="Q542" s="15" t="inlineStr">
        <is>
          <t xml:space="preserve">SRC-07-01; SRC-07-02</t>
        </is>
      </c>
      <c r="R542" s="15"/>
      <c r="S542" s="15"/>
    </row>
    <row r="543" ht="34" customHeight="1">
      <c r="A543" s="15" t="inlineStr">
        <is>
          <t xml:space="preserve">v0.7</t>
        </is>
      </c>
      <c r="B543" s="15" t="inlineStr">
        <is>
          <t xml:space="preserve">Bible_Journey_Canon_Map_v0_7_Gospel_Chronology.xlsx</t>
        </is>
      </c>
      <c r="C543" s="15" t="inlineStr">
        <is>
          <t xml:space="preserve">BLK-07-200</t>
        </is>
      </c>
      <c r="D543" s="15" t="inlineStr">
        <is>
          <t xml:space="preserve">CRS-07-069</t>
        </is>
      </c>
      <c r="E543" s="15">
        <v>5</v>
      </c>
      <c r="F543" s="15" t="inlineStr">
        <is>
          <t xml:space="preserve">Matthew</t>
        </is>
      </c>
      <c r="G543" s="15" t="inlineStr">
        <is>
          <t xml:space="preserve">Matthew 20:1-16</t>
        </is>
      </c>
      <c r="H543" s="15" t="inlineStr">
        <is>
          <t xml:space="preserve">Supplementary Reading</t>
        </is>
      </c>
      <c r="I543" s="15"/>
      <c r="J543" s="15" t="inlineStr">
        <is>
          <t xml:space="preserve">Yes</t>
        </is>
      </c>
      <c r="K543" s="15" t="inlineStr">
        <is>
          <t xml:space="preserve">Yes</t>
        </is>
      </c>
      <c r="L543" s="15" t="inlineStr">
        <is>
          <t xml:space="preserve">Probable</t>
        </is>
      </c>
      <c r="M543" s="15" t="inlineStr">
        <is>
          <t xml:space="preserve">Probable</t>
        </is>
      </c>
      <c r="N543" s="15" t="inlineStr">
        <is>
          <t xml:space="preserve">Matthew</t>
        </is>
      </c>
      <c r="O543" s="15"/>
      <c r="P543" s="15" t="inlineStr">
        <is>
          <t xml:space="preserve">20:16</t>
        </is>
      </c>
      <c r="Q543" s="15" t="inlineStr">
        <is>
          <t xml:space="preserve">SRC-07-01; SRC-07-02</t>
        </is>
      </c>
      <c r="R543" s="15"/>
      <c r="S543" s="15"/>
    </row>
    <row r="544" ht="34" customHeight="1">
      <c r="A544" s="15" t="inlineStr">
        <is>
          <t xml:space="preserve">v0.7</t>
        </is>
      </c>
      <c r="B544" s="15" t="inlineStr">
        <is>
          <t xml:space="preserve">Bible_Journey_Canon_Map_v0_7_Gospel_Chronology.xlsx</t>
        </is>
      </c>
      <c r="C544" s="15" t="inlineStr">
        <is>
          <t xml:space="preserve">BLK-07-135</t>
        </is>
      </c>
      <c r="D544" s="15" t="inlineStr">
        <is>
          <t xml:space="preserve">CRS-07-070</t>
        </is>
      </c>
      <c r="E544" s="15">
        <v>1</v>
      </c>
      <c r="F544" s="15" t="inlineStr">
        <is>
          <t xml:space="preserve">Mark</t>
        </is>
      </c>
      <c r="G544" s="15" t="inlineStr">
        <is>
          <t xml:space="preserve">Mark 10:32-45</t>
        </is>
      </c>
      <c r="H544" s="15" t="inlineStr">
        <is>
          <t xml:space="preserve">Primary Account</t>
        </is>
      </c>
      <c r="I544" s="15"/>
      <c r="J544" s="15" t="inlineStr">
        <is>
          <t xml:space="preserve">Yes</t>
        </is>
      </c>
      <c r="K544" s="15" t="inlineStr">
        <is>
          <t xml:space="preserve">Yes</t>
        </is>
      </c>
      <c r="L544" s="15" t="inlineStr">
        <is>
          <t xml:space="preserve">Probable</t>
        </is>
      </c>
      <c r="M544" s="15" t="inlineStr">
        <is>
          <t xml:space="preserve">Probable</t>
        </is>
      </c>
      <c r="N544" s="15" t="inlineStr">
        <is>
          <t xml:space="preserve">Mark</t>
        </is>
      </c>
      <c r="O544" s="15" t="inlineStr">
        <is>
          <t xml:space="preserve">CMP-07-037</t>
        </is>
      </c>
      <c r="P544" s="15" t="inlineStr">
        <is>
          <t xml:space="preserve">10:45</t>
        </is>
      </c>
      <c r="Q544" s="15" t="inlineStr">
        <is>
          <t xml:space="preserve">SRC-07-01; SRC-07-02</t>
        </is>
      </c>
      <c r="R544" s="15"/>
      <c r="S544" s="15"/>
    </row>
    <row r="545" ht="34" customHeight="1">
      <c r="A545" s="15" t="inlineStr">
        <is>
          <t xml:space="preserve">v0.7</t>
        </is>
      </c>
      <c r="B545" s="15" t="inlineStr">
        <is>
          <t xml:space="preserve">Bible_Journey_Canon_Map_v0_7_Gospel_Chronology.xlsx</t>
        </is>
      </c>
      <c r="C545" s="15" t="inlineStr">
        <is>
          <t xml:space="preserve">BLK-07-136</t>
        </is>
      </c>
      <c r="D545" s="15" t="inlineStr">
        <is>
          <t xml:space="preserve">CRS-07-070</t>
        </is>
      </c>
      <c r="E545" s="15">
        <v>2</v>
      </c>
      <c r="F545" s="15" t="inlineStr">
        <is>
          <t xml:space="preserve">Matthew</t>
        </is>
      </c>
      <c r="G545" s="15" t="inlineStr">
        <is>
          <t xml:space="preserve">Matthew 20:17-28</t>
        </is>
      </c>
      <c r="H545" s="15" t="inlineStr">
        <is>
          <t xml:space="preserve">Parallel Account</t>
        </is>
      </c>
      <c r="I545" s="15"/>
      <c r="J545" s="15" t="inlineStr">
        <is>
          <t xml:space="preserve">Yes</t>
        </is>
      </c>
      <c r="K545" s="15" t="inlineStr">
        <is>
          <t xml:space="preserve">No</t>
        </is>
      </c>
      <c r="L545" s="15" t="inlineStr">
        <is>
          <t xml:space="preserve">Probable</t>
        </is>
      </c>
      <c r="M545" s="15" t="inlineStr">
        <is>
          <t xml:space="preserve">Probable</t>
        </is>
      </c>
      <c r="N545" s="15" t="inlineStr">
        <is>
          <t xml:space="preserve">Matthew</t>
        </is>
      </c>
      <c r="O545" s="15" t="inlineStr">
        <is>
          <t xml:space="preserve">CMP-07-037</t>
        </is>
      </c>
      <c r="P545" s="15" t="inlineStr">
        <is>
          <t xml:space="preserve">20:28</t>
        </is>
      </c>
      <c r="Q545" s="15" t="inlineStr">
        <is>
          <t xml:space="preserve">SRC-07-01; SRC-07-02</t>
        </is>
      </c>
      <c r="R545" s="15"/>
      <c r="S545" s="15"/>
    </row>
    <row r="546" ht="34" customHeight="1">
      <c r="A546" s="15" t="inlineStr">
        <is>
          <t xml:space="preserve">v0.7</t>
        </is>
      </c>
      <c r="B546" s="15" t="inlineStr">
        <is>
          <t xml:space="preserve">Bible_Journey_Canon_Map_v0_7_Gospel_Chronology.xlsx</t>
        </is>
      </c>
      <c r="C546" s="15" t="inlineStr">
        <is>
          <t xml:space="preserve">BLK-07-137</t>
        </is>
      </c>
      <c r="D546" s="15" t="inlineStr">
        <is>
          <t xml:space="preserve">CRS-07-070</t>
        </is>
      </c>
      <c r="E546" s="15">
        <v>3</v>
      </c>
      <c r="F546" s="15" t="inlineStr">
        <is>
          <t xml:space="preserve">Luke</t>
        </is>
      </c>
      <c r="G546" s="15" t="inlineStr">
        <is>
          <t xml:space="preserve">Luke 18:31-34</t>
        </is>
      </c>
      <c r="H546" s="15" t="inlineStr">
        <is>
          <t xml:space="preserve">Parallel Account</t>
        </is>
      </c>
      <c r="I546" s="15"/>
      <c r="J546" s="15" t="inlineStr">
        <is>
          <t xml:space="preserve">Yes</t>
        </is>
      </c>
      <c r="K546" s="15" t="inlineStr">
        <is>
          <t xml:space="preserve">No</t>
        </is>
      </c>
      <c r="L546" s="15" t="inlineStr">
        <is>
          <t xml:space="preserve">Probable</t>
        </is>
      </c>
      <c r="M546" s="15" t="inlineStr">
        <is>
          <t xml:space="preserve">Probable</t>
        </is>
      </c>
      <c r="N546" s="15" t="inlineStr">
        <is>
          <t xml:space="preserve">Luke</t>
        </is>
      </c>
      <c r="O546" s="15" t="inlineStr">
        <is>
          <t xml:space="preserve">CMP-07-037</t>
        </is>
      </c>
      <c r="P546" s="15" t="inlineStr">
        <is>
          <t xml:space="preserve">18:34</t>
        </is>
      </c>
      <c r="Q546" s="15" t="inlineStr">
        <is>
          <t xml:space="preserve">SRC-07-01; SRC-07-02</t>
        </is>
      </c>
      <c r="R546" s="15"/>
      <c r="S546" s="15"/>
    </row>
    <row r="547" ht="34" customHeight="1">
      <c r="A547" s="15" t="inlineStr">
        <is>
          <t xml:space="preserve">v0.7</t>
        </is>
      </c>
      <c r="B547" s="15" t="inlineStr">
        <is>
          <t xml:space="preserve">Bible_Journey_Canon_Map_v0_7_Gospel_Chronology.xlsx</t>
        </is>
      </c>
      <c r="C547" s="15" t="inlineStr">
        <is>
          <t xml:space="preserve">BLK-07-138</t>
        </is>
      </c>
      <c r="D547" s="15" t="inlineStr">
        <is>
          <t xml:space="preserve">CRS-07-071</t>
        </is>
      </c>
      <c r="E547" s="15">
        <v>1</v>
      </c>
      <c r="F547" s="15" t="inlineStr">
        <is>
          <t xml:space="preserve">Mark</t>
        </is>
      </c>
      <c r="G547" s="15" t="inlineStr">
        <is>
          <t xml:space="preserve">Mark 10:46-52</t>
        </is>
      </c>
      <c r="H547" s="15" t="inlineStr">
        <is>
          <t xml:space="preserve">Primary Account</t>
        </is>
      </c>
      <c r="I547" s="15"/>
      <c r="J547" s="15" t="inlineStr">
        <is>
          <t xml:space="preserve">Yes</t>
        </is>
      </c>
      <c r="K547" s="15" t="inlineStr">
        <is>
          <t xml:space="preserve">Yes</t>
        </is>
      </c>
      <c r="L547" s="15" t="inlineStr">
        <is>
          <t xml:space="preserve">Probable</t>
        </is>
      </c>
      <c r="M547" s="15" t="inlineStr">
        <is>
          <t xml:space="preserve">Probable</t>
        </is>
      </c>
      <c r="N547" s="15" t="inlineStr">
        <is>
          <t xml:space="preserve">Mark</t>
        </is>
      </c>
      <c r="O547" s="15" t="inlineStr">
        <is>
          <t xml:space="preserve">CMP-07-038</t>
        </is>
      </c>
      <c r="P547" s="15" t="inlineStr">
        <is>
          <t xml:space="preserve">10:end</t>
        </is>
      </c>
      <c r="Q547" s="15" t="inlineStr">
        <is>
          <t xml:space="preserve">SRC-07-01; SRC-07-02</t>
        </is>
      </c>
      <c r="R547" s="15"/>
      <c r="S547" s="15"/>
    </row>
    <row r="548" ht="34" customHeight="1">
      <c r="A548" s="15" t="inlineStr">
        <is>
          <t xml:space="preserve">v0.7</t>
        </is>
      </c>
      <c r="B548" s="15" t="inlineStr">
        <is>
          <t xml:space="preserve">Bible_Journey_Canon_Map_v0_7_Gospel_Chronology.xlsx</t>
        </is>
      </c>
      <c r="C548" s="15" t="inlineStr">
        <is>
          <t xml:space="preserve">BLK-07-139</t>
        </is>
      </c>
      <c r="D548" s="15" t="inlineStr">
        <is>
          <t xml:space="preserve">CRS-07-071</t>
        </is>
      </c>
      <c r="E548" s="15">
        <v>2</v>
      </c>
      <c r="F548" s="15" t="inlineStr">
        <is>
          <t xml:space="preserve">Matthew</t>
        </is>
      </c>
      <c r="G548" s="15" t="inlineStr">
        <is>
          <t xml:space="preserve">Matthew 20:29-34</t>
        </is>
      </c>
      <c r="H548" s="15" t="inlineStr">
        <is>
          <t xml:space="preserve">Parallel Account</t>
        </is>
      </c>
      <c r="I548" s="15"/>
      <c r="J548" s="15" t="inlineStr">
        <is>
          <t xml:space="preserve">Yes</t>
        </is>
      </c>
      <c r="K548" s="15" t="inlineStr">
        <is>
          <t xml:space="preserve">No</t>
        </is>
      </c>
      <c r="L548" s="15" t="inlineStr">
        <is>
          <t xml:space="preserve">Probable</t>
        </is>
      </c>
      <c r="M548" s="15" t="inlineStr">
        <is>
          <t xml:space="preserve">Probable</t>
        </is>
      </c>
      <c r="N548" s="15" t="inlineStr">
        <is>
          <t xml:space="preserve">Matthew</t>
        </is>
      </c>
      <c r="O548" s="15" t="inlineStr">
        <is>
          <t xml:space="preserve">CMP-07-038</t>
        </is>
      </c>
      <c r="P548" s="15" t="inlineStr">
        <is>
          <t xml:space="preserve">20:end</t>
        </is>
      </c>
      <c r="Q548" s="15" t="inlineStr">
        <is>
          <t xml:space="preserve">SRC-07-01; SRC-07-02</t>
        </is>
      </c>
      <c r="R548" s="15"/>
      <c r="S548" s="15"/>
    </row>
    <row r="549" ht="34" customHeight="1">
      <c r="A549" s="15" t="inlineStr">
        <is>
          <t xml:space="preserve">v0.7</t>
        </is>
      </c>
      <c r="B549" s="15" t="inlineStr">
        <is>
          <t xml:space="preserve">Bible_Journey_Canon_Map_v0_7_Gospel_Chronology.xlsx</t>
        </is>
      </c>
      <c r="C549" s="15" t="inlineStr">
        <is>
          <t xml:space="preserve">BLK-07-140</t>
        </is>
      </c>
      <c r="D549" s="15" t="inlineStr">
        <is>
          <t xml:space="preserve">CRS-07-071</t>
        </is>
      </c>
      <c r="E549" s="15">
        <v>3</v>
      </c>
      <c r="F549" s="15" t="inlineStr">
        <is>
          <t xml:space="preserve">Luke</t>
        </is>
      </c>
      <c r="G549" s="15" t="inlineStr">
        <is>
          <t xml:space="preserve">Luke 18:35-43</t>
        </is>
      </c>
      <c r="H549" s="15" t="inlineStr">
        <is>
          <t xml:space="preserve">Parallel Account</t>
        </is>
      </c>
      <c r="I549" s="15"/>
      <c r="J549" s="15" t="inlineStr">
        <is>
          <t xml:space="preserve">Yes</t>
        </is>
      </c>
      <c r="K549" s="15" t="inlineStr">
        <is>
          <t xml:space="preserve">No</t>
        </is>
      </c>
      <c r="L549" s="15" t="inlineStr">
        <is>
          <t xml:space="preserve">Probable</t>
        </is>
      </c>
      <c r="M549" s="15" t="inlineStr">
        <is>
          <t xml:space="preserve">Probable</t>
        </is>
      </c>
      <c r="N549" s="15" t="inlineStr">
        <is>
          <t xml:space="preserve">Luke</t>
        </is>
      </c>
      <c r="O549" s="15" t="inlineStr">
        <is>
          <t xml:space="preserve">CMP-07-038</t>
        </is>
      </c>
      <c r="P549" s="15" t="inlineStr">
        <is>
          <t xml:space="preserve">18:end</t>
        </is>
      </c>
      <c r="Q549" s="15" t="inlineStr">
        <is>
          <t xml:space="preserve">SRC-07-01; SRC-07-02</t>
        </is>
      </c>
      <c r="R549" s="15"/>
      <c r="S549" s="15"/>
    </row>
    <row r="550" ht="34" customHeight="1">
      <c r="A550" s="15" t="inlineStr">
        <is>
          <t xml:space="preserve">v0.7</t>
        </is>
      </c>
      <c r="B550" s="15" t="inlineStr">
        <is>
          <t xml:space="preserve">Bible_Journey_Canon_Map_v0_7_Gospel_Chronology.xlsx</t>
        </is>
      </c>
      <c r="C550" s="15" t="inlineStr">
        <is>
          <t xml:space="preserve">BLK-07-141</t>
        </is>
      </c>
      <c r="D550" s="15" t="inlineStr">
        <is>
          <t xml:space="preserve">CRS-07-072</t>
        </is>
      </c>
      <c r="E550" s="15">
        <v>1</v>
      </c>
      <c r="F550" s="15" t="inlineStr">
        <is>
          <t xml:space="preserve">Luke</t>
        </is>
      </c>
      <c r="G550" s="15" t="inlineStr">
        <is>
          <t xml:space="preserve">Luke 19:1-27</t>
        </is>
      </c>
      <c r="H550" s="15" t="inlineStr">
        <is>
          <t xml:space="preserve">Primary Account</t>
        </is>
      </c>
      <c r="I550" s="15"/>
      <c r="J550" s="15" t="inlineStr">
        <is>
          <t xml:space="preserve">Yes</t>
        </is>
      </c>
      <c r="K550" s="15" t="inlineStr">
        <is>
          <t xml:space="preserve">Yes</t>
        </is>
      </c>
      <c r="L550" s="15" t="inlineStr">
        <is>
          <t xml:space="preserve">Probable</t>
        </is>
      </c>
      <c r="M550" s="15" t="inlineStr">
        <is>
          <t xml:space="preserve">Probable</t>
        </is>
      </c>
      <c r="N550" s="15" t="inlineStr">
        <is>
          <t xml:space="preserve">Luke</t>
        </is>
      </c>
      <c r="O550" s="15"/>
      <c r="P550" s="15" t="inlineStr">
        <is>
          <t xml:space="preserve">19:27</t>
        </is>
      </c>
      <c r="Q550" s="15" t="inlineStr">
        <is>
          <t xml:space="preserve">SRC-07-03</t>
        </is>
      </c>
      <c r="R550" s="15"/>
      <c r="S550" s="15"/>
    </row>
    <row r="551" ht="34" customHeight="1">
      <c r="A551" s="15" t="inlineStr">
        <is>
          <t xml:space="preserve">v0.7</t>
        </is>
      </c>
      <c r="B551" s="15" t="inlineStr">
        <is>
          <t xml:space="preserve">Bible_Journey_Canon_Map_v0_7_Gospel_Chronology.xlsx</t>
        </is>
      </c>
      <c r="C551" s="15" t="inlineStr">
        <is>
          <t xml:space="preserve">BLK-07-142</t>
        </is>
      </c>
      <c r="D551" s="15" t="inlineStr">
        <is>
          <t xml:space="preserve">CRS-07-073</t>
        </is>
      </c>
      <c r="E551" s="15">
        <v>1</v>
      </c>
      <c r="F551" s="15" t="inlineStr">
        <is>
          <t xml:space="preserve">John</t>
        </is>
      </c>
      <c r="G551" s="15" t="inlineStr">
        <is>
          <t xml:space="preserve">John 11:1-54</t>
        </is>
      </c>
      <c r="H551" s="15" t="inlineStr">
        <is>
          <t xml:space="preserve">Primary Account</t>
        </is>
      </c>
      <c r="I551" s="15"/>
      <c r="J551" s="15" t="inlineStr">
        <is>
          <t xml:space="preserve">Yes</t>
        </is>
      </c>
      <c r="K551" s="15" t="inlineStr">
        <is>
          <t xml:space="preserve">Yes</t>
        </is>
      </c>
      <c r="L551" s="15" t="inlineStr">
        <is>
          <t xml:space="preserve">Probable</t>
        </is>
      </c>
      <c r="M551" s="15" t="inlineStr">
        <is>
          <t xml:space="preserve">Probable</t>
        </is>
      </c>
      <c r="N551" s="15" t="inlineStr">
        <is>
          <t xml:space="preserve">John</t>
        </is>
      </c>
      <c r="O551" s="15"/>
      <c r="P551" s="15" t="inlineStr">
        <is>
          <t xml:space="preserve">11:54</t>
        </is>
      </c>
      <c r="Q551" s="15" t="inlineStr">
        <is>
          <t xml:space="preserve">SRC-07-10</t>
        </is>
      </c>
      <c r="R551" s="15"/>
      <c r="S551" s="15"/>
    </row>
    <row r="552" ht="34" customHeight="1">
      <c r="A552" s="15" t="inlineStr">
        <is>
          <t xml:space="preserve">v0.7</t>
        </is>
      </c>
      <c r="B552" s="15" t="inlineStr">
        <is>
          <t xml:space="preserve">Bible_Journey_Canon_Map_v0_7_Gospel_Chronology.xlsx</t>
        </is>
      </c>
      <c r="C552" s="15" t="inlineStr">
        <is>
          <t xml:space="preserve">BLK-07-202</t>
        </is>
      </c>
      <c r="D552" s="15" t="inlineStr">
        <is>
          <t xml:space="preserve">CRS-07-073</t>
        </is>
      </c>
      <c r="E552" s="15">
        <v>2</v>
      </c>
      <c r="F552" s="15" t="inlineStr">
        <is>
          <t xml:space="preserve">John</t>
        </is>
      </c>
      <c r="G552" s="15" t="inlineStr">
        <is>
          <t xml:space="preserve">John 11:55-57</t>
        </is>
      </c>
      <c r="H552" s="15" t="inlineStr">
        <is>
          <t xml:space="preserve">Supplementary Reading</t>
        </is>
      </c>
      <c r="I552" s="15"/>
      <c r="J552" s="15" t="inlineStr">
        <is>
          <t xml:space="preserve">Yes</t>
        </is>
      </c>
      <c r="K552" s="15" t="inlineStr">
        <is>
          <t xml:space="preserve">Yes</t>
        </is>
      </c>
      <c r="L552" s="15" t="inlineStr">
        <is>
          <t xml:space="preserve">Probable</t>
        </is>
      </c>
      <c r="M552" s="15" t="inlineStr">
        <is>
          <t xml:space="preserve">Probable</t>
        </is>
      </c>
      <c r="N552" s="15" t="inlineStr">
        <is>
          <t xml:space="preserve">John</t>
        </is>
      </c>
      <c r="O552" s="15"/>
      <c r="P552" s="15" t="inlineStr">
        <is>
          <t xml:space="preserve">11:end</t>
        </is>
      </c>
      <c r="Q552" s="15" t="inlineStr">
        <is>
          <t xml:space="preserve">SRC-07-10</t>
        </is>
      </c>
      <c r="R552" s="15"/>
      <c r="S552" s="15"/>
    </row>
    <row r="553" ht="34" customHeight="1">
      <c r="A553" s="15" t="inlineStr">
        <is>
          <t xml:space="preserve">v0.7</t>
        </is>
      </c>
      <c r="B553" s="15" t="inlineStr">
        <is>
          <t xml:space="preserve">Bible_Journey_Canon_Map_v0_7_Gospel_Chronology.xlsx</t>
        </is>
      </c>
      <c r="C553" s="15" t="inlineStr">
        <is>
          <t xml:space="preserve">BLK-07-143</t>
        </is>
      </c>
      <c r="D553" s="15" t="inlineStr">
        <is>
          <t xml:space="preserve">CRS-07-074</t>
        </is>
      </c>
      <c r="E553" s="15">
        <v>1</v>
      </c>
      <c r="F553" s="15" t="inlineStr">
        <is>
          <t xml:space="preserve">John</t>
        </is>
      </c>
      <c r="G553" s="15" t="inlineStr">
        <is>
          <t xml:space="preserve">John 12:1-11</t>
        </is>
      </c>
      <c r="H553" s="15" t="inlineStr">
        <is>
          <t xml:space="preserve">Primary Account</t>
        </is>
      </c>
      <c r="I553" s="15"/>
      <c r="J553" s="15" t="inlineStr">
        <is>
          <t xml:space="preserve">Yes</t>
        </is>
      </c>
      <c r="K553" s="15" t="inlineStr">
        <is>
          <t xml:space="preserve">Yes</t>
        </is>
      </c>
      <c r="L553" s="15" t="inlineStr">
        <is>
          <t xml:space="preserve">Probable</t>
        </is>
      </c>
      <c r="M553" s="15" t="inlineStr">
        <is>
          <t xml:space="preserve">Probable</t>
        </is>
      </c>
      <c r="N553" s="15" t="inlineStr">
        <is>
          <t xml:space="preserve">John</t>
        </is>
      </c>
      <c r="O553" s="15" t="inlineStr">
        <is>
          <t xml:space="preserve">CMP-07-039</t>
        </is>
      </c>
      <c r="P553" s="15" t="inlineStr">
        <is>
          <t xml:space="preserve">12:11</t>
        </is>
      </c>
      <c r="Q553" s="15" t="inlineStr">
        <is>
          <t xml:space="preserve">SRC-07-01; SRC-07-09; SRC-07-10</t>
        </is>
      </c>
      <c r="R553" s="15"/>
      <c r="S553" s="15"/>
    </row>
    <row r="554" ht="34" customHeight="1">
      <c r="A554" s="15" t="inlineStr">
        <is>
          <t xml:space="preserve">v0.7</t>
        </is>
      </c>
      <c r="B554" s="15" t="inlineStr">
        <is>
          <t xml:space="preserve">Bible_Journey_Canon_Map_v0_7_Gospel_Chronology.xlsx</t>
        </is>
      </c>
      <c r="C554" s="15" t="inlineStr">
        <is>
          <t xml:space="preserve">BLK-07-144</t>
        </is>
      </c>
      <c r="D554" s="15" t="inlineStr">
        <is>
          <t xml:space="preserve">CRS-07-074</t>
        </is>
      </c>
      <c r="E554" s="15">
        <v>2</v>
      </c>
      <c r="F554" s="15" t="inlineStr">
        <is>
          <t xml:space="preserve">Mark</t>
        </is>
      </c>
      <c r="G554" s="15" t="inlineStr">
        <is>
          <t xml:space="preserve">Mark 14:3-9</t>
        </is>
      </c>
      <c r="H554" s="15" t="inlineStr">
        <is>
          <t xml:space="preserve">Parallel Account</t>
        </is>
      </c>
      <c r="I554" s="15"/>
      <c r="J554" s="15" t="inlineStr">
        <is>
          <t xml:space="preserve">Yes</t>
        </is>
      </c>
      <c r="K554" s="15" t="inlineStr">
        <is>
          <t xml:space="preserve">No</t>
        </is>
      </c>
      <c r="L554" s="15" t="inlineStr">
        <is>
          <t xml:space="preserve">Probable</t>
        </is>
      </c>
      <c r="M554" s="15" t="inlineStr">
        <is>
          <t xml:space="preserve">Probable</t>
        </is>
      </c>
      <c r="N554" s="15" t="inlineStr">
        <is>
          <t xml:space="preserve">Read here in Complete Chronological Reading; preserve Mark-order context in Study Mode.</t>
        </is>
      </c>
      <c r="O554" s="15" t="inlineStr">
        <is>
          <t xml:space="preserve">CMP-07-039</t>
        </is>
      </c>
      <c r="P554" s="15" t="inlineStr">
        <is>
          <t xml:space="preserve">14:9</t>
        </is>
      </c>
      <c r="Q554" s="15" t="inlineStr">
        <is>
          <t xml:space="preserve">SRC-07-01; SRC-07-09</t>
        </is>
      </c>
      <c r="R554" s="15"/>
      <c r="S554" s="15"/>
    </row>
    <row r="555" ht="34" customHeight="1">
      <c r="A555" s="15" t="inlineStr">
        <is>
          <t xml:space="preserve">v0.7</t>
        </is>
      </c>
      <c r="B555" s="15" t="inlineStr">
        <is>
          <t xml:space="preserve">Bible_Journey_Canon_Map_v0_7_Gospel_Chronology.xlsx</t>
        </is>
      </c>
      <c r="C555" s="15" t="inlineStr">
        <is>
          <t xml:space="preserve">BLK-07-145</t>
        </is>
      </c>
      <c r="D555" s="15" t="inlineStr">
        <is>
          <t xml:space="preserve">CRS-07-074</t>
        </is>
      </c>
      <c r="E555" s="15">
        <v>3</v>
      </c>
      <c r="F555" s="15" t="inlineStr">
        <is>
          <t xml:space="preserve">Matthew</t>
        </is>
      </c>
      <c r="G555" s="15" t="inlineStr">
        <is>
          <t xml:space="preserve">Matthew 26:6-13</t>
        </is>
      </c>
      <c r="H555" s="15" t="inlineStr">
        <is>
          <t xml:space="preserve">Parallel Account</t>
        </is>
      </c>
      <c r="I555" s="15"/>
      <c r="J555" s="15" t="inlineStr">
        <is>
          <t xml:space="preserve">Yes</t>
        </is>
      </c>
      <c r="K555" s="15" t="inlineStr">
        <is>
          <t xml:space="preserve">No</t>
        </is>
      </c>
      <c r="L555" s="15" t="inlineStr">
        <is>
          <t xml:space="preserve">Probable</t>
        </is>
      </c>
      <c r="M555" s="15" t="inlineStr">
        <is>
          <t xml:space="preserve">Probable</t>
        </is>
      </c>
      <c r="N555" s="15" t="inlineStr">
        <is>
          <t xml:space="preserve">Read here in Complete Chronological Reading; preserve Matthew-order context in Study Mode.</t>
        </is>
      </c>
      <c r="O555" s="15" t="inlineStr">
        <is>
          <t xml:space="preserve">CMP-07-039</t>
        </is>
      </c>
      <c r="P555" s="15" t="inlineStr">
        <is>
          <t xml:space="preserve">26:13</t>
        </is>
      </c>
      <c r="Q555" s="15" t="inlineStr">
        <is>
          <t xml:space="preserve">SRC-07-01; SRC-07-09</t>
        </is>
      </c>
      <c r="R555" s="15"/>
      <c r="S555" s="15"/>
    </row>
    <row r="556" ht="34" customHeight="1">
      <c r="A556" s="15" t="inlineStr">
        <is>
          <t xml:space="preserve">v0.7</t>
        </is>
      </c>
      <c r="B556" s="15" t="inlineStr">
        <is>
          <t xml:space="preserve">Bible_Journey_Canon_Map_v0_7_Gospel_Chronology.xlsx</t>
        </is>
      </c>
      <c r="C556" s="15" t="inlineStr">
        <is>
          <t xml:space="preserve">BLK-07-146</t>
        </is>
      </c>
      <c r="D556" s="15" t="inlineStr">
        <is>
          <t xml:space="preserve">CRS-07-075</t>
        </is>
      </c>
      <c r="E556" s="15">
        <v>1</v>
      </c>
      <c r="F556" s="15" t="inlineStr">
        <is>
          <t xml:space="preserve">Mark</t>
        </is>
      </c>
      <c r="G556" s="15" t="inlineStr">
        <is>
          <t xml:space="preserve">Mark 11:1-11</t>
        </is>
      </c>
      <c r="H556" s="15" t="inlineStr">
        <is>
          <t xml:space="preserve">Primary Account</t>
        </is>
      </c>
      <c r="I556" s="15"/>
      <c r="J556" s="15" t="inlineStr">
        <is>
          <t xml:space="preserve">Yes</t>
        </is>
      </c>
      <c r="K556" s="15" t="inlineStr">
        <is>
          <t xml:space="preserve">Yes</t>
        </is>
      </c>
      <c r="L556" s="15" t="inlineStr">
        <is>
          <t xml:space="preserve">Probable</t>
        </is>
      </c>
      <c r="M556" s="15" t="inlineStr">
        <is>
          <t xml:space="preserve">Probable</t>
        </is>
      </c>
      <c r="N556" s="15" t="inlineStr">
        <is>
          <t xml:space="preserve">Mark</t>
        </is>
      </c>
      <c r="O556" s="15" t="inlineStr">
        <is>
          <t xml:space="preserve">CMP-07-040</t>
        </is>
      </c>
      <c r="P556" s="15" t="inlineStr">
        <is>
          <t xml:space="preserve">11:11</t>
        </is>
      </c>
      <c r="Q556" s="15" t="inlineStr">
        <is>
          <t xml:space="preserve">SRC-07-01; SRC-07-02; SRC-07-03</t>
        </is>
      </c>
      <c r="R556" s="15"/>
      <c r="S556" s="15"/>
    </row>
    <row r="557" ht="34" customHeight="1">
      <c r="A557" s="15" t="inlineStr">
        <is>
          <t xml:space="preserve">v0.7</t>
        </is>
      </c>
      <c r="B557" s="15" t="inlineStr">
        <is>
          <t xml:space="preserve">Bible_Journey_Canon_Map_v0_7_Gospel_Chronology.xlsx</t>
        </is>
      </c>
      <c r="C557" s="15" t="inlineStr">
        <is>
          <t xml:space="preserve">BLK-07-147</t>
        </is>
      </c>
      <c r="D557" s="15" t="inlineStr">
        <is>
          <t xml:space="preserve">CRS-07-075</t>
        </is>
      </c>
      <c r="E557" s="15">
        <v>2</v>
      </c>
      <c r="F557" s="15" t="inlineStr">
        <is>
          <t xml:space="preserve">Matthew</t>
        </is>
      </c>
      <c r="G557" s="15" t="inlineStr">
        <is>
          <t xml:space="preserve">Matthew 21:1-11</t>
        </is>
      </c>
      <c r="H557" s="15" t="inlineStr">
        <is>
          <t xml:space="preserve">Parallel Account</t>
        </is>
      </c>
      <c r="I557" s="15"/>
      <c r="J557" s="15" t="inlineStr">
        <is>
          <t xml:space="preserve">Yes</t>
        </is>
      </c>
      <c r="K557" s="15" t="inlineStr">
        <is>
          <t xml:space="preserve">No</t>
        </is>
      </c>
      <c r="L557" s="15" t="inlineStr">
        <is>
          <t xml:space="preserve">Probable</t>
        </is>
      </c>
      <c r="M557" s="15" t="inlineStr">
        <is>
          <t xml:space="preserve">Probable</t>
        </is>
      </c>
      <c r="N557" s="15" t="inlineStr">
        <is>
          <t xml:space="preserve">Matthew</t>
        </is>
      </c>
      <c r="O557" s="15" t="inlineStr">
        <is>
          <t xml:space="preserve">CMP-07-040</t>
        </is>
      </c>
      <c r="P557" s="15" t="inlineStr">
        <is>
          <t xml:space="preserve">21:11</t>
        </is>
      </c>
      <c r="Q557" s="15" t="inlineStr">
        <is>
          <t xml:space="preserve">SRC-07-01; SRC-07-02; SRC-07-03</t>
        </is>
      </c>
      <c r="R557" s="15"/>
      <c r="S557" s="15"/>
    </row>
    <row r="558" ht="34" customHeight="1">
      <c r="A558" s="15" t="inlineStr">
        <is>
          <t xml:space="preserve">v0.7</t>
        </is>
      </c>
      <c r="B558" s="15" t="inlineStr">
        <is>
          <t xml:space="preserve">Bible_Journey_Canon_Map_v0_7_Gospel_Chronology.xlsx</t>
        </is>
      </c>
      <c r="C558" s="15" t="inlineStr">
        <is>
          <t xml:space="preserve">BLK-07-148</t>
        </is>
      </c>
      <c r="D558" s="15" t="inlineStr">
        <is>
          <t xml:space="preserve">CRS-07-075</t>
        </is>
      </c>
      <c r="E558" s="15">
        <v>3</v>
      </c>
      <c r="F558" s="15" t="inlineStr">
        <is>
          <t xml:space="preserve">Luke</t>
        </is>
      </c>
      <c r="G558" s="15" t="inlineStr">
        <is>
          <t xml:space="preserve">Luke 19:28-44</t>
        </is>
      </c>
      <c r="H558" s="15" t="inlineStr">
        <is>
          <t xml:space="preserve">Parallel Account</t>
        </is>
      </c>
      <c r="I558" s="15"/>
      <c r="J558" s="15" t="inlineStr">
        <is>
          <t xml:space="preserve">Yes</t>
        </is>
      </c>
      <c r="K558" s="15" t="inlineStr">
        <is>
          <t xml:space="preserve">No</t>
        </is>
      </c>
      <c r="L558" s="15" t="inlineStr">
        <is>
          <t xml:space="preserve">Probable</t>
        </is>
      </c>
      <c r="M558" s="15" t="inlineStr">
        <is>
          <t xml:space="preserve">Probable</t>
        </is>
      </c>
      <c r="N558" s="15" t="inlineStr">
        <is>
          <t xml:space="preserve">Luke</t>
        </is>
      </c>
      <c r="O558" s="15" t="inlineStr">
        <is>
          <t xml:space="preserve">CMP-07-040</t>
        </is>
      </c>
      <c r="P558" s="15" t="inlineStr">
        <is>
          <t xml:space="preserve">19:44</t>
        </is>
      </c>
      <c r="Q558" s="15" t="inlineStr">
        <is>
          <t xml:space="preserve">SRC-07-01; SRC-07-02; SRC-07-03</t>
        </is>
      </c>
      <c r="R558" s="15"/>
      <c r="S558" s="15"/>
    </row>
    <row r="559" ht="34" customHeight="1">
      <c r="A559" s="15" t="inlineStr">
        <is>
          <t xml:space="preserve">v0.7</t>
        </is>
      </c>
      <c r="B559" s="15" t="inlineStr">
        <is>
          <t xml:space="preserve">Bible_Journey_Canon_Map_v0_7_Gospel_Chronology.xlsx</t>
        </is>
      </c>
      <c r="C559" s="15" t="inlineStr">
        <is>
          <t xml:space="preserve">BLK-07-149</t>
        </is>
      </c>
      <c r="D559" s="15" t="inlineStr">
        <is>
          <t xml:space="preserve">CRS-07-075</t>
        </is>
      </c>
      <c r="E559" s="15">
        <v>4</v>
      </c>
      <c r="F559" s="15" t="inlineStr">
        <is>
          <t xml:space="preserve">John</t>
        </is>
      </c>
      <c r="G559" s="15" t="inlineStr">
        <is>
          <t xml:space="preserve">John 12:12-19</t>
        </is>
      </c>
      <c r="H559" s="15" t="inlineStr">
        <is>
          <t xml:space="preserve">Parallel Account</t>
        </is>
      </c>
      <c r="I559" s="15"/>
      <c r="J559" s="15" t="inlineStr">
        <is>
          <t xml:space="preserve">Yes</t>
        </is>
      </c>
      <c r="K559" s="15" t="inlineStr">
        <is>
          <t xml:space="preserve">No</t>
        </is>
      </c>
      <c r="L559" s="15" t="inlineStr">
        <is>
          <t xml:space="preserve">Probable</t>
        </is>
      </c>
      <c r="M559" s="15" t="inlineStr">
        <is>
          <t xml:space="preserve">Probable</t>
        </is>
      </c>
      <c r="N559" s="15" t="inlineStr">
        <is>
          <t xml:space="preserve">John</t>
        </is>
      </c>
      <c r="O559" s="15" t="inlineStr">
        <is>
          <t xml:space="preserve">CMP-07-040</t>
        </is>
      </c>
      <c r="P559" s="15" t="inlineStr">
        <is>
          <t xml:space="preserve">12:19</t>
        </is>
      </c>
      <c r="Q559" s="15" t="inlineStr">
        <is>
          <t xml:space="preserve">SRC-07-01; SRC-07-02; SRC-07-03</t>
        </is>
      </c>
      <c r="R559" s="15"/>
      <c r="S559" s="15"/>
    </row>
    <row r="560" ht="34" customHeight="1">
      <c r="A560" s="15" t="inlineStr">
        <is>
          <t xml:space="preserve">v0.7</t>
        </is>
      </c>
      <c r="B560" s="15" t="inlineStr">
        <is>
          <t xml:space="preserve">Bible_Journey_Canon_Map_v0_7_Gospel_Chronology.xlsx</t>
        </is>
      </c>
      <c r="C560" s="15" t="inlineStr">
        <is>
          <t xml:space="preserve">BLK-07-150</t>
        </is>
      </c>
      <c r="D560" s="15" t="inlineStr">
        <is>
          <t xml:space="preserve">CRS-07-076</t>
        </is>
      </c>
      <c r="E560" s="15">
        <v>1</v>
      </c>
      <c r="F560" s="15" t="inlineStr">
        <is>
          <t xml:space="preserve">Mark</t>
        </is>
      </c>
      <c r="G560" s="15" t="inlineStr">
        <is>
          <t xml:space="preserve">Mark 11:12-26</t>
        </is>
      </c>
      <c r="H560" s="15" t="inlineStr">
        <is>
          <t xml:space="preserve">Primary Account</t>
        </is>
      </c>
      <c r="I560" s="15"/>
      <c r="J560" s="15" t="inlineStr">
        <is>
          <t xml:space="preserve">Yes</t>
        </is>
      </c>
      <c r="K560" s="15" t="inlineStr">
        <is>
          <t xml:space="preserve">Yes</t>
        </is>
      </c>
      <c r="L560" s="15" t="inlineStr">
        <is>
          <t xml:space="preserve">Probable</t>
        </is>
      </c>
      <c r="M560" s="15" t="inlineStr">
        <is>
          <t xml:space="preserve">Probable</t>
        </is>
      </c>
      <c r="N560" s="15" t="inlineStr">
        <is>
          <t xml:space="preserve">Mark</t>
        </is>
      </c>
      <c r="O560" s="15" t="inlineStr">
        <is>
          <t xml:space="preserve">CMP-07-041</t>
        </is>
      </c>
      <c r="P560" s="15" t="inlineStr">
        <is>
          <t xml:space="preserve">11:26</t>
        </is>
      </c>
      <c r="Q560" s="15" t="inlineStr">
        <is>
          <t xml:space="preserve">SRC-07-01; SRC-07-02</t>
        </is>
      </c>
      <c r="R560" s="15"/>
      <c r="S560" s="15"/>
    </row>
    <row r="561" ht="34" customHeight="1">
      <c r="A561" s="15" t="inlineStr">
        <is>
          <t xml:space="preserve">v0.7</t>
        </is>
      </c>
      <c r="B561" s="15" t="inlineStr">
        <is>
          <t xml:space="preserve">Bible_Journey_Canon_Map_v0_7_Gospel_Chronology.xlsx</t>
        </is>
      </c>
      <c r="C561" s="15" t="inlineStr">
        <is>
          <t xml:space="preserve">BLK-07-151</t>
        </is>
      </c>
      <c r="D561" s="15" t="inlineStr">
        <is>
          <t xml:space="preserve">CRS-07-076</t>
        </is>
      </c>
      <c r="E561" s="15">
        <v>2</v>
      </c>
      <c r="F561" s="15" t="inlineStr">
        <is>
          <t xml:space="preserve">Matthew</t>
        </is>
      </c>
      <c r="G561" s="15" t="inlineStr">
        <is>
          <t xml:space="preserve">Matthew 21:12-22</t>
        </is>
      </c>
      <c r="H561" s="15" t="inlineStr">
        <is>
          <t xml:space="preserve">Parallel Account</t>
        </is>
      </c>
      <c r="I561" s="15"/>
      <c r="J561" s="15" t="inlineStr">
        <is>
          <t xml:space="preserve">Yes</t>
        </is>
      </c>
      <c r="K561" s="15" t="inlineStr">
        <is>
          <t xml:space="preserve">No</t>
        </is>
      </c>
      <c r="L561" s="15" t="inlineStr">
        <is>
          <t xml:space="preserve">Probable</t>
        </is>
      </c>
      <c r="M561" s="15" t="inlineStr">
        <is>
          <t xml:space="preserve">Probable</t>
        </is>
      </c>
      <c r="N561" s="15" t="inlineStr">
        <is>
          <t xml:space="preserve">Matthew</t>
        </is>
      </c>
      <c r="O561" s="15" t="inlineStr">
        <is>
          <t xml:space="preserve">CMP-07-041</t>
        </is>
      </c>
      <c r="P561" s="15" t="inlineStr">
        <is>
          <t xml:space="preserve">21:22</t>
        </is>
      </c>
      <c r="Q561" s="15" t="inlineStr">
        <is>
          <t xml:space="preserve">SRC-07-01; SRC-07-02</t>
        </is>
      </c>
      <c r="R561" s="15"/>
      <c r="S561" s="15"/>
    </row>
    <row r="562" ht="34" customHeight="1">
      <c r="A562" s="15" t="inlineStr">
        <is>
          <t xml:space="preserve">v0.7</t>
        </is>
      </c>
      <c r="B562" s="15" t="inlineStr">
        <is>
          <t xml:space="preserve">Bible_Journey_Canon_Map_v0_7_Gospel_Chronology.xlsx</t>
        </is>
      </c>
      <c r="C562" s="15" t="inlineStr">
        <is>
          <t xml:space="preserve">BLK-07-152</t>
        </is>
      </c>
      <c r="D562" s="15" t="inlineStr">
        <is>
          <t xml:space="preserve">CRS-07-076</t>
        </is>
      </c>
      <c r="E562" s="15">
        <v>3</v>
      </c>
      <c r="F562" s="15" t="inlineStr">
        <is>
          <t xml:space="preserve">Luke</t>
        </is>
      </c>
      <c r="G562" s="15" t="inlineStr">
        <is>
          <t xml:space="preserve">Luke 19:45-48</t>
        </is>
      </c>
      <c r="H562" s="15" t="inlineStr">
        <is>
          <t xml:space="preserve">Parallel Account</t>
        </is>
      </c>
      <c r="I562" s="15"/>
      <c r="J562" s="15" t="inlineStr">
        <is>
          <t xml:space="preserve">Yes</t>
        </is>
      </c>
      <c r="K562" s="15" t="inlineStr">
        <is>
          <t xml:space="preserve">No</t>
        </is>
      </c>
      <c r="L562" s="15" t="inlineStr">
        <is>
          <t xml:space="preserve">Probable</t>
        </is>
      </c>
      <c r="M562" s="15" t="inlineStr">
        <is>
          <t xml:space="preserve">Probable</t>
        </is>
      </c>
      <c r="N562" s="15" t="inlineStr">
        <is>
          <t xml:space="preserve">Luke</t>
        </is>
      </c>
      <c r="O562" s="15" t="inlineStr">
        <is>
          <t xml:space="preserve">CMP-07-041</t>
        </is>
      </c>
      <c r="P562" s="15" t="inlineStr">
        <is>
          <t xml:space="preserve">19:end</t>
        </is>
      </c>
      <c r="Q562" s="15" t="inlineStr">
        <is>
          <t xml:space="preserve">SRC-07-01; SRC-07-02</t>
        </is>
      </c>
      <c r="R562" s="15"/>
      <c r="S562" s="15"/>
    </row>
    <row r="563" ht="34" customHeight="1">
      <c r="A563" s="15" t="inlineStr">
        <is>
          <t xml:space="preserve">v0.7</t>
        </is>
      </c>
      <c r="B563" s="15" t="inlineStr">
        <is>
          <t xml:space="preserve">Bible_Journey_Canon_Map_v0_7_Gospel_Chronology.xlsx</t>
        </is>
      </c>
      <c r="C563" s="15" t="inlineStr">
        <is>
          <t xml:space="preserve">BLK-07-153</t>
        </is>
      </c>
      <c r="D563" s="15" t="inlineStr">
        <is>
          <t xml:space="preserve">CRS-07-077</t>
        </is>
      </c>
      <c r="E563" s="15">
        <v>1</v>
      </c>
      <c r="F563" s="15" t="inlineStr">
        <is>
          <t xml:space="preserve">Mark</t>
        </is>
      </c>
      <c r="G563" s="15" t="inlineStr">
        <is>
          <t xml:space="preserve">Mark 11:27-12:44</t>
        </is>
      </c>
      <c r="H563" s="15" t="inlineStr">
        <is>
          <t xml:space="preserve">Primary Account</t>
        </is>
      </c>
      <c r="I563" s="15"/>
      <c r="J563" s="15" t="inlineStr">
        <is>
          <t xml:space="preserve">Yes</t>
        </is>
      </c>
      <c r="K563" s="15" t="inlineStr">
        <is>
          <t xml:space="preserve">Yes</t>
        </is>
      </c>
      <c r="L563" s="15" t="inlineStr">
        <is>
          <t xml:space="preserve">Probable</t>
        </is>
      </c>
      <c r="M563" s="15" t="inlineStr">
        <is>
          <t xml:space="preserve">Probable</t>
        </is>
      </c>
      <c r="N563" s="15" t="inlineStr">
        <is>
          <t xml:space="preserve">Mark</t>
        </is>
      </c>
      <c r="O563" s="15" t="inlineStr">
        <is>
          <t xml:space="preserve">CMP-07-042</t>
        </is>
      </c>
      <c r="P563" s="15" t="inlineStr">
        <is>
          <t xml:space="preserve">12:end</t>
        </is>
      </c>
      <c r="Q563" s="15" t="inlineStr">
        <is>
          <t xml:space="preserve">SRC-07-01; SRC-07-02</t>
        </is>
      </c>
      <c r="R563" s="15"/>
      <c r="S563" s="15"/>
    </row>
    <row r="564" ht="34" customHeight="1">
      <c r="A564" s="15" t="inlineStr">
        <is>
          <t xml:space="preserve">v0.7</t>
        </is>
      </c>
      <c r="B564" s="15" t="inlineStr">
        <is>
          <t xml:space="preserve">Bible_Journey_Canon_Map_v0_7_Gospel_Chronology.xlsx</t>
        </is>
      </c>
      <c r="C564" s="15" t="inlineStr">
        <is>
          <t xml:space="preserve">BLK-07-154</t>
        </is>
      </c>
      <c r="D564" s="15" t="inlineStr">
        <is>
          <t xml:space="preserve">CRS-07-077</t>
        </is>
      </c>
      <c r="E564" s="15">
        <v>2</v>
      </c>
      <c r="F564" s="15" t="inlineStr">
        <is>
          <t xml:space="preserve">Matthew</t>
        </is>
      </c>
      <c r="G564" s="15" t="inlineStr">
        <is>
          <t xml:space="preserve">Matthew 21:23-23:39</t>
        </is>
      </c>
      <c r="H564" s="15" t="inlineStr">
        <is>
          <t xml:space="preserve">Parallel Account</t>
        </is>
      </c>
      <c r="I564" s="15"/>
      <c r="J564" s="15" t="inlineStr">
        <is>
          <t xml:space="preserve">Yes</t>
        </is>
      </c>
      <c r="K564" s="15" t="inlineStr">
        <is>
          <t xml:space="preserve">No</t>
        </is>
      </c>
      <c r="L564" s="15" t="inlineStr">
        <is>
          <t xml:space="preserve">Probable</t>
        </is>
      </c>
      <c r="M564" s="15" t="inlineStr">
        <is>
          <t xml:space="preserve">Probable</t>
        </is>
      </c>
      <c r="N564" s="15" t="inlineStr">
        <is>
          <t xml:space="preserve">Matthew</t>
        </is>
      </c>
      <c r="O564" s="15" t="inlineStr">
        <is>
          <t xml:space="preserve">CMP-07-042</t>
        </is>
      </c>
      <c r="P564" s="15" t="inlineStr">
        <is>
          <t xml:space="preserve">23:end</t>
        </is>
      </c>
      <c r="Q564" s="15" t="inlineStr">
        <is>
          <t xml:space="preserve">SRC-07-01; SRC-07-02</t>
        </is>
      </c>
      <c r="R564" s="15"/>
      <c r="S564" s="15"/>
    </row>
    <row r="565" ht="34" customHeight="1">
      <c r="A565" s="15" t="inlineStr">
        <is>
          <t xml:space="preserve">v0.7</t>
        </is>
      </c>
      <c r="B565" s="15" t="inlineStr">
        <is>
          <t xml:space="preserve">Bible_Journey_Canon_Map_v0_7_Gospel_Chronology.xlsx</t>
        </is>
      </c>
      <c r="C565" s="15" t="inlineStr">
        <is>
          <t xml:space="preserve">BLK-07-155</t>
        </is>
      </c>
      <c r="D565" s="15" t="inlineStr">
        <is>
          <t xml:space="preserve">CRS-07-077</t>
        </is>
      </c>
      <c r="E565" s="15">
        <v>3</v>
      </c>
      <c r="F565" s="15" t="inlineStr">
        <is>
          <t xml:space="preserve">Luke</t>
        </is>
      </c>
      <c r="G565" s="15" t="inlineStr">
        <is>
          <t xml:space="preserve">Luke 20:1-21:4</t>
        </is>
      </c>
      <c r="H565" s="15" t="inlineStr">
        <is>
          <t xml:space="preserve">Parallel Account</t>
        </is>
      </c>
      <c r="I565" s="15"/>
      <c r="J565" s="15" t="inlineStr">
        <is>
          <t xml:space="preserve">Yes</t>
        </is>
      </c>
      <c r="K565" s="15" t="inlineStr">
        <is>
          <t xml:space="preserve">No</t>
        </is>
      </c>
      <c r="L565" s="15" t="inlineStr">
        <is>
          <t xml:space="preserve">Probable</t>
        </is>
      </c>
      <c r="M565" s="15" t="inlineStr">
        <is>
          <t xml:space="preserve">Probable</t>
        </is>
      </c>
      <c r="N565" s="15" t="inlineStr">
        <is>
          <t xml:space="preserve">Luke</t>
        </is>
      </c>
      <c r="O565" s="15" t="inlineStr">
        <is>
          <t xml:space="preserve">CMP-07-042</t>
        </is>
      </c>
      <c r="P565" s="15" t="inlineStr">
        <is>
          <t xml:space="preserve">21:4</t>
        </is>
      </c>
      <c r="Q565" s="15" t="inlineStr">
        <is>
          <t xml:space="preserve">SRC-07-01; SRC-07-02</t>
        </is>
      </c>
      <c r="R565" s="15"/>
      <c r="S565" s="15"/>
    </row>
    <row r="566" ht="34" customHeight="1">
      <c r="A566" s="15" t="inlineStr">
        <is>
          <t xml:space="preserve">v0.7</t>
        </is>
      </c>
      <c r="B566" s="15" t="inlineStr">
        <is>
          <t xml:space="preserve">Bible_Journey_Canon_Map_v0_7_Gospel_Chronology.xlsx</t>
        </is>
      </c>
      <c r="C566" s="15" t="inlineStr">
        <is>
          <t xml:space="preserve">BLK-07-156</t>
        </is>
      </c>
      <c r="D566" s="15" t="inlineStr">
        <is>
          <t xml:space="preserve">CRS-07-078</t>
        </is>
      </c>
      <c r="E566" s="15">
        <v>1</v>
      </c>
      <c r="F566" s="15" t="inlineStr">
        <is>
          <t xml:space="preserve">John</t>
        </is>
      </c>
      <c r="G566" s="15" t="inlineStr">
        <is>
          <t xml:space="preserve">John 12:20-50</t>
        </is>
      </c>
      <c r="H566" s="15" t="inlineStr">
        <is>
          <t xml:space="preserve">Primary Account</t>
        </is>
      </c>
      <c r="I566" s="15"/>
      <c r="J566" s="15" t="inlineStr">
        <is>
          <t xml:space="preserve">Yes</t>
        </is>
      </c>
      <c r="K566" s="15" t="inlineStr">
        <is>
          <t xml:space="preserve">Yes</t>
        </is>
      </c>
      <c r="L566" s="15" t="inlineStr">
        <is>
          <t xml:space="preserve">Probable</t>
        </is>
      </c>
      <c r="M566" s="15" t="inlineStr">
        <is>
          <t xml:space="preserve">Probable</t>
        </is>
      </c>
      <c r="N566" s="15" t="inlineStr">
        <is>
          <t xml:space="preserve">John</t>
        </is>
      </c>
      <c r="O566" s="15"/>
      <c r="P566" s="15" t="inlineStr">
        <is>
          <t xml:space="preserve">12:end</t>
        </is>
      </c>
      <c r="Q566" s="15" t="inlineStr">
        <is>
          <t xml:space="preserve">SRC-07-10</t>
        </is>
      </c>
      <c r="R566" s="15"/>
      <c r="S566" s="15"/>
    </row>
    <row r="567" ht="34" customHeight="1">
      <c r="A567" s="15" t="inlineStr">
        <is>
          <t xml:space="preserve">v0.7</t>
        </is>
      </c>
      <c r="B567" s="15" t="inlineStr">
        <is>
          <t xml:space="preserve">Bible_Journey_Canon_Map_v0_7_Gospel_Chronology.xlsx</t>
        </is>
      </c>
      <c r="C567" s="15" t="inlineStr">
        <is>
          <t xml:space="preserve">BLK-07-157</t>
        </is>
      </c>
      <c r="D567" s="15" t="inlineStr">
        <is>
          <t xml:space="preserve">CRS-07-079</t>
        </is>
      </c>
      <c r="E567" s="15">
        <v>1</v>
      </c>
      <c r="F567" s="15" t="inlineStr">
        <is>
          <t xml:space="preserve">Mark</t>
        </is>
      </c>
      <c r="G567" s="15" t="inlineStr">
        <is>
          <t xml:space="preserve">Mark 13</t>
        </is>
      </c>
      <c r="H567" s="15" t="inlineStr">
        <is>
          <t xml:space="preserve">Primary Account</t>
        </is>
      </c>
      <c r="I567" s="15"/>
      <c r="J567" s="15" t="inlineStr">
        <is>
          <t xml:space="preserve">Yes</t>
        </is>
      </c>
      <c r="K567" s="15" t="inlineStr">
        <is>
          <t xml:space="preserve">Yes</t>
        </is>
      </c>
      <c r="L567" s="15" t="inlineStr">
        <is>
          <t xml:space="preserve">Probable</t>
        </is>
      </c>
      <c r="M567" s="15" t="inlineStr">
        <is>
          <t xml:space="preserve">Probable</t>
        </is>
      </c>
      <c r="N567" s="15" t="inlineStr">
        <is>
          <t xml:space="preserve">Mark</t>
        </is>
      </c>
      <c r="O567" s="15" t="inlineStr">
        <is>
          <t xml:space="preserve">CMP-07-043</t>
        </is>
      </c>
      <c r="P567" s="15" t="inlineStr">
        <is>
          <t xml:space="preserve">13:end</t>
        </is>
      </c>
      <c r="Q567" s="15" t="inlineStr">
        <is>
          <t xml:space="preserve">SRC-07-01; SRC-07-02</t>
        </is>
      </c>
      <c r="R567" s="15"/>
      <c r="S567" s="15"/>
    </row>
    <row r="568" ht="34" customHeight="1">
      <c r="A568" s="15" t="inlineStr">
        <is>
          <t xml:space="preserve">v0.7</t>
        </is>
      </c>
      <c r="B568" s="15" t="inlineStr">
        <is>
          <t xml:space="preserve">Bible_Journey_Canon_Map_v0_7_Gospel_Chronology.xlsx</t>
        </is>
      </c>
      <c r="C568" s="15" t="inlineStr">
        <is>
          <t xml:space="preserve">BLK-07-158</t>
        </is>
      </c>
      <c r="D568" s="15" t="inlineStr">
        <is>
          <t xml:space="preserve">CRS-07-079</t>
        </is>
      </c>
      <c r="E568" s="15">
        <v>2</v>
      </c>
      <c r="F568" s="15" t="inlineStr">
        <is>
          <t xml:space="preserve">Matthew</t>
        </is>
      </c>
      <c r="G568" s="15" t="inlineStr">
        <is>
          <t xml:space="preserve">Matthew 24-25</t>
        </is>
      </c>
      <c r="H568" s="15" t="inlineStr">
        <is>
          <t xml:space="preserve">Parallel Account</t>
        </is>
      </c>
      <c r="I568" s="15"/>
      <c r="J568" s="15" t="inlineStr">
        <is>
          <t xml:space="preserve">Yes</t>
        </is>
      </c>
      <c r="K568" s="15" t="inlineStr">
        <is>
          <t xml:space="preserve">No</t>
        </is>
      </c>
      <c r="L568" s="15" t="inlineStr">
        <is>
          <t xml:space="preserve">Probable</t>
        </is>
      </c>
      <c r="M568" s="15" t="inlineStr">
        <is>
          <t xml:space="preserve">Probable</t>
        </is>
      </c>
      <c r="N568" s="15" t="inlineStr">
        <is>
          <t xml:space="preserve">Matthew</t>
        </is>
      </c>
      <c r="O568" s="15" t="inlineStr">
        <is>
          <t xml:space="preserve">CMP-07-043</t>
        </is>
      </c>
      <c r="P568" s="15" t="inlineStr">
        <is>
          <t xml:space="preserve">25:end</t>
        </is>
      </c>
      <c r="Q568" s="15" t="inlineStr">
        <is>
          <t xml:space="preserve">SRC-07-01; SRC-07-02</t>
        </is>
      </c>
      <c r="R568" s="15"/>
      <c r="S568" s="15"/>
    </row>
    <row r="569" ht="34" customHeight="1">
      <c r="A569" s="15" t="inlineStr">
        <is>
          <t xml:space="preserve">v0.7</t>
        </is>
      </c>
      <c r="B569" s="15" t="inlineStr">
        <is>
          <t xml:space="preserve">Bible_Journey_Canon_Map_v0_7_Gospel_Chronology.xlsx</t>
        </is>
      </c>
      <c r="C569" s="15" t="inlineStr">
        <is>
          <t xml:space="preserve">BLK-07-159</t>
        </is>
      </c>
      <c r="D569" s="15" t="inlineStr">
        <is>
          <t xml:space="preserve">CRS-07-079</t>
        </is>
      </c>
      <c r="E569" s="15">
        <v>3</v>
      </c>
      <c r="F569" s="15" t="inlineStr">
        <is>
          <t xml:space="preserve">Luke</t>
        </is>
      </c>
      <c r="G569" s="15" t="inlineStr">
        <is>
          <t xml:space="preserve">Luke 21:5-36</t>
        </is>
      </c>
      <c r="H569" s="15" t="inlineStr">
        <is>
          <t xml:space="preserve">Parallel Account</t>
        </is>
      </c>
      <c r="I569" s="15"/>
      <c r="J569" s="15" t="inlineStr">
        <is>
          <t xml:space="preserve">Yes</t>
        </is>
      </c>
      <c r="K569" s="15" t="inlineStr">
        <is>
          <t xml:space="preserve">No</t>
        </is>
      </c>
      <c r="L569" s="15" t="inlineStr">
        <is>
          <t xml:space="preserve">Probable</t>
        </is>
      </c>
      <c r="M569" s="15" t="inlineStr">
        <is>
          <t xml:space="preserve">Probable</t>
        </is>
      </c>
      <c r="N569" s="15" t="inlineStr">
        <is>
          <t xml:space="preserve">Luke</t>
        </is>
      </c>
      <c r="O569" s="15" t="inlineStr">
        <is>
          <t xml:space="preserve">CMP-07-043</t>
        </is>
      </c>
      <c r="P569" s="15" t="inlineStr">
        <is>
          <t xml:space="preserve">21:36</t>
        </is>
      </c>
      <c r="Q569" s="15" t="inlineStr">
        <is>
          <t xml:space="preserve">SRC-07-01; SRC-07-02</t>
        </is>
      </c>
      <c r="R569" s="15"/>
      <c r="S569" s="15"/>
    </row>
    <row r="570" ht="34" customHeight="1">
      <c r="A570" s="15" t="inlineStr">
        <is>
          <t xml:space="preserve">v0.7</t>
        </is>
      </c>
      <c r="B570" s="15" t="inlineStr">
        <is>
          <t xml:space="preserve">Bible_Journey_Canon_Map_v0_7_Gospel_Chronology.xlsx</t>
        </is>
      </c>
      <c r="C570" s="15" t="inlineStr">
        <is>
          <t xml:space="preserve">BLK-07-201</t>
        </is>
      </c>
      <c r="D570" s="15" t="inlineStr">
        <is>
          <t xml:space="preserve">CRS-07-079</t>
        </is>
      </c>
      <c r="E570" s="15">
        <v>4</v>
      </c>
      <c r="F570" s="15" t="inlineStr">
        <is>
          <t xml:space="preserve">Luke</t>
        </is>
      </c>
      <c r="G570" s="15" t="inlineStr">
        <is>
          <t xml:space="preserve">Luke 21:37-38</t>
        </is>
      </c>
      <c r="H570" s="15" t="inlineStr">
        <is>
          <t xml:space="preserve">Supplementary Reading</t>
        </is>
      </c>
      <c r="I570" s="15"/>
      <c r="J570" s="15" t="inlineStr">
        <is>
          <t xml:space="preserve">Yes</t>
        </is>
      </c>
      <c r="K570" s="15" t="inlineStr">
        <is>
          <t xml:space="preserve">Yes</t>
        </is>
      </c>
      <c r="L570" s="15" t="inlineStr">
        <is>
          <t xml:space="preserve">Probable</t>
        </is>
      </c>
      <c r="M570" s="15" t="inlineStr">
        <is>
          <t xml:space="preserve">Probable</t>
        </is>
      </c>
      <c r="N570" s="15" t="inlineStr">
        <is>
          <t xml:space="preserve">Luke</t>
        </is>
      </c>
      <c r="O570" s="15"/>
      <c r="P570" s="15" t="inlineStr">
        <is>
          <t xml:space="preserve">21:end</t>
        </is>
      </c>
      <c r="Q570" s="15" t="inlineStr">
        <is>
          <t xml:space="preserve">SRC-07-01; SRC-07-02</t>
        </is>
      </c>
      <c r="R570" s="15"/>
      <c r="S570" s="15"/>
    </row>
    <row r="571" ht="34" customHeight="1">
      <c r="A571" s="15" t="inlineStr">
        <is>
          <t xml:space="preserve">v0.7</t>
        </is>
      </c>
      <c r="B571" s="15" t="inlineStr">
        <is>
          <t xml:space="preserve">Bible_Journey_Canon_Map_v0_7_Gospel_Chronology.xlsx</t>
        </is>
      </c>
      <c r="C571" s="15" t="inlineStr">
        <is>
          <t xml:space="preserve">BLK-07-160</t>
        </is>
      </c>
      <c r="D571" s="15" t="inlineStr">
        <is>
          <t xml:space="preserve">CRS-07-080</t>
        </is>
      </c>
      <c r="E571" s="15">
        <v>1</v>
      </c>
      <c r="F571" s="15" t="inlineStr">
        <is>
          <t xml:space="preserve">Mark</t>
        </is>
      </c>
      <c r="G571" s="15" t="inlineStr">
        <is>
          <t xml:space="preserve">Mark 14:1-2, 10-16</t>
        </is>
      </c>
      <c r="H571" s="15" t="inlineStr">
        <is>
          <t xml:space="preserve">Primary Account</t>
        </is>
      </c>
      <c r="I571" s="15"/>
      <c r="J571" s="15" t="inlineStr">
        <is>
          <t xml:space="preserve">Yes</t>
        </is>
      </c>
      <c r="K571" s="15" t="inlineStr">
        <is>
          <t xml:space="preserve">Yes</t>
        </is>
      </c>
      <c r="L571" s="15" t="inlineStr">
        <is>
          <t xml:space="preserve">Probable</t>
        </is>
      </c>
      <c r="M571" s="15" t="inlineStr">
        <is>
          <t xml:space="preserve">Probable</t>
        </is>
      </c>
      <c r="N571" s="15" t="inlineStr">
        <is>
          <t xml:space="preserve">Mark</t>
        </is>
      </c>
      <c r="O571" s="15" t="inlineStr">
        <is>
          <t xml:space="preserve">CMP-07-044</t>
        </is>
      </c>
      <c r="P571" s="15" t="inlineStr">
        <is>
          <t xml:space="preserve">14:2, 16</t>
        </is>
      </c>
      <c r="Q571" s="15" t="inlineStr">
        <is>
          <t xml:space="preserve">SRC-07-05; SRC-07-09</t>
        </is>
      </c>
      <c r="R571" s="15"/>
      <c r="S571" s="15"/>
    </row>
    <row r="572" ht="34" customHeight="1">
      <c r="A572" s="15" t="inlineStr">
        <is>
          <t xml:space="preserve">v0.7</t>
        </is>
      </c>
      <c r="B572" s="15" t="inlineStr">
        <is>
          <t xml:space="preserve">Bible_Journey_Canon_Map_v0_7_Gospel_Chronology.xlsx</t>
        </is>
      </c>
      <c r="C572" s="15" t="inlineStr">
        <is>
          <t xml:space="preserve">BLK-07-161</t>
        </is>
      </c>
      <c r="D572" s="15" t="inlineStr">
        <is>
          <t xml:space="preserve">CRS-07-080</t>
        </is>
      </c>
      <c r="E572" s="15">
        <v>2</v>
      </c>
      <c r="F572" s="15" t="inlineStr">
        <is>
          <t xml:space="preserve">Matthew</t>
        </is>
      </c>
      <c r="G572" s="15" t="inlineStr">
        <is>
          <t xml:space="preserve">Matthew 26:1-5, 14-19</t>
        </is>
      </c>
      <c r="H572" s="15" t="inlineStr">
        <is>
          <t xml:space="preserve">Parallel Account</t>
        </is>
      </c>
      <c r="I572" s="15"/>
      <c r="J572" s="15" t="inlineStr">
        <is>
          <t xml:space="preserve">Yes</t>
        </is>
      </c>
      <c r="K572" s="15" t="inlineStr">
        <is>
          <t xml:space="preserve">No</t>
        </is>
      </c>
      <c r="L572" s="15" t="inlineStr">
        <is>
          <t xml:space="preserve">Probable</t>
        </is>
      </c>
      <c r="M572" s="15" t="inlineStr">
        <is>
          <t xml:space="preserve">Probable</t>
        </is>
      </c>
      <c r="N572" s="15" t="inlineStr">
        <is>
          <t xml:space="preserve">Matthew</t>
        </is>
      </c>
      <c r="O572" s="15" t="inlineStr">
        <is>
          <t xml:space="preserve">CMP-07-044</t>
        </is>
      </c>
      <c r="P572" s="15" t="inlineStr">
        <is>
          <t xml:space="preserve">26:5, 19</t>
        </is>
      </c>
      <c r="Q572" s="15" t="inlineStr">
        <is>
          <t xml:space="preserve">SRC-07-05; SRC-07-09</t>
        </is>
      </c>
      <c r="R572" s="15"/>
      <c r="S572" s="15"/>
    </row>
    <row r="573" ht="34" customHeight="1">
      <c r="A573" s="15" t="inlineStr">
        <is>
          <t xml:space="preserve">v0.7</t>
        </is>
      </c>
      <c r="B573" s="15" t="inlineStr">
        <is>
          <t xml:space="preserve">Bible_Journey_Canon_Map_v0_7_Gospel_Chronology.xlsx</t>
        </is>
      </c>
      <c r="C573" s="15" t="inlineStr">
        <is>
          <t xml:space="preserve">BLK-07-162</t>
        </is>
      </c>
      <c r="D573" s="15" t="inlineStr">
        <is>
          <t xml:space="preserve">CRS-07-080</t>
        </is>
      </c>
      <c r="E573" s="15">
        <v>3</v>
      </c>
      <c r="F573" s="15" t="inlineStr">
        <is>
          <t xml:space="preserve">Luke</t>
        </is>
      </c>
      <c r="G573" s="15" t="inlineStr">
        <is>
          <t xml:space="preserve">Luke 22:1-13</t>
        </is>
      </c>
      <c r="H573" s="15" t="inlineStr">
        <is>
          <t xml:space="preserve">Parallel Account</t>
        </is>
      </c>
      <c r="I573" s="15"/>
      <c r="J573" s="15" t="inlineStr">
        <is>
          <t xml:space="preserve">Yes</t>
        </is>
      </c>
      <c r="K573" s="15" t="inlineStr">
        <is>
          <t xml:space="preserve">No</t>
        </is>
      </c>
      <c r="L573" s="15" t="inlineStr">
        <is>
          <t xml:space="preserve">Probable</t>
        </is>
      </c>
      <c r="M573" s="15" t="inlineStr">
        <is>
          <t xml:space="preserve">Probable</t>
        </is>
      </c>
      <c r="N573" s="15" t="inlineStr">
        <is>
          <t xml:space="preserve">Luke</t>
        </is>
      </c>
      <c r="O573" s="15" t="inlineStr">
        <is>
          <t xml:space="preserve">CMP-07-044</t>
        </is>
      </c>
      <c r="P573" s="15" t="inlineStr">
        <is>
          <t xml:space="preserve">22:13</t>
        </is>
      </c>
      <c r="Q573" s="15" t="inlineStr">
        <is>
          <t xml:space="preserve">SRC-07-05; SRC-07-09</t>
        </is>
      </c>
      <c r="R573" s="15"/>
      <c r="S573" s="15"/>
    </row>
    <row r="574" ht="34" customHeight="1">
      <c r="A574" s="15" t="inlineStr">
        <is>
          <t xml:space="preserve">v0.7</t>
        </is>
      </c>
      <c r="B574" s="15" t="inlineStr">
        <is>
          <t xml:space="preserve">Bible_Journey_Canon_Map_v0_7_Gospel_Chronology.xlsx</t>
        </is>
      </c>
      <c r="C574" s="15" t="inlineStr">
        <is>
          <t xml:space="preserve">BLK-07-163</t>
        </is>
      </c>
      <c r="D574" s="15" t="inlineStr">
        <is>
          <t xml:space="preserve">CRS-07-081</t>
        </is>
      </c>
      <c r="E574" s="15">
        <v>1</v>
      </c>
      <c r="F574" s="15" t="inlineStr">
        <is>
          <t xml:space="preserve">Mark</t>
        </is>
      </c>
      <c r="G574" s="15" t="inlineStr">
        <is>
          <t xml:space="preserve">Mark 14:17-31</t>
        </is>
      </c>
      <c r="H574" s="15" t="inlineStr">
        <is>
          <t xml:space="preserve">Primary Account</t>
        </is>
      </c>
      <c r="I574" s="15"/>
      <c r="J574" s="15" t="inlineStr">
        <is>
          <t xml:space="preserve">Yes</t>
        </is>
      </c>
      <c r="K574" s="15" t="inlineStr">
        <is>
          <t xml:space="preserve">Yes</t>
        </is>
      </c>
      <c r="L574" s="15" t="inlineStr">
        <is>
          <t xml:space="preserve">Probable</t>
        </is>
      </c>
      <c r="M574" s="15" t="inlineStr">
        <is>
          <t xml:space="preserve">Probable</t>
        </is>
      </c>
      <c r="N574" s="15" t="inlineStr">
        <is>
          <t xml:space="preserve">Mark</t>
        </is>
      </c>
      <c r="O574" s="15" t="inlineStr">
        <is>
          <t xml:space="preserve">CMP-07-045</t>
        </is>
      </c>
      <c r="P574" s="15" t="inlineStr">
        <is>
          <t xml:space="preserve">14:31</t>
        </is>
      </c>
      <c r="Q574" s="15" t="inlineStr">
        <is>
          <t xml:space="preserve">SRC-07-05</t>
        </is>
      </c>
      <c r="R574" s="15"/>
      <c r="S574" s="15"/>
    </row>
    <row r="575" ht="34" customHeight="1">
      <c r="A575" s="15" t="inlineStr">
        <is>
          <t xml:space="preserve">v0.7</t>
        </is>
      </c>
      <c r="B575" s="15" t="inlineStr">
        <is>
          <t xml:space="preserve">Bible_Journey_Canon_Map_v0_7_Gospel_Chronology.xlsx</t>
        </is>
      </c>
      <c r="C575" s="15" t="inlineStr">
        <is>
          <t xml:space="preserve">BLK-07-164</t>
        </is>
      </c>
      <c r="D575" s="15" t="inlineStr">
        <is>
          <t xml:space="preserve">CRS-07-081</t>
        </is>
      </c>
      <c r="E575" s="15">
        <v>2</v>
      </c>
      <c r="F575" s="15" t="inlineStr">
        <is>
          <t xml:space="preserve">Matthew</t>
        </is>
      </c>
      <c r="G575" s="15" t="inlineStr">
        <is>
          <t xml:space="preserve">Matthew 26:20-35</t>
        </is>
      </c>
      <c r="H575" s="15" t="inlineStr">
        <is>
          <t xml:space="preserve">Parallel Account</t>
        </is>
      </c>
      <c r="I575" s="15"/>
      <c r="J575" s="15" t="inlineStr">
        <is>
          <t xml:space="preserve">Yes</t>
        </is>
      </c>
      <c r="K575" s="15" t="inlineStr">
        <is>
          <t xml:space="preserve">No</t>
        </is>
      </c>
      <c r="L575" s="15" t="inlineStr">
        <is>
          <t xml:space="preserve">Probable</t>
        </is>
      </c>
      <c r="M575" s="15" t="inlineStr">
        <is>
          <t xml:space="preserve">Probable</t>
        </is>
      </c>
      <c r="N575" s="15" t="inlineStr">
        <is>
          <t xml:space="preserve">Matthew</t>
        </is>
      </c>
      <c r="O575" s="15" t="inlineStr">
        <is>
          <t xml:space="preserve">CMP-07-045</t>
        </is>
      </c>
      <c r="P575" s="15" t="inlineStr">
        <is>
          <t xml:space="preserve">26:35</t>
        </is>
      </c>
      <c r="Q575" s="15" t="inlineStr">
        <is>
          <t xml:space="preserve">SRC-07-05</t>
        </is>
      </c>
      <c r="R575" s="15"/>
      <c r="S575" s="15"/>
    </row>
    <row r="576" ht="34" customHeight="1">
      <c r="A576" s="15" t="inlineStr">
        <is>
          <t xml:space="preserve">v0.7</t>
        </is>
      </c>
      <c r="B576" s="15" t="inlineStr">
        <is>
          <t xml:space="preserve">Bible_Journey_Canon_Map_v0_7_Gospel_Chronology.xlsx</t>
        </is>
      </c>
      <c r="C576" s="15" t="inlineStr">
        <is>
          <t xml:space="preserve">BLK-07-165</t>
        </is>
      </c>
      <c r="D576" s="15" t="inlineStr">
        <is>
          <t xml:space="preserve">CRS-07-081</t>
        </is>
      </c>
      <c r="E576" s="15">
        <v>3</v>
      </c>
      <c r="F576" s="15" t="inlineStr">
        <is>
          <t xml:space="preserve">Luke</t>
        </is>
      </c>
      <c r="G576" s="15" t="inlineStr">
        <is>
          <t xml:space="preserve">Luke 22:14-38</t>
        </is>
      </c>
      <c r="H576" s="15" t="inlineStr">
        <is>
          <t xml:space="preserve">Parallel Account</t>
        </is>
      </c>
      <c r="I576" s="15"/>
      <c r="J576" s="15" t="inlineStr">
        <is>
          <t xml:space="preserve">Yes</t>
        </is>
      </c>
      <c r="K576" s="15" t="inlineStr">
        <is>
          <t xml:space="preserve">No</t>
        </is>
      </c>
      <c r="L576" s="15" t="inlineStr">
        <is>
          <t xml:space="preserve">Probable</t>
        </is>
      </c>
      <c r="M576" s="15" t="inlineStr">
        <is>
          <t xml:space="preserve">Probable</t>
        </is>
      </c>
      <c r="N576" s="15" t="inlineStr">
        <is>
          <t xml:space="preserve">Luke</t>
        </is>
      </c>
      <c r="O576" s="15" t="inlineStr">
        <is>
          <t xml:space="preserve">CMP-07-045</t>
        </is>
      </c>
      <c r="P576" s="15" t="inlineStr">
        <is>
          <t xml:space="preserve">22:38</t>
        </is>
      </c>
      <c r="Q576" s="15" t="inlineStr">
        <is>
          <t xml:space="preserve">SRC-07-05</t>
        </is>
      </c>
      <c r="R576" s="15"/>
      <c r="S576" s="15"/>
    </row>
    <row r="577" ht="34" customHeight="1">
      <c r="A577" s="15" t="inlineStr">
        <is>
          <t xml:space="preserve">v0.7</t>
        </is>
      </c>
      <c r="B577" s="15" t="inlineStr">
        <is>
          <t xml:space="preserve">Bible_Journey_Canon_Map_v0_7_Gospel_Chronology.xlsx</t>
        </is>
      </c>
      <c r="C577" s="15" t="inlineStr">
        <is>
          <t xml:space="preserve">BLK-07-166</t>
        </is>
      </c>
      <c r="D577" s="15" t="inlineStr">
        <is>
          <t xml:space="preserve">CRS-07-082</t>
        </is>
      </c>
      <c r="E577" s="15">
        <v>1</v>
      </c>
      <c r="F577" s="15" t="inlineStr">
        <is>
          <t xml:space="preserve">John</t>
        </is>
      </c>
      <c r="G577" s="15" t="inlineStr">
        <is>
          <t xml:space="preserve">John 13-17</t>
        </is>
      </c>
      <c r="H577" s="15" t="inlineStr">
        <is>
          <t xml:space="preserve">Primary Account</t>
        </is>
      </c>
      <c r="I577" s="15"/>
      <c r="J577" s="15" t="inlineStr">
        <is>
          <t xml:space="preserve">Yes</t>
        </is>
      </c>
      <c r="K577" s="15" t="inlineStr">
        <is>
          <t xml:space="preserve">Yes</t>
        </is>
      </c>
      <c r="L577" s="15" t="inlineStr">
        <is>
          <t xml:space="preserve">Probable</t>
        </is>
      </c>
      <c r="M577" s="15" t="inlineStr">
        <is>
          <t xml:space="preserve">Probable</t>
        </is>
      </c>
      <c r="N577" s="15" t="inlineStr">
        <is>
          <t xml:space="preserve">John</t>
        </is>
      </c>
      <c r="O577" s="15"/>
      <c r="P577" s="15" t="inlineStr">
        <is>
          <t xml:space="preserve">17:end</t>
        </is>
      </c>
      <c r="Q577" s="15" t="inlineStr">
        <is>
          <t xml:space="preserve">SRC-07-10; SRC-07-12</t>
        </is>
      </c>
      <c r="R577" s="15"/>
      <c r="S577" s="15"/>
    </row>
    <row r="578" ht="34" customHeight="1">
      <c r="A578" s="15" t="inlineStr">
        <is>
          <t xml:space="preserve">v0.7</t>
        </is>
      </c>
      <c r="B578" s="15" t="inlineStr">
        <is>
          <t xml:space="preserve">Bible_Journey_Canon_Map_v0_7_Gospel_Chronology.xlsx</t>
        </is>
      </c>
      <c r="C578" s="15" t="inlineStr">
        <is>
          <t xml:space="preserve">BLK-07-167</t>
        </is>
      </c>
      <c r="D578" s="15" t="inlineStr">
        <is>
          <t xml:space="preserve">CRS-07-083</t>
        </is>
      </c>
      <c r="E578" s="15">
        <v>1</v>
      </c>
      <c r="F578" s="15" t="inlineStr">
        <is>
          <t xml:space="preserve">Mark</t>
        </is>
      </c>
      <c r="G578" s="15" t="inlineStr">
        <is>
          <t xml:space="preserve">Mark 14:32-52</t>
        </is>
      </c>
      <c r="H578" s="15" t="inlineStr">
        <is>
          <t xml:space="preserve">Primary Account</t>
        </is>
      </c>
      <c r="I578" s="15"/>
      <c r="J578" s="15" t="inlineStr">
        <is>
          <t xml:space="preserve">Yes</t>
        </is>
      </c>
      <c r="K578" s="15" t="inlineStr">
        <is>
          <t xml:space="preserve">Yes</t>
        </is>
      </c>
      <c r="L578" s="15" t="inlineStr">
        <is>
          <t xml:space="preserve">Probable</t>
        </is>
      </c>
      <c r="M578" s="15" t="inlineStr">
        <is>
          <t xml:space="preserve">Probable</t>
        </is>
      </c>
      <c r="N578" s="15" t="inlineStr">
        <is>
          <t xml:space="preserve">Mark</t>
        </is>
      </c>
      <c r="O578" s="15" t="inlineStr">
        <is>
          <t xml:space="preserve">CMP-07-046</t>
        </is>
      </c>
      <c r="P578" s="15" t="inlineStr">
        <is>
          <t xml:space="preserve">14:52</t>
        </is>
      </c>
      <c r="Q578" s="15" t="inlineStr">
        <is>
          <t xml:space="preserve">SRC-07-05; SRC-07-09</t>
        </is>
      </c>
      <c r="R578" s="15"/>
      <c r="S578" s="15"/>
    </row>
    <row r="579" ht="34" customHeight="1">
      <c r="A579" s="15" t="inlineStr">
        <is>
          <t xml:space="preserve">v0.7</t>
        </is>
      </c>
      <c r="B579" s="15" t="inlineStr">
        <is>
          <t xml:space="preserve">Bible_Journey_Canon_Map_v0_7_Gospel_Chronology.xlsx</t>
        </is>
      </c>
      <c r="C579" s="15" t="inlineStr">
        <is>
          <t xml:space="preserve">BLK-07-168</t>
        </is>
      </c>
      <c r="D579" s="15" t="inlineStr">
        <is>
          <t xml:space="preserve">CRS-07-083</t>
        </is>
      </c>
      <c r="E579" s="15">
        <v>2</v>
      </c>
      <c r="F579" s="15" t="inlineStr">
        <is>
          <t xml:space="preserve">Matthew</t>
        </is>
      </c>
      <c r="G579" s="15" t="inlineStr">
        <is>
          <t xml:space="preserve">Matthew 26:36-56</t>
        </is>
      </c>
      <c r="H579" s="15" t="inlineStr">
        <is>
          <t xml:space="preserve">Parallel Account</t>
        </is>
      </c>
      <c r="I579" s="15"/>
      <c r="J579" s="15" t="inlineStr">
        <is>
          <t xml:space="preserve">Yes</t>
        </is>
      </c>
      <c r="K579" s="15" t="inlineStr">
        <is>
          <t xml:space="preserve">No</t>
        </is>
      </c>
      <c r="L579" s="15" t="inlineStr">
        <is>
          <t xml:space="preserve">Probable</t>
        </is>
      </c>
      <c r="M579" s="15" t="inlineStr">
        <is>
          <t xml:space="preserve">Probable</t>
        </is>
      </c>
      <c r="N579" s="15" t="inlineStr">
        <is>
          <t xml:space="preserve">Matthew</t>
        </is>
      </c>
      <c r="O579" s="15" t="inlineStr">
        <is>
          <t xml:space="preserve">CMP-07-046</t>
        </is>
      </c>
      <c r="P579" s="15" t="inlineStr">
        <is>
          <t xml:space="preserve">26:56</t>
        </is>
      </c>
      <c r="Q579" s="15" t="inlineStr">
        <is>
          <t xml:space="preserve">SRC-07-05; SRC-07-09</t>
        </is>
      </c>
      <c r="R579" s="15"/>
      <c r="S579" s="15"/>
    </row>
    <row r="580" ht="34" customHeight="1">
      <c r="A580" s="15" t="inlineStr">
        <is>
          <t xml:space="preserve">v0.7</t>
        </is>
      </c>
      <c r="B580" s="15" t="inlineStr">
        <is>
          <t xml:space="preserve">Bible_Journey_Canon_Map_v0_7_Gospel_Chronology.xlsx</t>
        </is>
      </c>
      <c r="C580" s="15" t="inlineStr">
        <is>
          <t xml:space="preserve">BLK-07-169</t>
        </is>
      </c>
      <c r="D580" s="15" t="inlineStr">
        <is>
          <t xml:space="preserve">CRS-07-083</t>
        </is>
      </c>
      <c r="E580" s="15">
        <v>3</v>
      </c>
      <c r="F580" s="15" t="inlineStr">
        <is>
          <t xml:space="preserve">Luke</t>
        </is>
      </c>
      <c r="G580" s="15" t="inlineStr">
        <is>
          <t xml:space="preserve">Luke 22:39-53</t>
        </is>
      </c>
      <c r="H580" s="15" t="inlineStr">
        <is>
          <t xml:space="preserve">Parallel Account</t>
        </is>
      </c>
      <c r="I580" s="15"/>
      <c r="J580" s="15" t="inlineStr">
        <is>
          <t xml:space="preserve">Yes</t>
        </is>
      </c>
      <c r="K580" s="15" t="inlineStr">
        <is>
          <t xml:space="preserve">No</t>
        </is>
      </c>
      <c r="L580" s="15" t="inlineStr">
        <is>
          <t xml:space="preserve">Probable</t>
        </is>
      </c>
      <c r="M580" s="15" t="inlineStr">
        <is>
          <t xml:space="preserve">Probable</t>
        </is>
      </c>
      <c r="N580" s="15" t="inlineStr">
        <is>
          <t xml:space="preserve">Luke</t>
        </is>
      </c>
      <c r="O580" s="15" t="inlineStr">
        <is>
          <t xml:space="preserve">CMP-07-046</t>
        </is>
      </c>
      <c r="P580" s="15" t="inlineStr">
        <is>
          <t xml:space="preserve">22:53</t>
        </is>
      </c>
      <c r="Q580" s="15" t="inlineStr">
        <is>
          <t xml:space="preserve">SRC-07-05; SRC-07-09</t>
        </is>
      </c>
      <c r="R580" s="15"/>
      <c r="S580" s="15"/>
    </row>
    <row r="581" ht="34" customHeight="1">
      <c r="A581" s="15" t="inlineStr">
        <is>
          <t xml:space="preserve">v0.7</t>
        </is>
      </c>
      <c r="B581" s="15" t="inlineStr">
        <is>
          <t xml:space="preserve">Bible_Journey_Canon_Map_v0_7_Gospel_Chronology.xlsx</t>
        </is>
      </c>
      <c r="C581" s="15" t="inlineStr">
        <is>
          <t xml:space="preserve">BLK-07-170</t>
        </is>
      </c>
      <c r="D581" s="15" t="inlineStr">
        <is>
          <t xml:space="preserve">CRS-07-083</t>
        </is>
      </c>
      <c r="E581" s="15">
        <v>4</v>
      </c>
      <c r="F581" s="15" t="inlineStr">
        <is>
          <t xml:space="preserve">John</t>
        </is>
      </c>
      <c r="G581" s="15" t="inlineStr">
        <is>
          <t xml:space="preserve">John 18:1-11</t>
        </is>
      </c>
      <c r="H581" s="15" t="inlineStr">
        <is>
          <t xml:space="preserve">Parallel Account</t>
        </is>
      </c>
      <c r="I581" s="15"/>
      <c r="J581" s="15" t="inlineStr">
        <is>
          <t xml:space="preserve">Yes</t>
        </is>
      </c>
      <c r="K581" s="15" t="inlineStr">
        <is>
          <t xml:space="preserve">No</t>
        </is>
      </c>
      <c r="L581" s="15" t="inlineStr">
        <is>
          <t xml:space="preserve">Probable</t>
        </is>
      </c>
      <c r="M581" s="15" t="inlineStr">
        <is>
          <t xml:space="preserve">Probable</t>
        </is>
      </c>
      <c r="N581" s="15" t="inlineStr">
        <is>
          <t xml:space="preserve">John</t>
        </is>
      </c>
      <c r="O581" s="15" t="inlineStr">
        <is>
          <t xml:space="preserve">CMP-07-046</t>
        </is>
      </c>
      <c r="P581" s="15" t="inlineStr">
        <is>
          <t xml:space="preserve">18:11</t>
        </is>
      </c>
      <c r="Q581" s="15" t="inlineStr">
        <is>
          <t xml:space="preserve">SRC-07-05; SRC-07-09; SRC-07-10</t>
        </is>
      </c>
      <c r="R581" s="15"/>
      <c r="S581" s="15"/>
    </row>
    <row r="582" ht="34" customHeight="1">
      <c r="A582" s="15" t="inlineStr">
        <is>
          <t xml:space="preserve">v0.7</t>
        </is>
      </c>
      <c r="B582" s="15" t="inlineStr">
        <is>
          <t xml:space="preserve">Bible_Journey_Canon_Map_v0_7_Gospel_Chronology.xlsx</t>
        </is>
      </c>
      <c r="C582" s="15" t="inlineStr">
        <is>
          <t xml:space="preserve">BLK-07-171</t>
        </is>
      </c>
      <c r="D582" s="15" t="inlineStr">
        <is>
          <t xml:space="preserve">CRS-07-084</t>
        </is>
      </c>
      <c r="E582" s="15">
        <v>1</v>
      </c>
      <c r="F582" s="15" t="inlineStr">
        <is>
          <t xml:space="preserve">Mark</t>
        </is>
      </c>
      <c r="G582" s="15" t="inlineStr">
        <is>
          <t xml:space="preserve">Mark 14:53-72</t>
        </is>
      </c>
      <c r="H582" s="15" t="inlineStr">
        <is>
          <t xml:space="preserve">Primary Account</t>
        </is>
      </c>
      <c r="I582" s="15"/>
      <c r="J582" s="15" t="inlineStr">
        <is>
          <t xml:space="preserve">Yes</t>
        </is>
      </c>
      <c r="K582" s="15" t="inlineStr">
        <is>
          <t xml:space="preserve">Yes</t>
        </is>
      </c>
      <c r="L582" s="15" t="inlineStr">
        <is>
          <t xml:space="preserve">Probable</t>
        </is>
      </c>
      <c r="M582" s="15" t="inlineStr">
        <is>
          <t xml:space="preserve">Probable</t>
        </is>
      </c>
      <c r="N582" s="15" t="inlineStr">
        <is>
          <t xml:space="preserve">Mark</t>
        </is>
      </c>
      <c r="O582" s="15" t="inlineStr">
        <is>
          <t xml:space="preserve">CMP-07-047</t>
        </is>
      </c>
      <c r="P582" s="15" t="inlineStr">
        <is>
          <t xml:space="preserve">14:end</t>
        </is>
      </c>
      <c r="Q582" s="15" t="inlineStr">
        <is>
          <t xml:space="preserve">SRC-07-05; SRC-07-08</t>
        </is>
      </c>
      <c r="R582" s="15"/>
      <c r="S582" s="15"/>
    </row>
    <row r="583" ht="34" customHeight="1">
      <c r="A583" s="15" t="inlineStr">
        <is>
          <t xml:space="preserve">v0.7</t>
        </is>
      </c>
      <c r="B583" s="15" t="inlineStr">
        <is>
          <t xml:space="preserve">Bible_Journey_Canon_Map_v0_7_Gospel_Chronology.xlsx</t>
        </is>
      </c>
      <c r="C583" s="15" t="inlineStr">
        <is>
          <t xml:space="preserve">BLK-07-172</t>
        </is>
      </c>
      <c r="D583" s="15" t="inlineStr">
        <is>
          <t xml:space="preserve">CRS-07-084</t>
        </is>
      </c>
      <c r="E583" s="15">
        <v>2</v>
      </c>
      <c r="F583" s="15" t="inlineStr">
        <is>
          <t xml:space="preserve">Matthew</t>
        </is>
      </c>
      <c r="G583" s="15" t="inlineStr">
        <is>
          <t xml:space="preserve">Matthew 26:57-75</t>
        </is>
      </c>
      <c r="H583" s="15" t="inlineStr">
        <is>
          <t xml:space="preserve">Parallel Account</t>
        </is>
      </c>
      <c r="I583" s="15"/>
      <c r="J583" s="15" t="inlineStr">
        <is>
          <t xml:space="preserve">Yes</t>
        </is>
      </c>
      <c r="K583" s="15" t="inlineStr">
        <is>
          <t xml:space="preserve">No</t>
        </is>
      </c>
      <c r="L583" s="15" t="inlineStr">
        <is>
          <t xml:space="preserve">Probable</t>
        </is>
      </c>
      <c r="M583" s="15" t="inlineStr">
        <is>
          <t xml:space="preserve">Probable</t>
        </is>
      </c>
      <c r="N583" s="15" t="inlineStr">
        <is>
          <t xml:space="preserve">Matthew</t>
        </is>
      </c>
      <c r="O583" s="15" t="inlineStr">
        <is>
          <t xml:space="preserve">CMP-07-047</t>
        </is>
      </c>
      <c r="P583" s="15" t="inlineStr">
        <is>
          <t xml:space="preserve">26:end</t>
        </is>
      </c>
      <c r="Q583" s="15" t="inlineStr">
        <is>
          <t xml:space="preserve">SRC-07-05; SRC-07-08</t>
        </is>
      </c>
      <c r="R583" s="15"/>
      <c r="S583" s="15"/>
    </row>
    <row r="584" ht="34" customHeight="1">
      <c r="A584" s="15" t="inlineStr">
        <is>
          <t xml:space="preserve">v0.7</t>
        </is>
      </c>
      <c r="B584" s="15" t="inlineStr">
        <is>
          <t xml:space="preserve">Bible_Journey_Canon_Map_v0_7_Gospel_Chronology.xlsx</t>
        </is>
      </c>
      <c r="C584" s="15" t="inlineStr">
        <is>
          <t xml:space="preserve">BLK-07-173</t>
        </is>
      </c>
      <c r="D584" s="15" t="inlineStr">
        <is>
          <t xml:space="preserve">CRS-07-084</t>
        </is>
      </c>
      <c r="E584" s="15">
        <v>3</v>
      </c>
      <c r="F584" s="15" t="inlineStr">
        <is>
          <t xml:space="preserve">Luke</t>
        </is>
      </c>
      <c r="G584" s="15" t="inlineStr">
        <is>
          <t xml:space="preserve">Luke 22:54-71</t>
        </is>
      </c>
      <c r="H584" s="15" t="inlineStr">
        <is>
          <t xml:space="preserve">Parallel Account</t>
        </is>
      </c>
      <c r="I584" s="15"/>
      <c r="J584" s="15" t="inlineStr">
        <is>
          <t xml:space="preserve">Yes</t>
        </is>
      </c>
      <c r="K584" s="15" t="inlineStr">
        <is>
          <t xml:space="preserve">No</t>
        </is>
      </c>
      <c r="L584" s="15" t="inlineStr">
        <is>
          <t xml:space="preserve">Probable</t>
        </is>
      </c>
      <c r="M584" s="15" t="inlineStr">
        <is>
          <t xml:space="preserve">Probable</t>
        </is>
      </c>
      <c r="N584" s="15" t="inlineStr">
        <is>
          <t xml:space="preserve">Luke</t>
        </is>
      </c>
      <c r="O584" s="15" t="inlineStr">
        <is>
          <t xml:space="preserve">CMP-07-047</t>
        </is>
      </c>
      <c r="P584" s="15" t="inlineStr">
        <is>
          <t xml:space="preserve">22:end</t>
        </is>
      </c>
      <c r="Q584" s="15" t="inlineStr">
        <is>
          <t xml:space="preserve">SRC-07-05; SRC-07-08</t>
        </is>
      </c>
      <c r="R584" s="15"/>
      <c r="S584" s="15"/>
    </row>
    <row r="585" ht="34" customHeight="1">
      <c r="A585" s="15" t="inlineStr">
        <is>
          <t xml:space="preserve">v0.7</t>
        </is>
      </c>
      <c r="B585" s="15" t="inlineStr">
        <is>
          <t xml:space="preserve">Bible_Journey_Canon_Map_v0_7_Gospel_Chronology.xlsx</t>
        </is>
      </c>
      <c r="C585" s="15" t="inlineStr">
        <is>
          <t xml:space="preserve">BLK-07-174</t>
        </is>
      </c>
      <c r="D585" s="15" t="inlineStr">
        <is>
          <t xml:space="preserve">CRS-07-084</t>
        </is>
      </c>
      <c r="E585" s="15">
        <v>4</v>
      </c>
      <c r="F585" s="15" t="inlineStr">
        <is>
          <t xml:space="preserve">John</t>
        </is>
      </c>
      <c r="G585" s="15" t="inlineStr">
        <is>
          <t xml:space="preserve">John 18:12-27</t>
        </is>
      </c>
      <c r="H585" s="15" t="inlineStr">
        <is>
          <t xml:space="preserve">Parallel Account</t>
        </is>
      </c>
      <c r="I585" s="15"/>
      <c r="J585" s="15" t="inlineStr">
        <is>
          <t xml:space="preserve">Yes</t>
        </is>
      </c>
      <c r="K585" s="15" t="inlineStr">
        <is>
          <t xml:space="preserve">No</t>
        </is>
      </c>
      <c r="L585" s="15" t="inlineStr">
        <is>
          <t xml:space="preserve">Probable</t>
        </is>
      </c>
      <c r="M585" s="15" t="inlineStr">
        <is>
          <t xml:space="preserve">Probable</t>
        </is>
      </c>
      <c r="N585" s="15" t="inlineStr">
        <is>
          <t xml:space="preserve">John</t>
        </is>
      </c>
      <c r="O585" s="15" t="inlineStr">
        <is>
          <t xml:space="preserve">CMP-07-047</t>
        </is>
      </c>
      <c r="P585" s="15" t="inlineStr">
        <is>
          <t xml:space="preserve">18:27</t>
        </is>
      </c>
      <c r="Q585" s="15" t="inlineStr">
        <is>
          <t xml:space="preserve">SRC-07-05; SRC-07-08; SRC-07-10</t>
        </is>
      </c>
      <c r="R585" s="15"/>
      <c r="S585" s="15"/>
    </row>
    <row r="586" ht="34" customHeight="1">
      <c r="A586" s="15" t="inlineStr">
        <is>
          <t xml:space="preserve">v0.7</t>
        </is>
      </c>
      <c r="B586" s="15" t="inlineStr">
        <is>
          <t xml:space="preserve">Bible_Journey_Canon_Map_v0_7_Gospel_Chronology.xlsx</t>
        </is>
      </c>
      <c r="C586" s="15" t="inlineStr">
        <is>
          <t xml:space="preserve">BLK-07-175</t>
        </is>
      </c>
      <c r="D586" s="15" t="inlineStr">
        <is>
          <t xml:space="preserve">CRS-07-085</t>
        </is>
      </c>
      <c r="E586" s="15">
        <v>1</v>
      </c>
      <c r="F586" s="15" t="inlineStr">
        <is>
          <t xml:space="preserve">Mark</t>
        </is>
      </c>
      <c r="G586" s="15" t="inlineStr">
        <is>
          <t xml:space="preserve">Mark 15:1-20</t>
        </is>
      </c>
      <c r="H586" s="15" t="inlineStr">
        <is>
          <t xml:space="preserve">Primary Account</t>
        </is>
      </c>
      <c r="I586" s="15"/>
      <c r="J586" s="15" t="inlineStr">
        <is>
          <t xml:space="preserve">Yes</t>
        </is>
      </c>
      <c r="K586" s="15" t="inlineStr">
        <is>
          <t xml:space="preserve">Yes</t>
        </is>
      </c>
      <c r="L586" s="15" t="inlineStr">
        <is>
          <t xml:space="preserve">Probable</t>
        </is>
      </c>
      <c r="M586" s="15" t="inlineStr">
        <is>
          <t xml:space="preserve">Probable</t>
        </is>
      </c>
      <c r="N586" s="15" t="inlineStr">
        <is>
          <t xml:space="preserve">Mark</t>
        </is>
      </c>
      <c r="O586" s="15" t="inlineStr">
        <is>
          <t xml:space="preserve">CMP-07-048</t>
        </is>
      </c>
      <c r="P586" s="15" t="inlineStr">
        <is>
          <t xml:space="preserve">15:20</t>
        </is>
      </c>
      <c r="Q586" s="15" t="inlineStr">
        <is>
          <t xml:space="preserve">SRC-07-03; SRC-07-05; SRC-07-08</t>
        </is>
      </c>
      <c r="R586" s="15"/>
      <c r="S586" s="15"/>
    </row>
    <row r="587" ht="34" customHeight="1">
      <c r="A587" s="15" t="inlineStr">
        <is>
          <t xml:space="preserve">v0.7</t>
        </is>
      </c>
      <c r="B587" s="15" t="inlineStr">
        <is>
          <t xml:space="preserve">Bible_Journey_Canon_Map_v0_7_Gospel_Chronology.xlsx</t>
        </is>
      </c>
      <c r="C587" s="15" t="inlineStr">
        <is>
          <t xml:space="preserve">BLK-07-176</t>
        </is>
      </c>
      <c r="D587" s="15" t="inlineStr">
        <is>
          <t xml:space="preserve">CRS-07-085</t>
        </is>
      </c>
      <c r="E587" s="15">
        <v>2</v>
      </c>
      <c r="F587" s="15" t="inlineStr">
        <is>
          <t xml:space="preserve">Matthew</t>
        </is>
      </c>
      <c r="G587" s="15" t="inlineStr">
        <is>
          <t xml:space="preserve">Matthew 27:1-31</t>
        </is>
      </c>
      <c r="H587" s="15" t="inlineStr">
        <is>
          <t xml:space="preserve">Parallel Account</t>
        </is>
      </c>
      <c r="I587" s="15"/>
      <c r="J587" s="15" t="inlineStr">
        <is>
          <t xml:space="preserve">Yes</t>
        </is>
      </c>
      <c r="K587" s="15" t="inlineStr">
        <is>
          <t xml:space="preserve">No</t>
        </is>
      </c>
      <c r="L587" s="15" t="inlineStr">
        <is>
          <t xml:space="preserve">Probable</t>
        </is>
      </c>
      <c r="M587" s="15" t="inlineStr">
        <is>
          <t xml:space="preserve">Probable</t>
        </is>
      </c>
      <c r="N587" s="15" t="inlineStr">
        <is>
          <t xml:space="preserve">Matthew</t>
        </is>
      </c>
      <c r="O587" s="15" t="inlineStr">
        <is>
          <t xml:space="preserve">CMP-07-048</t>
        </is>
      </c>
      <c r="P587" s="15" t="inlineStr">
        <is>
          <t xml:space="preserve">27:31</t>
        </is>
      </c>
      <c r="Q587" s="15" t="inlineStr">
        <is>
          <t xml:space="preserve">SRC-07-03; SRC-07-05; SRC-07-08</t>
        </is>
      </c>
      <c r="R587" s="15"/>
      <c r="S587" s="15"/>
    </row>
    <row r="588" ht="34" customHeight="1">
      <c r="A588" s="15" t="inlineStr">
        <is>
          <t xml:space="preserve">v0.7</t>
        </is>
      </c>
      <c r="B588" s="15" t="inlineStr">
        <is>
          <t xml:space="preserve">Bible_Journey_Canon_Map_v0_7_Gospel_Chronology.xlsx</t>
        </is>
      </c>
      <c r="C588" s="15" t="inlineStr">
        <is>
          <t xml:space="preserve">BLK-07-177</t>
        </is>
      </c>
      <c r="D588" s="15" t="inlineStr">
        <is>
          <t xml:space="preserve">CRS-07-085</t>
        </is>
      </c>
      <c r="E588" s="15">
        <v>3</v>
      </c>
      <c r="F588" s="15" t="inlineStr">
        <is>
          <t xml:space="preserve">Luke</t>
        </is>
      </c>
      <c r="G588" s="15" t="inlineStr">
        <is>
          <t xml:space="preserve">Luke 23:1-25</t>
        </is>
      </c>
      <c r="H588" s="15" t="inlineStr">
        <is>
          <t xml:space="preserve">Parallel Account</t>
        </is>
      </c>
      <c r="I588" s="15"/>
      <c r="J588" s="15" t="inlineStr">
        <is>
          <t xml:space="preserve">Yes</t>
        </is>
      </c>
      <c r="K588" s="15" t="inlineStr">
        <is>
          <t xml:space="preserve">No</t>
        </is>
      </c>
      <c r="L588" s="15" t="inlineStr">
        <is>
          <t xml:space="preserve">Probable</t>
        </is>
      </c>
      <c r="M588" s="15" t="inlineStr">
        <is>
          <t xml:space="preserve">Probable</t>
        </is>
      </c>
      <c r="N588" s="15" t="inlineStr">
        <is>
          <t xml:space="preserve">Luke</t>
        </is>
      </c>
      <c r="O588" s="15" t="inlineStr">
        <is>
          <t xml:space="preserve">CMP-07-048</t>
        </is>
      </c>
      <c r="P588" s="15" t="inlineStr">
        <is>
          <t xml:space="preserve">23:25</t>
        </is>
      </c>
      <c r="Q588" s="15" t="inlineStr">
        <is>
          <t xml:space="preserve">SRC-07-03; SRC-07-05; SRC-07-08</t>
        </is>
      </c>
      <c r="R588" s="15"/>
      <c r="S588" s="15"/>
    </row>
    <row r="589" ht="34" customHeight="1">
      <c r="A589" s="15" t="inlineStr">
        <is>
          <t xml:space="preserve">v0.7</t>
        </is>
      </c>
      <c r="B589" s="15" t="inlineStr">
        <is>
          <t xml:space="preserve">Bible_Journey_Canon_Map_v0_7_Gospel_Chronology.xlsx</t>
        </is>
      </c>
      <c r="C589" s="15" t="inlineStr">
        <is>
          <t xml:space="preserve">BLK-07-178</t>
        </is>
      </c>
      <c r="D589" s="15" t="inlineStr">
        <is>
          <t xml:space="preserve">CRS-07-085</t>
        </is>
      </c>
      <c r="E589" s="15">
        <v>4</v>
      </c>
      <c r="F589" s="15" t="inlineStr">
        <is>
          <t xml:space="preserve">John</t>
        </is>
      </c>
      <c r="G589" s="15" t="inlineStr">
        <is>
          <t xml:space="preserve">John 18:28-19:16</t>
        </is>
      </c>
      <c r="H589" s="15" t="inlineStr">
        <is>
          <t xml:space="preserve">Parallel Account</t>
        </is>
      </c>
      <c r="I589" s="15"/>
      <c r="J589" s="15" t="inlineStr">
        <is>
          <t xml:space="preserve">Yes</t>
        </is>
      </c>
      <c r="K589" s="15" t="inlineStr">
        <is>
          <t xml:space="preserve">No</t>
        </is>
      </c>
      <c r="L589" s="15" t="inlineStr">
        <is>
          <t xml:space="preserve">Probable</t>
        </is>
      </c>
      <c r="M589" s="15" t="inlineStr">
        <is>
          <t xml:space="preserve">Probable</t>
        </is>
      </c>
      <c r="N589" s="15" t="inlineStr">
        <is>
          <t xml:space="preserve">John</t>
        </is>
      </c>
      <c r="O589" s="15" t="inlineStr">
        <is>
          <t xml:space="preserve">CMP-07-048</t>
        </is>
      </c>
      <c r="P589" s="15" t="inlineStr">
        <is>
          <t xml:space="preserve">19:16</t>
        </is>
      </c>
      <c r="Q589" s="15" t="inlineStr">
        <is>
          <t xml:space="preserve">SRC-07-05; SRC-07-08; SRC-07-10</t>
        </is>
      </c>
      <c r="R589" s="15"/>
      <c r="S589" s="15"/>
    </row>
    <row r="590" ht="34" customHeight="1">
      <c r="A590" s="15" t="inlineStr">
        <is>
          <t xml:space="preserve">v0.7</t>
        </is>
      </c>
      <c r="B590" s="15" t="inlineStr">
        <is>
          <t xml:space="preserve">Bible_Journey_Canon_Map_v0_7_Gospel_Chronology.xlsx</t>
        </is>
      </c>
      <c r="C590" s="15" t="inlineStr">
        <is>
          <t xml:space="preserve">BLK-07-179</t>
        </is>
      </c>
      <c r="D590" s="15" t="inlineStr">
        <is>
          <t xml:space="preserve">CRS-07-086</t>
        </is>
      </c>
      <c r="E590" s="15">
        <v>1</v>
      </c>
      <c r="F590" s="15" t="inlineStr">
        <is>
          <t xml:space="preserve">Mark</t>
        </is>
      </c>
      <c r="G590" s="15" t="inlineStr">
        <is>
          <t xml:space="preserve">Mark 15:21-41</t>
        </is>
      </c>
      <c r="H590" s="15" t="inlineStr">
        <is>
          <t xml:space="preserve">Primary Account</t>
        </is>
      </c>
      <c r="I590" s="15"/>
      <c r="J590" s="15" t="inlineStr">
        <is>
          <t xml:space="preserve">Yes</t>
        </is>
      </c>
      <c r="K590" s="15" t="inlineStr">
        <is>
          <t xml:space="preserve">Yes</t>
        </is>
      </c>
      <c r="L590" s="15" t="inlineStr">
        <is>
          <t xml:space="preserve">Probable</t>
        </is>
      </c>
      <c r="M590" s="15" t="inlineStr">
        <is>
          <t xml:space="preserve">Probable</t>
        </is>
      </c>
      <c r="N590" s="15" t="inlineStr">
        <is>
          <t xml:space="preserve">Mark</t>
        </is>
      </c>
      <c r="O590" s="15" t="inlineStr">
        <is>
          <t xml:space="preserve">CMP-07-049</t>
        </is>
      </c>
      <c r="P590" s="15" t="inlineStr">
        <is>
          <t xml:space="preserve">15:41</t>
        </is>
      </c>
      <c r="Q590" s="15" t="inlineStr">
        <is>
          <t xml:space="preserve">SRC-07-03; SRC-07-05</t>
        </is>
      </c>
      <c r="R590" s="15"/>
      <c r="S590" s="15"/>
    </row>
    <row r="591" ht="34" customHeight="1">
      <c r="A591" s="15" t="inlineStr">
        <is>
          <t xml:space="preserve">v0.7</t>
        </is>
      </c>
      <c r="B591" s="15" t="inlineStr">
        <is>
          <t xml:space="preserve">Bible_Journey_Canon_Map_v0_7_Gospel_Chronology.xlsx</t>
        </is>
      </c>
      <c r="C591" s="15" t="inlineStr">
        <is>
          <t xml:space="preserve">BLK-07-180</t>
        </is>
      </c>
      <c r="D591" s="15" t="inlineStr">
        <is>
          <t xml:space="preserve">CRS-07-086</t>
        </is>
      </c>
      <c r="E591" s="15">
        <v>2</v>
      </c>
      <c r="F591" s="15" t="inlineStr">
        <is>
          <t xml:space="preserve">Matthew</t>
        </is>
      </c>
      <c r="G591" s="15" t="inlineStr">
        <is>
          <t xml:space="preserve">Matthew 27:32-56</t>
        </is>
      </c>
      <c r="H591" s="15" t="inlineStr">
        <is>
          <t xml:space="preserve">Parallel Account</t>
        </is>
      </c>
      <c r="I591" s="15"/>
      <c r="J591" s="15" t="inlineStr">
        <is>
          <t xml:space="preserve">Yes</t>
        </is>
      </c>
      <c r="K591" s="15" t="inlineStr">
        <is>
          <t xml:space="preserve">No</t>
        </is>
      </c>
      <c r="L591" s="15" t="inlineStr">
        <is>
          <t xml:space="preserve">Probable</t>
        </is>
      </c>
      <c r="M591" s="15" t="inlineStr">
        <is>
          <t xml:space="preserve">Probable</t>
        </is>
      </c>
      <c r="N591" s="15" t="inlineStr">
        <is>
          <t xml:space="preserve">Matthew</t>
        </is>
      </c>
      <c r="O591" s="15" t="inlineStr">
        <is>
          <t xml:space="preserve">CMP-07-049</t>
        </is>
      </c>
      <c r="P591" s="15" t="inlineStr">
        <is>
          <t xml:space="preserve">27:56</t>
        </is>
      </c>
      <c r="Q591" s="15" t="inlineStr">
        <is>
          <t xml:space="preserve">SRC-07-03; SRC-07-05</t>
        </is>
      </c>
      <c r="R591" s="15"/>
      <c r="S591" s="15"/>
    </row>
    <row r="592" ht="34" customHeight="1">
      <c r="A592" s="15" t="inlineStr">
        <is>
          <t xml:space="preserve">v0.7</t>
        </is>
      </c>
      <c r="B592" s="15" t="inlineStr">
        <is>
          <t xml:space="preserve">Bible_Journey_Canon_Map_v0_7_Gospel_Chronology.xlsx</t>
        </is>
      </c>
      <c r="C592" s="15" t="inlineStr">
        <is>
          <t xml:space="preserve">BLK-07-181</t>
        </is>
      </c>
      <c r="D592" s="15" t="inlineStr">
        <is>
          <t xml:space="preserve">CRS-07-086</t>
        </is>
      </c>
      <c r="E592" s="15">
        <v>3</v>
      </c>
      <c r="F592" s="15" t="inlineStr">
        <is>
          <t xml:space="preserve">Luke</t>
        </is>
      </c>
      <c r="G592" s="15" t="inlineStr">
        <is>
          <t xml:space="preserve">Luke 23:26-49</t>
        </is>
      </c>
      <c r="H592" s="15" t="inlineStr">
        <is>
          <t xml:space="preserve">Parallel Account</t>
        </is>
      </c>
      <c r="I592" s="15"/>
      <c r="J592" s="15" t="inlineStr">
        <is>
          <t xml:space="preserve">Yes</t>
        </is>
      </c>
      <c r="K592" s="15" t="inlineStr">
        <is>
          <t xml:space="preserve">No</t>
        </is>
      </c>
      <c r="L592" s="15" t="inlineStr">
        <is>
          <t xml:space="preserve">Probable</t>
        </is>
      </c>
      <c r="M592" s="15" t="inlineStr">
        <is>
          <t xml:space="preserve">Probable</t>
        </is>
      </c>
      <c r="N592" s="15" t="inlineStr">
        <is>
          <t xml:space="preserve">Luke</t>
        </is>
      </c>
      <c r="O592" s="15" t="inlineStr">
        <is>
          <t xml:space="preserve">CMP-07-049</t>
        </is>
      </c>
      <c r="P592" s="15" t="inlineStr">
        <is>
          <t xml:space="preserve">23:49</t>
        </is>
      </c>
      <c r="Q592" s="15" t="inlineStr">
        <is>
          <t xml:space="preserve">SRC-07-03; SRC-07-05</t>
        </is>
      </c>
      <c r="R592" s="15"/>
      <c r="S592" s="15"/>
    </row>
    <row r="593" ht="34" customHeight="1">
      <c r="A593" s="15" t="inlineStr">
        <is>
          <t xml:space="preserve">v0.7</t>
        </is>
      </c>
      <c r="B593" s="15" t="inlineStr">
        <is>
          <t xml:space="preserve">Bible_Journey_Canon_Map_v0_7_Gospel_Chronology.xlsx</t>
        </is>
      </c>
      <c r="C593" s="15" t="inlineStr">
        <is>
          <t xml:space="preserve">BLK-07-182</t>
        </is>
      </c>
      <c r="D593" s="15" t="inlineStr">
        <is>
          <t xml:space="preserve">CRS-07-086</t>
        </is>
      </c>
      <c r="E593" s="15">
        <v>4</v>
      </c>
      <c r="F593" s="15" t="inlineStr">
        <is>
          <t xml:space="preserve">John</t>
        </is>
      </c>
      <c r="G593" s="15" t="inlineStr">
        <is>
          <t xml:space="preserve">John 19:17-37</t>
        </is>
      </c>
      <c r="H593" s="15" t="inlineStr">
        <is>
          <t xml:space="preserve">Parallel Account</t>
        </is>
      </c>
      <c r="I593" s="15"/>
      <c r="J593" s="15" t="inlineStr">
        <is>
          <t xml:space="preserve">Yes</t>
        </is>
      </c>
      <c r="K593" s="15" t="inlineStr">
        <is>
          <t xml:space="preserve">No</t>
        </is>
      </c>
      <c r="L593" s="15" t="inlineStr">
        <is>
          <t xml:space="preserve">Probable</t>
        </is>
      </c>
      <c r="M593" s="15" t="inlineStr">
        <is>
          <t xml:space="preserve">Probable</t>
        </is>
      </c>
      <c r="N593" s="15" t="inlineStr">
        <is>
          <t xml:space="preserve">John</t>
        </is>
      </c>
      <c r="O593" s="15" t="inlineStr">
        <is>
          <t xml:space="preserve">CMP-07-049</t>
        </is>
      </c>
      <c r="P593" s="15" t="inlineStr">
        <is>
          <t xml:space="preserve">19:37</t>
        </is>
      </c>
      <c r="Q593" s="15" t="inlineStr">
        <is>
          <t xml:space="preserve">SRC-07-03; SRC-07-05; SRC-07-10</t>
        </is>
      </c>
      <c r="R593" s="15"/>
      <c r="S593" s="15"/>
    </row>
    <row r="594" ht="34" customHeight="1">
      <c r="A594" s="15" t="inlineStr">
        <is>
          <t xml:space="preserve">v0.7</t>
        </is>
      </c>
      <c r="B594" s="15" t="inlineStr">
        <is>
          <t xml:space="preserve">Bible_Journey_Canon_Map_v0_7_Gospel_Chronology.xlsx</t>
        </is>
      </c>
      <c r="C594" s="15" t="inlineStr">
        <is>
          <t xml:space="preserve">BLK-07-183</t>
        </is>
      </c>
      <c r="D594" s="15" t="inlineStr">
        <is>
          <t xml:space="preserve">CRS-07-087</t>
        </is>
      </c>
      <c r="E594" s="15">
        <v>1</v>
      </c>
      <c r="F594" s="15" t="inlineStr">
        <is>
          <t xml:space="preserve">Mark</t>
        </is>
      </c>
      <c r="G594" s="15" t="inlineStr">
        <is>
          <t xml:space="preserve">Mark 15:42-47</t>
        </is>
      </c>
      <c r="H594" s="15" t="inlineStr">
        <is>
          <t xml:space="preserve">Primary Account</t>
        </is>
      </c>
      <c r="I594" s="15"/>
      <c r="J594" s="15" t="inlineStr">
        <is>
          <t xml:space="preserve">Yes</t>
        </is>
      </c>
      <c r="K594" s="15" t="inlineStr">
        <is>
          <t xml:space="preserve">Yes</t>
        </is>
      </c>
      <c r="L594" s="15" t="inlineStr">
        <is>
          <t xml:space="preserve">Probable</t>
        </is>
      </c>
      <c r="M594" s="15" t="inlineStr">
        <is>
          <t xml:space="preserve">Probable</t>
        </is>
      </c>
      <c r="N594" s="15" t="inlineStr">
        <is>
          <t xml:space="preserve">Mark</t>
        </is>
      </c>
      <c r="O594" s="15" t="inlineStr">
        <is>
          <t xml:space="preserve">CMP-07-050</t>
        </is>
      </c>
      <c r="P594" s="15" t="inlineStr">
        <is>
          <t xml:space="preserve">15:end</t>
        </is>
      </c>
      <c r="Q594" s="15" t="inlineStr">
        <is>
          <t xml:space="preserve">SRC-07-05</t>
        </is>
      </c>
      <c r="R594" s="15"/>
      <c r="S594" s="15"/>
    </row>
    <row r="595" ht="34" customHeight="1">
      <c r="A595" s="15" t="inlineStr">
        <is>
          <t xml:space="preserve">v0.7</t>
        </is>
      </c>
      <c r="B595" s="15" t="inlineStr">
        <is>
          <t xml:space="preserve">Bible_Journey_Canon_Map_v0_7_Gospel_Chronology.xlsx</t>
        </is>
      </c>
      <c r="C595" s="15" t="inlineStr">
        <is>
          <t xml:space="preserve">BLK-07-184</t>
        </is>
      </c>
      <c r="D595" s="15" t="inlineStr">
        <is>
          <t xml:space="preserve">CRS-07-087</t>
        </is>
      </c>
      <c r="E595" s="15">
        <v>2</v>
      </c>
      <c r="F595" s="15" t="inlineStr">
        <is>
          <t xml:space="preserve">Matthew</t>
        </is>
      </c>
      <c r="G595" s="15" t="inlineStr">
        <is>
          <t xml:space="preserve">Matthew 27:57-66</t>
        </is>
      </c>
      <c r="H595" s="15" t="inlineStr">
        <is>
          <t xml:space="preserve">Parallel Account</t>
        </is>
      </c>
      <c r="I595" s="15"/>
      <c r="J595" s="15" t="inlineStr">
        <is>
          <t xml:space="preserve">Yes</t>
        </is>
      </c>
      <c r="K595" s="15" t="inlineStr">
        <is>
          <t xml:space="preserve">No</t>
        </is>
      </c>
      <c r="L595" s="15" t="inlineStr">
        <is>
          <t xml:space="preserve">Probable</t>
        </is>
      </c>
      <c r="M595" s="15" t="inlineStr">
        <is>
          <t xml:space="preserve">Probable</t>
        </is>
      </c>
      <c r="N595" s="15" t="inlineStr">
        <is>
          <t xml:space="preserve">Matthew</t>
        </is>
      </c>
      <c r="O595" s="15" t="inlineStr">
        <is>
          <t xml:space="preserve">CMP-07-050</t>
        </is>
      </c>
      <c r="P595" s="15" t="inlineStr">
        <is>
          <t xml:space="preserve">27:end</t>
        </is>
      </c>
      <c r="Q595" s="15" t="inlineStr">
        <is>
          <t xml:space="preserve">SRC-07-05</t>
        </is>
      </c>
      <c r="R595" s="15"/>
      <c r="S595" s="15"/>
    </row>
    <row r="596" ht="34" customHeight="1">
      <c r="A596" s="15" t="inlineStr">
        <is>
          <t xml:space="preserve">v0.7</t>
        </is>
      </c>
      <c r="B596" s="15" t="inlineStr">
        <is>
          <t xml:space="preserve">Bible_Journey_Canon_Map_v0_7_Gospel_Chronology.xlsx</t>
        </is>
      </c>
      <c r="C596" s="15" t="inlineStr">
        <is>
          <t xml:space="preserve">BLK-07-185</t>
        </is>
      </c>
      <c r="D596" s="15" t="inlineStr">
        <is>
          <t xml:space="preserve">CRS-07-087</t>
        </is>
      </c>
      <c r="E596" s="15">
        <v>3</v>
      </c>
      <c r="F596" s="15" t="inlineStr">
        <is>
          <t xml:space="preserve">Luke</t>
        </is>
      </c>
      <c r="G596" s="15" t="inlineStr">
        <is>
          <t xml:space="preserve">Luke 23:50-56</t>
        </is>
      </c>
      <c r="H596" s="15" t="inlineStr">
        <is>
          <t xml:space="preserve">Parallel Account</t>
        </is>
      </c>
      <c r="I596" s="15"/>
      <c r="J596" s="15" t="inlineStr">
        <is>
          <t xml:space="preserve">Yes</t>
        </is>
      </c>
      <c r="K596" s="15" t="inlineStr">
        <is>
          <t xml:space="preserve">No</t>
        </is>
      </c>
      <c r="L596" s="15" t="inlineStr">
        <is>
          <t xml:space="preserve">Probable</t>
        </is>
      </c>
      <c r="M596" s="15" t="inlineStr">
        <is>
          <t xml:space="preserve">Probable</t>
        </is>
      </c>
      <c r="N596" s="15" t="inlineStr">
        <is>
          <t xml:space="preserve">Luke</t>
        </is>
      </c>
      <c r="O596" s="15" t="inlineStr">
        <is>
          <t xml:space="preserve">CMP-07-050</t>
        </is>
      </c>
      <c r="P596" s="15" t="inlineStr">
        <is>
          <t xml:space="preserve">23:end</t>
        </is>
      </c>
      <c r="Q596" s="15" t="inlineStr">
        <is>
          <t xml:space="preserve">SRC-07-05</t>
        </is>
      </c>
      <c r="R596" s="15"/>
      <c r="S596" s="15"/>
    </row>
    <row r="597" ht="34" customHeight="1">
      <c r="A597" s="15" t="inlineStr">
        <is>
          <t xml:space="preserve">v0.7</t>
        </is>
      </c>
      <c r="B597" s="15" t="inlineStr">
        <is>
          <t xml:space="preserve">Bible_Journey_Canon_Map_v0_7_Gospel_Chronology.xlsx</t>
        </is>
      </c>
      <c r="C597" s="15" t="inlineStr">
        <is>
          <t xml:space="preserve">BLK-07-186</t>
        </is>
      </c>
      <c r="D597" s="15" t="inlineStr">
        <is>
          <t xml:space="preserve">CRS-07-087</t>
        </is>
      </c>
      <c r="E597" s="15">
        <v>4</v>
      </c>
      <c r="F597" s="15" t="inlineStr">
        <is>
          <t xml:space="preserve">John</t>
        </is>
      </c>
      <c r="G597" s="15" t="inlineStr">
        <is>
          <t xml:space="preserve">John 19:38-42</t>
        </is>
      </c>
      <c r="H597" s="15" t="inlineStr">
        <is>
          <t xml:space="preserve">Parallel Account</t>
        </is>
      </c>
      <c r="I597" s="15"/>
      <c r="J597" s="15" t="inlineStr">
        <is>
          <t xml:space="preserve">Yes</t>
        </is>
      </c>
      <c r="K597" s="15" t="inlineStr">
        <is>
          <t xml:space="preserve">No</t>
        </is>
      </c>
      <c r="L597" s="15" t="inlineStr">
        <is>
          <t xml:space="preserve">Probable</t>
        </is>
      </c>
      <c r="M597" s="15" t="inlineStr">
        <is>
          <t xml:space="preserve">Probable</t>
        </is>
      </c>
      <c r="N597" s="15" t="inlineStr">
        <is>
          <t xml:space="preserve">John</t>
        </is>
      </c>
      <c r="O597" s="15" t="inlineStr">
        <is>
          <t xml:space="preserve">CMP-07-050</t>
        </is>
      </c>
      <c r="P597" s="15" t="inlineStr">
        <is>
          <t xml:space="preserve">19:end</t>
        </is>
      </c>
      <c r="Q597" s="15" t="inlineStr">
        <is>
          <t xml:space="preserve">SRC-07-05; SRC-07-10</t>
        </is>
      </c>
      <c r="R597" s="15"/>
      <c r="S597" s="15"/>
    </row>
    <row r="598" ht="34" customHeight="1">
      <c r="A598" s="15" t="inlineStr">
        <is>
          <t xml:space="preserve">v0.7</t>
        </is>
      </c>
      <c r="B598" s="15" t="inlineStr">
        <is>
          <t xml:space="preserve">Bible_Journey_Canon_Map_v0_7_Gospel_Chronology.xlsx</t>
        </is>
      </c>
      <c r="C598" s="15" t="inlineStr">
        <is>
          <t xml:space="preserve">BLK-07-187</t>
        </is>
      </c>
      <c r="D598" s="15" t="inlineStr">
        <is>
          <t xml:space="preserve">CRS-07-088</t>
        </is>
      </c>
      <c r="E598" s="15">
        <v>1</v>
      </c>
      <c r="F598" s="15" t="inlineStr">
        <is>
          <t xml:space="preserve">Mark</t>
        </is>
      </c>
      <c r="G598" s="15" t="inlineStr">
        <is>
          <t xml:space="preserve">Mark 16:1-8</t>
        </is>
      </c>
      <c r="H598" s="15" t="inlineStr">
        <is>
          <t xml:space="preserve">Primary Account</t>
        </is>
      </c>
      <c r="I598" s="15"/>
      <c r="J598" s="15" t="inlineStr">
        <is>
          <t xml:space="preserve">Yes</t>
        </is>
      </c>
      <c r="K598" s="15" t="inlineStr">
        <is>
          <t xml:space="preserve">Yes</t>
        </is>
      </c>
      <c r="L598" s="15" t="inlineStr">
        <is>
          <t xml:space="preserve">Probable</t>
        </is>
      </c>
      <c r="M598" s="15" t="inlineStr">
        <is>
          <t xml:space="preserve">Probable</t>
        </is>
      </c>
      <c r="N598" s="15" t="inlineStr">
        <is>
          <t xml:space="preserve">Mark</t>
        </is>
      </c>
      <c r="O598" s="15" t="inlineStr">
        <is>
          <t xml:space="preserve">CMP-07-051</t>
        </is>
      </c>
      <c r="P598" s="15" t="inlineStr">
        <is>
          <t xml:space="preserve">16:8</t>
        </is>
      </c>
      <c r="Q598" s="15" t="inlineStr">
        <is>
          <t xml:space="preserve">SRC-07-03; SRC-07-05</t>
        </is>
      </c>
      <c r="R598" s="15"/>
      <c r="S598" s="15"/>
    </row>
    <row r="599" ht="34" customHeight="1">
      <c r="A599" s="15" t="inlineStr">
        <is>
          <t xml:space="preserve">v0.7</t>
        </is>
      </c>
      <c r="B599" s="15" t="inlineStr">
        <is>
          <t xml:space="preserve">Bible_Journey_Canon_Map_v0_7_Gospel_Chronology.xlsx</t>
        </is>
      </c>
      <c r="C599" s="15" t="inlineStr">
        <is>
          <t xml:space="preserve">BLK-07-188</t>
        </is>
      </c>
      <c r="D599" s="15" t="inlineStr">
        <is>
          <t xml:space="preserve">CRS-07-088</t>
        </is>
      </c>
      <c r="E599" s="15">
        <v>2</v>
      </c>
      <c r="F599" s="15" t="inlineStr">
        <is>
          <t xml:space="preserve">Matthew</t>
        </is>
      </c>
      <c r="G599" s="15" t="inlineStr">
        <is>
          <t xml:space="preserve">Matthew 28:1-10</t>
        </is>
      </c>
      <c r="H599" s="15" t="inlineStr">
        <is>
          <t xml:space="preserve">Parallel Account</t>
        </is>
      </c>
      <c r="I599" s="15"/>
      <c r="J599" s="15" t="inlineStr">
        <is>
          <t xml:space="preserve">Yes</t>
        </is>
      </c>
      <c r="K599" s="15" t="inlineStr">
        <is>
          <t xml:space="preserve">No</t>
        </is>
      </c>
      <c r="L599" s="15" t="inlineStr">
        <is>
          <t xml:space="preserve">Probable</t>
        </is>
      </c>
      <c r="M599" s="15" t="inlineStr">
        <is>
          <t xml:space="preserve">Probable</t>
        </is>
      </c>
      <c r="N599" s="15" t="inlineStr">
        <is>
          <t xml:space="preserve">Matthew</t>
        </is>
      </c>
      <c r="O599" s="15" t="inlineStr">
        <is>
          <t xml:space="preserve">CMP-07-051</t>
        </is>
      </c>
      <c r="P599" s="15" t="inlineStr">
        <is>
          <t xml:space="preserve">28:10</t>
        </is>
      </c>
      <c r="Q599" s="15" t="inlineStr">
        <is>
          <t xml:space="preserve">SRC-07-03; SRC-07-05</t>
        </is>
      </c>
      <c r="R599" s="15"/>
      <c r="S599" s="15"/>
    </row>
    <row r="600" ht="34" customHeight="1">
      <c r="A600" s="15" t="inlineStr">
        <is>
          <t xml:space="preserve">v0.7</t>
        </is>
      </c>
      <c r="B600" s="15" t="inlineStr">
        <is>
          <t xml:space="preserve">Bible_Journey_Canon_Map_v0_7_Gospel_Chronology.xlsx</t>
        </is>
      </c>
      <c r="C600" s="15" t="inlineStr">
        <is>
          <t xml:space="preserve">BLK-07-189</t>
        </is>
      </c>
      <c r="D600" s="15" t="inlineStr">
        <is>
          <t xml:space="preserve">CRS-07-088</t>
        </is>
      </c>
      <c r="E600" s="15">
        <v>3</v>
      </c>
      <c r="F600" s="15" t="inlineStr">
        <is>
          <t xml:space="preserve">Luke</t>
        </is>
      </c>
      <c r="G600" s="15" t="inlineStr">
        <is>
          <t xml:space="preserve">Luke 24:1-12</t>
        </is>
      </c>
      <c r="H600" s="15" t="inlineStr">
        <is>
          <t xml:space="preserve">Parallel Account</t>
        </is>
      </c>
      <c r="I600" s="15"/>
      <c r="J600" s="15" t="inlineStr">
        <is>
          <t xml:space="preserve">Yes</t>
        </is>
      </c>
      <c r="K600" s="15" t="inlineStr">
        <is>
          <t xml:space="preserve">No</t>
        </is>
      </c>
      <c r="L600" s="15" t="inlineStr">
        <is>
          <t xml:space="preserve">Probable</t>
        </is>
      </c>
      <c r="M600" s="15" t="inlineStr">
        <is>
          <t xml:space="preserve">Probable</t>
        </is>
      </c>
      <c r="N600" s="15" t="inlineStr">
        <is>
          <t xml:space="preserve">Luke</t>
        </is>
      </c>
      <c r="O600" s="15" t="inlineStr">
        <is>
          <t xml:space="preserve">CMP-07-051</t>
        </is>
      </c>
      <c r="P600" s="15" t="inlineStr">
        <is>
          <t xml:space="preserve">24:12</t>
        </is>
      </c>
      <c r="Q600" s="15" t="inlineStr">
        <is>
          <t xml:space="preserve">SRC-07-03; SRC-07-05</t>
        </is>
      </c>
      <c r="R600" s="15"/>
      <c r="S600" s="15"/>
    </row>
    <row r="601" ht="34" customHeight="1">
      <c r="A601" s="15" t="inlineStr">
        <is>
          <t xml:space="preserve">v0.7</t>
        </is>
      </c>
      <c r="B601" s="15" t="inlineStr">
        <is>
          <t xml:space="preserve">Bible_Journey_Canon_Map_v0_7_Gospel_Chronology.xlsx</t>
        </is>
      </c>
      <c r="C601" s="15" t="inlineStr">
        <is>
          <t xml:space="preserve">BLK-07-190</t>
        </is>
      </c>
      <c r="D601" s="15" t="inlineStr">
        <is>
          <t xml:space="preserve">CRS-07-088</t>
        </is>
      </c>
      <c r="E601" s="15">
        <v>4</v>
      </c>
      <c r="F601" s="15" t="inlineStr">
        <is>
          <t xml:space="preserve">John</t>
        </is>
      </c>
      <c r="G601" s="15" t="inlineStr">
        <is>
          <t xml:space="preserve">John 20:1-18</t>
        </is>
      </c>
      <c r="H601" s="15" t="inlineStr">
        <is>
          <t xml:space="preserve">Parallel Account</t>
        </is>
      </c>
      <c r="I601" s="15"/>
      <c r="J601" s="15" t="inlineStr">
        <is>
          <t xml:space="preserve">Yes</t>
        </is>
      </c>
      <c r="K601" s="15" t="inlineStr">
        <is>
          <t xml:space="preserve">No</t>
        </is>
      </c>
      <c r="L601" s="15" t="inlineStr">
        <is>
          <t xml:space="preserve">Probable</t>
        </is>
      </c>
      <c r="M601" s="15" t="inlineStr">
        <is>
          <t xml:space="preserve">Probable</t>
        </is>
      </c>
      <c r="N601" s="15" t="inlineStr">
        <is>
          <t xml:space="preserve">John</t>
        </is>
      </c>
      <c r="O601" s="15" t="inlineStr">
        <is>
          <t xml:space="preserve">CMP-07-051</t>
        </is>
      </c>
      <c r="P601" s="15" t="inlineStr">
        <is>
          <t xml:space="preserve">20:18</t>
        </is>
      </c>
      <c r="Q601" s="15" t="inlineStr">
        <is>
          <t xml:space="preserve">SRC-07-03; SRC-07-05; SRC-07-10</t>
        </is>
      </c>
      <c r="R601" s="15"/>
      <c r="S601" s="15"/>
    </row>
    <row r="602" ht="34" customHeight="1">
      <c r="A602" s="15" t="inlineStr">
        <is>
          <t xml:space="preserve">v0.7</t>
        </is>
      </c>
      <c r="B602" s="15" t="inlineStr">
        <is>
          <t xml:space="preserve">Bible_Journey_Canon_Map_v0_7_Gospel_Chronology.xlsx</t>
        </is>
      </c>
      <c r="C602" s="15" t="inlineStr">
        <is>
          <t xml:space="preserve">BLK-07-191</t>
        </is>
      </c>
      <c r="D602" s="15" t="inlineStr">
        <is>
          <t xml:space="preserve">CRS-07-089</t>
        </is>
      </c>
      <c r="E602" s="15">
        <v>1</v>
      </c>
      <c r="F602" s="15" t="inlineStr">
        <is>
          <t xml:space="preserve">Matthew</t>
        </is>
      </c>
      <c r="G602" s="15" t="inlineStr">
        <is>
          <t xml:space="preserve">Matthew 28:11-20</t>
        </is>
      </c>
      <c r="H602" s="15" t="inlineStr">
        <is>
          <t xml:space="preserve">Primary Account</t>
        </is>
      </c>
      <c r="I602" s="15"/>
      <c r="J602" s="15" t="inlineStr">
        <is>
          <t xml:space="preserve">Yes</t>
        </is>
      </c>
      <c r="K602" s="15" t="inlineStr">
        <is>
          <t xml:space="preserve">Yes</t>
        </is>
      </c>
      <c r="L602" s="15" t="inlineStr">
        <is>
          <t xml:space="preserve">Probable</t>
        </is>
      </c>
      <c r="M602" s="15" t="inlineStr">
        <is>
          <t xml:space="preserve">Probable</t>
        </is>
      </c>
      <c r="N602" s="15" t="inlineStr">
        <is>
          <t xml:space="preserve">Matthew</t>
        </is>
      </c>
      <c r="O602" s="15" t="inlineStr">
        <is>
          <t xml:space="preserve">CMP-07-052</t>
        </is>
      </c>
      <c r="P602" s="15" t="inlineStr">
        <is>
          <t xml:space="preserve">28:end</t>
        </is>
      </c>
      <c r="Q602" s="15" t="inlineStr">
        <is>
          <t xml:space="preserve">SRC-07-03; SRC-07-05</t>
        </is>
      </c>
      <c r="R602" s="15"/>
      <c r="S602" s="15"/>
    </row>
    <row r="603" ht="34" customHeight="1">
      <c r="A603" s="15" t="inlineStr">
        <is>
          <t xml:space="preserve">v0.7</t>
        </is>
      </c>
      <c r="B603" s="15" t="inlineStr">
        <is>
          <t xml:space="preserve">Bible_Journey_Canon_Map_v0_7_Gospel_Chronology.xlsx</t>
        </is>
      </c>
      <c r="C603" s="15" t="inlineStr">
        <is>
          <t xml:space="preserve">BLK-07-192</t>
        </is>
      </c>
      <c r="D603" s="15" t="inlineStr">
        <is>
          <t xml:space="preserve">CRS-07-089</t>
        </is>
      </c>
      <c r="E603" s="15">
        <v>2</v>
      </c>
      <c r="F603" s="15" t="inlineStr">
        <is>
          <t xml:space="preserve">Luke</t>
        </is>
      </c>
      <c r="G603" s="15" t="inlineStr">
        <is>
          <t xml:space="preserve">Luke 24:13-53</t>
        </is>
      </c>
      <c r="H603" s="15" t="inlineStr">
        <is>
          <t xml:space="preserve">Parallel Account</t>
        </is>
      </c>
      <c r="I603" s="15"/>
      <c r="J603" s="15" t="inlineStr">
        <is>
          <t xml:space="preserve">Yes</t>
        </is>
      </c>
      <c r="K603" s="15" t="inlineStr">
        <is>
          <t xml:space="preserve">No</t>
        </is>
      </c>
      <c r="L603" s="15" t="inlineStr">
        <is>
          <t xml:space="preserve">Probable</t>
        </is>
      </c>
      <c r="M603" s="15" t="inlineStr">
        <is>
          <t xml:space="preserve">Probable</t>
        </is>
      </c>
      <c r="N603" s="15" t="inlineStr">
        <is>
          <t xml:space="preserve">Luke</t>
        </is>
      </c>
      <c r="O603" s="15" t="inlineStr">
        <is>
          <t xml:space="preserve">CMP-07-052</t>
        </is>
      </c>
      <c r="P603" s="15" t="inlineStr">
        <is>
          <t xml:space="preserve">24:end</t>
        </is>
      </c>
      <c r="Q603" s="15" t="inlineStr">
        <is>
          <t xml:space="preserve">SRC-07-03; SRC-07-05</t>
        </is>
      </c>
      <c r="R603" s="15"/>
      <c r="S603" s="15"/>
    </row>
    <row r="604" ht="34" customHeight="1">
      <c r="A604" s="15" t="inlineStr">
        <is>
          <t xml:space="preserve">v0.7</t>
        </is>
      </c>
      <c r="B604" s="15" t="inlineStr">
        <is>
          <t xml:space="preserve">Bible_Journey_Canon_Map_v0_7_Gospel_Chronology.xlsx</t>
        </is>
      </c>
      <c r="C604" s="15" t="inlineStr">
        <is>
          <t xml:space="preserve">BLK-07-193</t>
        </is>
      </c>
      <c r="D604" s="15" t="inlineStr">
        <is>
          <t xml:space="preserve">CRS-07-089</t>
        </is>
      </c>
      <c r="E604" s="15">
        <v>3</v>
      </c>
      <c r="F604" s="15" t="inlineStr">
        <is>
          <t xml:space="preserve">John</t>
        </is>
      </c>
      <c r="G604" s="15" t="inlineStr">
        <is>
          <t xml:space="preserve">John 20:19-31</t>
        </is>
      </c>
      <c r="H604" s="15" t="inlineStr">
        <is>
          <t xml:space="preserve">Parallel Account</t>
        </is>
      </c>
      <c r="I604" s="15"/>
      <c r="J604" s="15" t="inlineStr">
        <is>
          <t xml:space="preserve">Yes</t>
        </is>
      </c>
      <c r="K604" s="15" t="inlineStr">
        <is>
          <t xml:space="preserve">No</t>
        </is>
      </c>
      <c r="L604" s="15" t="inlineStr">
        <is>
          <t xml:space="preserve">Probable</t>
        </is>
      </c>
      <c r="M604" s="15" t="inlineStr">
        <is>
          <t xml:space="preserve">Probable</t>
        </is>
      </c>
      <c r="N604" s="15" t="inlineStr">
        <is>
          <t xml:space="preserve">John</t>
        </is>
      </c>
      <c r="O604" s="15" t="inlineStr">
        <is>
          <t xml:space="preserve">CMP-07-052</t>
        </is>
      </c>
      <c r="P604" s="15" t="inlineStr">
        <is>
          <t xml:space="preserve">20:end</t>
        </is>
      </c>
      <c r="Q604" s="15" t="inlineStr">
        <is>
          <t xml:space="preserve">SRC-07-03; SRC-07-05; SRC-07-10</t>
        </is>
      </c>
      <c r="R604" s="15"/>
      <c r="S604" s="15"/>
    </row>
    <row r="605" ht="34" customHeight="1">
      <c r="A605" s="15" t="inlineStr">
        <is>
          <t xml:space="preserve">v0.7</t>
        </is>
      </c>
      <c r="B605" s="15" t="inlineStr">
        <is>
          <t xml:space="preserve">Bible_Journey_Canon_Map_v0_7_Gospel_Chronology.xlsx</t>
        </is>
      </c>
      <c r="C605" s="15" t="inlineStr">
        <is>
          <t xml:space="preserve">BLK-07-194</t>
        </is>
      </c>
      <c r="D605" s="15" t="inlineStr">
        <is>
          <t xml:space="preserve">CRS-07-089</t>
        </is>
      </c>
      <c r="E605" s="15">
        <v>4</v>
      </c>
      <c r="F605" s="15" t="inlineStr">
        <is>
          <t xml:space="preserve">Mark</t>
        </is>
      </c>
      <c r="G605" s="15" t="inlineStr">
        <is>
          <t xml:space="preserve">Mark 16:9-20</t>
        </is>
      </c>
      <c r="H605" s="15" t="inlineStr">
        <is>
          <t xml:space="preserve">Textual Note</t>
        </is>
      </c>
      <c r="I605" s="15"/>
      <c r="J605" s="15" t="inlineStr">
        <is>
          <t xml:space="preserve">Yes</t>
        </is>
      </c>
      <c r="K605" s="15" t="inlineStr">
        <is>
          <t xml:space="preserve">No</t>
        </is>
      </c>
      <c r="L605" s="15" t="inlineStr">
        <is>
          <t xml:space="preserve">Probable</t>
        </is>
      </c>
      <c r="M605" s="15" t="inlineStr">
        <is>
          <t xml:space="preserve">Probable</t>
        </is>
      </c>
      <c r="N605" s="15" t="inlineStr">
        <is>
          <t xml:space="preserve">Mark</t>
        </is>
      </c>
      <c r="O605" s="15" t="inlineStr">
        <is>
          <t xml:space="preserve">CMP-07-052</t>
        </is>
      </c>
      <c r="P605" s="15" t="inlineStr">
        <is>
          <t xml:space="preserve">16:end</t>
        </is>
      </c>
      <c r="Q605" s="15" t="inlineStr">
        <is>
          <t xml:space="preserve">SRC-07-05; SRC-07-07</t>
        </is>
      </c>
      <c r="R605" s="15"/>
      <c r="S605" s="15" t="inlineStr">
        <is>
          <t xml:space="preserve">Surface according to selected translation's handling; never silently normalize.</t>
        </is>
      </c>
    </row>
    <row r="606" ht="34" customHeight="1">
      <c r="A606" s="15" t="inlineStr">
        <is>
          <t xml:space="preserve">v0.7</t>
        </is>
      </c>
      <c r="B606" s="15" t="inlineStr">
        <is>
          <t xml:space="preserve">Bible_Journey_Canon_Map_v0_7_Gospel_Chronology.xlsx</t>
        </is>
      </c>
      <c r="C606" s="15" t="inlineStr">
        <is>
          <t xml:space="preserve">BLK-07-195</t>
        </is>
      </c>
      <c r="D606" s="15" t="inlineStr">
        <is>
          <t xml:space="preserve">CRS-07-090</t>
        </is>
      </c>
      <c r="E606" s="15">
        <v>1</v>
      </c>
      <c r="F606" s="15" t="inlineStr">
        <is>
          <t xml:space="preserve">John</t>
        </is>
      </c>
      <c r="G606" s="15" t="inlineStr">
        <is>
          <t xml:space="preserve">John 21</t>
        </is>
      </c>
      <c r="H606" s="15" t="inlineStr">
        <is>
          <t xml:space="preserve">Primary Account</t>
        </is>
      </c>
      <c r="I606" s="15"/>
      <c r="J606" s="15" t="inlineStr">
        <is>
          <t xml:space="preserve">Yes</t>
        </is>
      </c>
      <c r="K606" s="15" t="inlineStr">
        <is>
          <t xml:space="preserve">Yes</t>
        </is>
      </c>
      <c r="L606" s="15" t="inlineStr">
        <is>
          <t xml:space="preserve">Probable</t>
        </is>
      </c>
      <c r="M606" s="15" t="inlineStr">
        <is>
          <t xml:space="preserve">Probable</t>
        </is>
      </c>
      <c r="N606" s="15" t="inlineStr">
        <is>
          <t xml:space="preserve">John</t>
        </is>
      </c>
      <c r="O606" s="15"/>
      <c r="P606" s="15" t="inlineStr">
        <is>
          <t xml:space="preserve">21:end</t>
        </is>
      </c>
      <c r="Q606" s="15" t="inlineStr">
        <is>
          <t xml:space="preserve">SRC-07-10</t>
        </is>
      </c>
      <c r="R606" s="15"/>
      <c r="S606" s="15"/>
    </row>
    <row r="607" ht="34" customHeight="1">
      <c r="A607" s="15" t="inlineStr">
        <is>
          <t xml:space="preserve">v0.8</t>
        </is>
      </c>
      <c r="B607" s="15" t="inlineStr">
        <is>
          <t xml:space="preserve">Bible_Journey_Canon_Map_v0_8_Acts_Pauline_Letters.xlsx</t>
        </is>
      </c>
      <c r="C607" s="15" t="inlineStr">
        <is>
          <t xml:space="preserve">BLK-001</t>
        </is>
      </c>
      <c r="D607" s="15" t="inlineStr">
        <is>
          <t xml:space="preserve">CRS-NT-001</t>
        </is>
      </c>
      <c r="E607" s="15"/>
      <c r="F607" s="15" t="inlineStr">
        <is>
          <t xml:space="preserve">Acts</t>
        </is>
      </c>
      <c r="G607" s="15" t="inlineStr">
        <is>
          <t xml:space="preserve">Acts 1</t>
        </is>
      </c>
      <c r="H607" s="15" t="inlineStr">
        <is>
          <t xml:space="preserve">Primary account</t>
        </is>
      </c>
      <c r="I607" s="15"/>
      <c r="J607" s="15"/>
      <c r="K607" s="15" t="inlineStr">
        <is>
          <t xml:space="preserve">Primary reading</t>
        </is>
      </c>
      <c r="L607" s="15"/>
      <c r="M607" s="15" t="inlineStr">
        <is>
          <t xml:space="preserve">High</t>
        </is>
      </c>
      <c r="N607" s="15" t="inlineStr">
        <is>
          <t xml:space="preserve">Yes</t>
        </is>
      </c>
      <c r="O607" s="15"/>
      <c r="P607" s="15"/>
      <c r="Q607" s="15" t="inlineStr">
        <is>
          <t xml:space="preserve">S07</t>
        </is>
      </c>
      <c r="R607" s="11" t="inlineStr">
        <is>
          <t xml:space="preserve">Ready for editorial review</t>
        </is>
      </c>
      <c r="S607" s="15" t="inlineStr">
        <is>
          <t xml:space="preserve">The first unit begins with ascension, prayer, and restoration of the Twelve.</t>
        </is>
      </c>
    </row>
    <row r="608" ht="34" customHeight="1">
      <c r="A608" s="15" t="inlineStr">
        <is>
          <t xml:space="preserve">v0.8</t>
        </is>
      </c>
      <c r="B608" s="15" t="inlineStr">
        <is>
          <t xml:space="preserve">Bible_Journey_Canon_Map_v0_8_Acts_Pauline_Letters.xlsx</t>
        </is>
      </c>
      <c r="C608" s="15" t="inlineStr">
        <is>
          <t xml:space="preserve">BLK-002</t>
        </is>
      </c>
      <c r="D608" s="15" t="inlineStr">
        <is>
          <t xml:space="preserve">CRS-NT-002</t>
        </is>
      </c>
      <c r="E608" s="15"/>
      <c r="F608" s="15" t="inlineStr">
        <is>
          <t xml:space="preserve">Acts</t>
        </is>
      </c>
      <c r="G608" s="15" t="inlineStr">
        <is>
          <t xml:space="preserve">Acts 2</t>
        </is>
      </c>
      <c r="H608" s="15" t="inlineStr">
        <is>
          <t xml:space="preserve">Primary account</t>
        </is>
      </c>
      <c r="I608" s="15"/>
      <c r="J608" s="15"/>
      <c r="K608" s="15" t="inlineStr">
        <is>
          <t xml:space="preserve">Primary reading</t>
        </is>
      </c>
      <c r="L608" s="15"/>
      <c r="M608" s="15" t="inlineStr">
        <is>
          <t xml:space="preserve">High</t>
        </is>
      </c>
      <c r="N608" s="15" t="inlineStr">
        <is>
          <t xml:space="preserve">Yes</t>
        </is>
      </c>
      <c r="O608" s="15"/>
      <c r="P608" s="15"/>
      <c r="Q608" s="15" t="inlineStr">
        <is>
          <t xml:space="preserve">S07</t>
        </is>
      </c>
      <c r="R608" s="11" t="inlineStr">
        <is>
          <t xml:space="preserve">Ready for editorial review</t>
        </is>
      </c>
      <c r="S608" s="15" t="inlineStr">
        <is>
          <t xml:space="preserve">Core Jerusalem community unit.</t>
        </is>
      </c>
    </row>
    <row r="609" ht="34" customHeight="1">
      <c r="A609" s="15" t="inlineStr">
        <is>
          <t xml:space="preserve">v0.8</t>
        </is>
      </c>
      <c r="B609" s="15" t="inlineStr">
        <is>
          <t xml:space="preserve">Bible_Journey_Canon_Map_v0_8_Acts_Pauline_Letters.xlsx</t>
        </is>
      </c>
      <c r="C609" s="15" t="inlineStr">
        <is>
          <t xml:space="preserve">BLK-003</t>
        </is>
      </c>
      <c r="D609" s="15" t="inlineStr">
        <is>
          <t xml:space="preserve">CRS-NT-003</t>
        </is>
      </c>
      <c r="E609" s="15"/>
      <c r="F609" s="15" t="inlineStr">
        <is>
          <t xml:space="preserve">Acts</t>
        </is>
      </c>
      <c r="G609" s="15" t="inlineStr">
        <is>
          <t xml:space="preserve">Acts 3–4</t>
        </is>
      </c>
      <c r="H609" s="15" t="inlineStr">
        <is>
          <t xml:space="preserve">Primary account</t>
        </is>
      </c>
      <c r="I609" s="15"/>
      <c r="J609" s="15"/>
      <c r="K609" s="15" t="inlineStr">
        <is>
          <t xml:space="preserve">Primary reading</t>
        </is>
      </c>
      <c r="L609" s="15"/>
      <c r="M609" s="15" t="inlineStr">
        <is>
          <t xml:space="preserve">High</t>
        </is>
      </c>
      <c r="N609" s="15" t="inlineStr">
        <is>
          <t xml:space="preserve">Yes</t>
        </is>
      </c>
      <c r="O609" s="15"/>
      <c r="P609" s="15"/>
      <c r="Q609" s="15" t="inlineStr">
        <is>
          <t xml:space="preserve">S07</t>
        </is>
      </c>
      <c r="R609" s="11" t="inlineStr">
        <is>
          <t xml:space="preserve">Ready for editorial review</t>
        </is>
      </c>
      <c r="S609" s="15" t="inlineStr">
        <is>
          <t xml:space="preserve">Healing, proclamation, and communal response.</t>
        </is>
      </c>
    </row>
    <row r="610" ht="34" customHeight="1">
      <c r="A610" s="15" t="inlineStr">
        <is>
          <t xml:space="preserve">v0.8</t>
        </is>
      </c>
      <c r="B610" s="15" t="inlineStr">
        <is>
          <t xml:space="preserve">Bible_Journey_Canon_Map_v0_8_Acts_Pauline_Letters.xlsx</t>
        </is>
      </c>
      <c r="C610" s="15" t="inlineStr">
        <is>
          <t xml:space="preserve">BLK-004</t>
        </is>
      </c>
      <c r="D610" s="15" t="inlineStr">
        <is>
          <t xml:space="preserve">CRS-NT-004</t>
        </is>
      </c>
      <c r="E610" s="15"/>
      <c r="F610" s="15" t="inlineStr">
        <is>
          <t xml:space="preserve">Acts</t>
        </is>
      </c>
      <c r="G610" s="15" t="inlineStr">
        <is>
          <t xml:space="preserve">Acts 5:1–6:7</t>
        </is>
      </c>
      <c r="H610" s="15" t="inlineStr">
        <is>
          <t xml:space="preserve">Primary account</t>
        </is>
      </c>
      <c r="I610" s="15"/>
      <c r="J610" s="15"/>
      <c r="K610" s="15" t="inlineStr">
        <is>
          <t xml:space="preserve">Primary reading</t>
        </is>
      </c>
      <c r="L610" s="15"/>
      <c r="M610" s="15" t="inlineStr">
        <is>
          <t xml:space="preserve">High</t>
        </is>
      </c>
      <c r="N610" s="15" t="inlineStr">
        <is>
          <t xml:space="preserve">Yes</t>
        </is>
      </c>
      <c r="O610" s="15"/>
      <c r="P610" s="15"/>
      <c r="Q610" s="15" t="inlineStr">
        <is>
          <t xml:space="preserve">S07</t>
        </is>
      </c>
      <c r="R610" s="11" t="inlineStr">
        <is>
          <t xml:space="preserve">Ready for editorial review</t>
        </is>
      </c>
      <c r="S610" s="15" t="inlineStr">
        <is>
          <t xml:space="preserve">Ananias and Sapphira, apostles before the council, and appointment of the Seven.</t>
        </is>
      </c>
    </row>
    <row r="611" ht="34" customHeight="1">
      <c r="A611" s="15" t="inlineStr">
        <is>
          <t xml:space="preserve">v0.8</t>
        </is>
      </c>
      <c r="B611" s="15" t="inlineStr">
        <is>
          <t xml:space="preserve">Bible_Journey_Canon_Map_v0_8_Acts_Pauline_Letters.xlsx</t>
        </is>
      </c>
      <c r="C611" s="15" t="inlineStr">
        <is>
          <t xml:space="preserve">BLK-005</t>
        </is>
      </c>
      <c r="D611" s="15" t="inlineStr">
        <is>
          <t xml:space="preserve">CRS-NT-005</t>
        </is>
      </c>
      <c r="E611" s="15"/>
      <c r="F611" s="15" t="inlineStr">
        <is>
          <t xml:space="preserve">Acts</t>
        </is>
      </c>
      <c r="G611" s="15" t="inlineStr">
        <is>
          <t xml:space="preserve">Acts 6:8–8:3</t>
        </is>
      </c>
      <c r="H611" s="15" t="inlineStr">
        <is>
          <t xml:space="preserve">Primary account</t>
        </is>
      </c>
      <c r="I611" s="15"/>
      <c r="J611" s="15"/>
      <c r="K611" s="15" t="inlineStr">
        <is>
          <t xml:space="preserve">Primary reading</t>
        </is>
      </c>
      <c r="L611" s="15"/>
      <c r="M611" s="15" t="inlineStr">
        <is>
          <t xml:space="preserve">High</t>
        </is>
      </c>
      <c r="N611" s="15" t="inlineStr">
        <is>
          <t xml:space="preserve">Yes</t>
        </is>
      </c>
      <c r="O611" s="15"/>
      <c r="P611" s="15"/>
      <c r="Q611" s="15" t="inlineStr">
        <is>
          <t xml:space="preserve">S07</t>
        </is>
      </c>
      <c r="R611" s="11" t="inlineStr">
        <is>
          <t xml:space="preserve">Ready for editorial review</t>
        </is>
      </c>
      <c r="S611" s="15" t="inlineStr">
        <is>
          <t xml:space="preserve">Stephen's speech and the dispersion that reshapes the movement.</t>
        </is>
      </c>
    </row>
    <row r="612" ht="34" customHeight="1">
      <c r="A612" s="15" t="inlineStr">
        <is>
          <t xml:space="preserve">v0.8</t>
        </is>
      </c>
      <c r="B612" s="15" t="inlineStr">
        <is>
          <t xml:space="preserve">Bible_Journey_Canon_Map_v0_8_Acts_Pauline_Letters.xlsx</t>
        </is>
      </c>
      <c r="C612" s="15" t="inlineStr">
        <is>
          <t xml:space="preserve">BLK-006</t>
        </is>
      </c>
      <c r="D612" s="15" t="inlineStr">
        <is>
          <t xml:space="preserve">CRS-NT-006</t>
        </is>
      </c>
      <c r="E612" s="15"/>
      <c r="F612" s="15" t="inlineStr">
        <is>
          <t xml:space="preserve">Acts</t>
        </is>
      </c>
      <c r="G612" s="15" t="inlineStr">
        <is>
          <t xml:space="preserve">Acts 8:4–40</t>
        </is>
      </c>
      <c r="H612" s="15" t="inlineStr">
        <is>
          <t xml:space="preserve">Primary account</t>
        </is>
      </c>
      <c r="I612" s="15"/>
      <c r="J612" s="15"/>
      <c r="K612" s="15" t="inlineStr">
        <is>
          <t xml:space="preserve">Primary reading</t>
        </is>
      </c>
      <c r="L612" s="15"/>
      <c r="M612" s="15" t="inlineStr">
        <is>
          <t xml:space="preserve">High</t>
        </is>
      </c>
      <c r="N612" s="15" t="inlineStr">
        <is>
          <t xml:space="preserve">Yes</t>
        </is>
      </c>
      <c r="O612" s="15"/>
      <c r="P612" s="15"/>
      <c r="Q612" s="15" t="inlineStr">
        <is>
          <t xml:space="preserve">S07</t>
        </is>
      </c>
      <c r="R612" s="11" t="inlineStr">
        <is>
          <t xml:space="preserve">Ready for editorial review</t>
        </is>
      </c>
      <c r="S612" s="15" t="inlineStr">
        <is>
          <t xml:space="preserve">Expansion beyond Jerusalem prior to Paul's calling.</t>
        </is>
      </c>
    </row>
    <row r="613" ht="34" customHeight="1">
      <c r="A613" s="15" t="inlineStr">
        <is>
          <t xml:space="preserve">v0.8</t>
        </is>
      </c>
      <c r="B613" s="15" t="inlineStr">
        <is>
          <t xml:space="preserve">Bible_Journey_Canon_Map_v0_8_Acts_Pauline_Letters.xlsx</t>
        </is>
      </c>
      <c r="C613" s="15" t="inlineStr">
        <is>
          <t xml:space="preserve">BLK-007</t>
        </is>
      </c>
      <c r="D613" s="15" t="inlineStr">
        <is>
          <t xml:space="preserve">CRS-NT-007</t>
        </is>
      </c>
      <c r="E613" s="15"/>
      <c r="F613" s="15" t="inlineStr">
        <is>
          <t xml:space="preserve">Acts</t>
        </is>
      </c>
      <c r="G613" s="15" t="inlineStr">
        <is>
          <t xml:space="preserve">Acts 9:1–31</t>
        </is>
      </c>
      <c r="H613" s="15" t="inlineStr">
        <is>
          <t xml:space="preserve">Primary account</t>
        </is>
      </c>
      <c r="I613" s="15"/>
      <c r="J613" s="15"/>
      <c r="K613" s="15" t="inlineStr">
        <is>
          <t xml:space="preserve">Primary reading</t>
        </is>
      </c>
      <c r="L613" s="15"/>
      <c r="M613" s="15" t="inlineStr">
        <is>
          <t xml:space="preserve">High</t>
        </is>
      </c>
      <c r="N613" s="15" t="inlineStr">
        <is>
          <t xml:space="preserve">Yes</t>
        </is>
      </c>
      <c r="O613" s="15" t="inlineStr">
        <is>
          <t xml:space="preserve">CMP-PAUL-CALL</t>
        </is>
      </c>
      <c r="P613" s="15"/>
      <c r="Q613" s="15" t="inlineStr">
        <is>
          <t xml:space="preserve">S01</t>
        </is>
      </c>
      <c r="R613" s="15" t="inlineStr">
        <is>
          <t xml:space="preserve">Needs source check</t>
        </is>
      </c>
      <c r="S613" s="15" t="inlineStr">
        <is>
          <t xml:space="preserve">Acts and Paul's autobiographical references should be kept distinguishable in Compare/Study mode.</t>
        </is>
      </c>
    </row>
    <row r="614" ht="34" customHeight="1">
      <c r="A614" s="15" t="inlineStr">
        <is>
          <t xml:space="preserve">v0.8</t>
        </is>
      </c>
      <c r="B614" s="15" t="inlineStr">
        <is>
          <t xml:space="preserve">Bible_Journey_Canon_Map_v0_8_Acts_Pauline_Letters.xlsx</t>
        </is>
      </c>
      <c r="C614" s="15" t="inlineStr">
        <is>
          <t xml:space="preserve">BLK-008</t>
        </is>
      </c>
      <c r="D614" s="15" t="inlineStr">
        <is>
          <t xml:space="preserve">CRS-NT-008</t>
        </is>
      </c>
      <c r="E614" s="15"/>
      <c r="F614" s="15" t="inlineStr">
        <is>
          <t xml:space="preserve">Acts</t>
        </is>
      </c>
      <c r="G614" s="15" t="inlineStr">
        <is>
          <t xml:space="preserve">Acts 9:32–11:18</t>
        </is>
      </c>
      <c r="H614" s="15" t="inlineStr">
        <is>
          <t xml:space="preserve">Primary account</t>
        </is>
      </c>
      <c r="I614" s="15"/>
      <c r="J614" s="15"/>
      <c r="K614" s="15" t="inlineStr">
        <is>
          <t xml:space="preserve">Primary reading</t>
        </is>
      </c>
      <c r="L614" s="15"/>
      <c r="M614" s="15" t="inlineStr">
        <is>
          <t xml:space="preserve">High</t>
        </is>
      </c>
      <c r="N614" s="15" t="inlineStr">
        <is>
          <t xml:space="preserve">Yes</t>
        </is>
      </c>
      <c r="O614" s="15"/>
      <c r="P614" s="15"/>
      <c r="Q614" s="15" t="inlineStr">
        <is>
          <t xml:space="preserve">S07</t>
        </is>
      </c>
      <c r="R614" s="11" t="inlineStr">
        <is>
          <t xml:space="preserve">Ready for editorial review</t>
        </is>
      </c>
      <c r="S614" s="15" t="inlineStr">
        <is>
          <t xml:space="preserve">Peter's ministry and Cornelius sequence.</t>
        </is>
      </c>
    </row>
    <row r="615" ht="34" customHeight="1">
      <c r="A615" s="15" t="inlineStr">
        <is>
          <t xml:space="preserve">v0.8</t>
        </is>
      </c>
      <c r="B615" s="15" t="inlineStr">
        <is>
          <t xml:space="preserve">Bible_Journey_Canon_Map_v0_8_Acts_Pauline_Letters.xlsx</t>
        </is>
      </c>
      <c r="C615" s="15" t="inlineStr">
        <is>
          <t xml:space="preserve">BLK-009</t>
        </is>
      </c>
      <c r="D615" s="15" t="inlineStr">
        <is>
          <t xml:space="preserve">CRS-NT-009</t>
        </is>
      </c>
      <c r="E615" s="15"/>
      <c r="F615" s="15" t="inlineStr">
        <is>
          <t xml:space="preserve">Acts</t>
        </is>
      </c>
      <c r="G615" s="15" t="inlineStr">
        <is>
          <t xml:space="preserve">Acts 11:19–30</t>
        </is>
      </c>
      <c r="H615" s="15" t="inlineStr">
        <is>
          <t xml:space="preserve">Primary account</t>
        </is>
      </c>
      <c r="I615" s="15"/>
      <c r="J615" s="15"/>
      <c r="K615" s="15" t="inlineStr">
        <is>
          <t xml:space="preserve">Primary reading</t>
        </is>
      </c>
      <c r="L615" s="15"/>
      <c r="M615" s="15" t="inlineStr">
        <is>
          <t xml:space="preserve">High</t>
        </is>
      </c>
      <c r="N615" s="15" t="inlineStr">
        <is>
          <t xml:space="preserve">Yes</t>
        </is>
      </c>
      <c r="O615" s="15" t="inlineStr">
        <is>
          <t xml:space="preserve">CMP-GAL-ACTS</t>
        </is>
      </c>
      <c r="P615" s="15"/>
      <c r="Q615" s="15" t="inlineStr">
        <is>
          <t xml:space="preserve">S08</t>
        </is>
      </c>
      <c r="R615" s="15" t="inlineStr">
        <is>
          <t xml:space="preserve">Needs source check</t>
        </is>
      </c>
      <c r="S615" s="15" t="inlineStr">
        <is>
          <t xml:space="preserve">Antioch is a key context for reconstructing later Paul-related chronology, but Acts and Galatians must not be harmonized without disclosure.</t>
        </is>
      </c>
    </row>
    <row r="616" ht="34" customHeight="1">
      <c r="A616" s="15" t="inlineStr">
        <is>
          <t xml:space="preserve">v0.8</t>
        </is>
      </c>
      <c r="B616" s="15" t="inlineStr">
        <is>
          <t xml:space="preserve">Bible_Journey_Canon_Map_v0_8_Acts_Pauline_Letters.xlsx</t>
        </is>
      </c>
      <c r="C616" s="15" t="inlineStr">
        <is>
          <t xml:space="preserve">BLK-010</t>
        </is>
      </c>
      <c r="D616" s="15" t="inlineStr">
        <is>
          <t xml:space="preserve">CRS-NT-010</t>
        </is>
      </c>
      <c r="E616" s="15"/>
      <c r="F616" s="15" t="inlineStr">
        <is>
          <t xml:space="preserve">Acts</t>
        </is>
      </c>
      <c r="G616" s="15" t="inlineStr">
        <is>
          <t xml:space="preserve">Acts 12</t>
        </is>
      </c>
      <c r="H616" s="15" t="inlineStr">
        <is>
          <t xml:space="preserve">Primary account</t>
        </is>
      </c>
      <c r="I616" s="15"/>
      <c r="J616" s="15"/>
      <c r="K616" s="15" t="inlineStr">
        <is>
          <t xml:space="preserve">Primary reading</t>
        </is>
      </c>
      <c r="L616" s="15"/>
      <c r="M616" s="15" t="inlineStr">
        <is>
          <t xml:space="preserve">High</t>
        </is>
      </c>
      <c r="N616" s="15" t="inlineStr">
        <is>
          <t xml:space="preserve">Yes</t>
        </is>
      </c>
      <c r="O616" s="15"/>
      <c r="P616" s="15"/>
      <c r="Q616" s="15" t="inlineStr">
        <is>
          <t xml:space="preserve">S07</t>
        </is>
      </c>
      <c r="R616" s="11" t="inlineStr">
        <is>
          <t xml:space="preserve">Ready for editorial review</t>
        </is>
      </c>
      <c r="S616" s="15" t="inlineStr">
        <is>
          <t xml:space="preserve">Acts anchors a transition into the mission narrative.</t>
        </is>
      </c>
    </row>
    <row r="617" ht="34" customHeight="1">
      <c r="A617" s="15" t="inlineStr">
        <is>
          <t xml:space="preserve">v0.8</t>
        </is>
      </c>
      <c r="B617" s="15" t="inlineStr">
        <is>
          <t xml:space="preserve">Bible_Journey_Canon_Map_v0_8_Acts_Pauline_Letters.xlsx</t>
        </is>
      </c>
      <c r="C617" s="15" t="inlineStr">
        <is>
          <t xml:space="preserve">BLK-011</t>
        </is>
      </c>
      <c r="D617" s="15" t="inlineStr">
        <is>
          <t xml:space="preserve">CRS-NT-011</t>
        </is>
      </c>
      <c r="E617" s="15"/>
      <c r="F617" s="15" t="inlineStr">
        <is>
          <t xml:space="preserve">Acts</t>
        </is>
      </c>
      <c r="G617" s="15" t="inlineStr">
        <is>
          <t xml:space="preserve">Acts 13</t>
        </is>
      </c>
      <c r="H617" s="15" t="inlineStr">
        <is>
          <t xml:space="preserve">Primary account</t>
        </is>
      </c>
      <c r="I617" s="15"/>
      <c r="J617" s="15"/>
      <c r="K617" s="15" t="inlineStr">
        <is>
          <t xml:space="preserve">Primary reading</t>
        </is>
      </c>
      <c r="L617" s="15"/>
      <c r="M617" s="15" t="inlineStr">
        <is>
          <t xml:space="preserve">High</t>
        </is>
      </c>
      <c r="N617" s="15" t="inlineStr">
        <is>
          <t xml:space="preserve">Yes</t>
        </is>
      </c>
      <c r="O617" s="15" t="inlineStr">
        <is>
          <t xml:space="preserve">CMP-GAL-ACTS</t>
        </is>
      </c>
      <c r="P617" s="15"/>
      <c r="Q617" s="15" t="inlineStr">
        <is>
          <t xml:space="preserve">S03</t>
        </is>
      </c>
      <c r="R617" s="15" t="inlineStr">
        <is>
          <t xml:space="preserve">Needs source check</t>
        </is>
      </c>
      <c r="S617" s="15" t="inlineStr">
        <is>
          <t xml:space="preserve">Acts 13–14 may contextualize Galatians under a South Galatian reconstruction; this is a configurable editorial profile, not settled fact.</t>
        </is>
      </c>
    </row>
    <row r="618" ht="34" customHeight="1">
      <c r="A618" s="15" t="inlineStr">
        <is>
          <t xml:space="preserve">v0.8</t>
        </is>
      </c>
      <c r="B618" s="15" t="inlineStr">
        <is>
          <t xml:space="preserve">Bible_Journey_Canon_Map_v0_8_Acts_Pauline_Letters.xlsx</t>
        </is>
      </c>
      <c r="C618" s="15" t="inlineStr">
        <is>
          <t xml:space="preserve">BLK-012</t>
        </is>
      </c>
      <c r="D618" s="15" t="inlineStr">
        <is>
          <t xml:space="preserve">CRS-NT-012</t>
        </is>
      </c>
      <c r="E618" s="15"/>
      <c r="F618" s="15" t="inlineStr">
        <is>
          <t xml:space="preserve">Acts</t>
        </is>
      </c>
      <c r="G618" s="15" t="inlineStr">
        <is>
          <t xml:space="preserve">Acts 14</t>
        </is>
      </c>
      <c r="H618" s="15" t="inlineStr">
        <is>
          <t xml:space="preserve">Primary account</t>
        </is>
      </c>
      <c r="I618" s="15"/>
      <c r="J618" s="15"/>
      <c r="K618" s="15" t="inlineStr">
        <is>
          <t xml:space="preserve">Primary reading</t>
        </is>
      </c>
      <c r="L618" s="15"/>
      <c r="M618" s="15" t="inlineStr">
        <is>
          <t xml:space="preserve">High</t>
        </is>
      </c>
      <c r="N618" s="15" t="inlineStr">
        <is>
          <t xml:space="preserve">Yes</t>
        </is>
      </c>
      <c r="O618" s="15" t="inlineStr">
        <is>
          <t xml:space="preserve">CMP-GAL-ACTS</t>
        </is>
      </c>
      <c r="P618" s="15"/>
      <c r="Q618" s="15" t="inlineStr">
        <is>
          <t xml:space="preserve">S09</t>
        </is>
      </c>
      <c r="R618" s="15" t="inlineStr">
        <is>
          <t xml:space="preserve">Needs source check</t>
        </is>
      </c>
      <c r="S618" s="15" t="inlineStr">
        <is>
          <t xml:space="preserve">Acts 14 contains communities associated with the Galatia placement discussion.</t>
        </is>
      </c>
    </row>
    <row r="619" ht="34" customHeight="1">
      <c r="A619" s="15" t="inlineStr">
        <is>
          <t xml:space="preserve">v0.8</t>
        </is>
      </c>
      <c r="B619" s="15" t="inlineStr">
        <is>
          <t xml:space="preserve">Bible_Journey_Canon_Map_v0_8_Acts_Pauline_Letters.xlsx</t>
        </is>
      </c>
      <c r="C619" s="15" t="inlineStr">
        <is>
          <t xml:space="preserve">BLK-013</t>
        </is>
      </c>
      <c r="D619" s="15" t="inlineStr">
        <is>
          <t xml:space="preserve">CRS-NT-013</t>
        </is>
      </c>
      <c r="E619" s="15"/>
      <c r="F619" s="15" t="inlineStr">
        <is>
          <t xml:space="preserve">Galatians</t>
        </is>
      </c>
      <c r="G619" s="15" t="inlineStr">
        <is>
          <t xml:space="preserve">Galatians 1–6</t>
        </is>
      </c>
      <c r="H619" s="15" t="inlineStr">
        <is>
          <t xml:space="preserve">Epistolary context</t>
        </is>
      </c>
      <c r="I619" s="15"/>
      <c r="J619" s="15"/>
      <c r="K619" s="15" t="inlineStr">
        <is>
          <t xml:space="preserve">Read in linked chronology</t>
        </is>
      </c>
      <c r="L619" s="15"/>
      <c r="M619" s="15" t="inlineStr">
        <is>
          <t xml:space="preserve">Debated</t>
        </is>
      </c>
      <c r="N619" s="15" t="inlineStr">
        <is>
          <t xml:space="preserve">Yes</t>
        </is>
      </c>
      <c r="O619" s="15" t="inlineStr">
        <is>
          <t xml:space="preserve">CMP-GAL-ACTS</t>
        </is>
      </c>
      <c r="P619" s="15"/>
      <c r="Q619" s="15" t="inlineStr">
        <is>
          <t xml:space="preserve">S02; S03</t>
        </is>
      </c>
      <c r="R619" s="11" t="inlineStr">
        <is>
          <t xml:space="preserve">Needs editorial decision</t>
        </is>
      </c>
      <c r="S619" s="15" t="inlineStr">
        <is>
          <t xml:space="preserve">Default cautious profile places Galatians before Acts 15 with an explicit placement disclosure; alternate profiles remain available.</t>
        </is>
      </c>
    </row>
    <row r="620" ht="34" customHeight="1">
      <c r="A620" s="15" t="inlineStr">
        <is>
          <t xml:space="preserve">v0.8</t>
        </is>
      </c>
      <c r="B620" s="15" t="inlineStr">
        <is>
          <t xml:space="preserve">Bible_Journey_Canon_Map_v0_8_Acts_Pauline_Letters.xlsx</t>
        </is>
      </c>
      <c r="C620" s="15" t="inlineStr">
        <is>
          <t xml:space="preserve">BLK-014</t>
        </is>
      </c>
      <c r="D620" s="15" t="inlineStr">
        <is>
          <t xml:space="preserve">CRS-NT-014</t>
        </is>
      </c>
      <c r="E620" s="15"/>
      <c r="F620" s="15" t="inlineStr">
        <is>
          <t xml:space="preserve">Acts</t>
        </is>
      </c>
      <c r="G620" s="15" t="inlineStr">
        <is>
          <t xml:space="preserve">Acts 15:1–35</t>
        </is>
      </c>
      <c r="H620" s="15" t="inlineStr">
        <is>
          <t xml:space="preserve">Primary account</t>
        </is>
      </c>
      <c r="I620" s="15"/>
      <c r="J620" s="15"/>
      <c r="K620" s="15" t="inlineStr">
        <is>
          <t xml:space="preserve">Primary reading</t>
        </is>
      </c>
      <c r="L620" s="15"/>
      <c r="M620" s="15" t="inlineStr">
        <is>
          <t xml:space="preserve">High</t>
        </is>
      </c>
      <c r="N620" s="15" t="inlineStr">
        <is>
          <t xml:space="preserve">Yes</t>
        </is>
      </c>
      <c r="O620" s="15" t="inlineStr">
        <is>
          <t xml:space="preserve">CMP-GAL-ACTS</t>
        </is>
      </c>
      <c r="P620" s="15"/>
      <c r="Q620" s="15" t="inlineStr">
        <is>
          <t xml:space="preserve">S01; S03</t>
        </is>
      </c>
      <c r="R620" s="11" t="inlineStr">
        <is>
          <t xml:space="preserve">Needs editorial decision</t>
        </is>
      </c>
      <c r="S620" s="15" t="inlineStr">
        <is>
          <t xml:space="preserve">Do not equate Acts 15 automatically with Galatians 2; expose the relationship as an editorial decision.</t>
        </is>
      </c>
    </row>
    <row r="621" ht="34" customHeight="1">
      <c r="A621" s="15" t="inlineStr">
        <is>
          <t xml:space="preserve">v0.8</t>
        </is>
      </c>
      <c r="B621" s="15" t="inlineStr">
        <is>
          <t xml:space="preserve">Bible_Journey_Canon_Map_v0_8_Acts_Pauline_Letters.xlsx</t>
        </is>
      </c>
      <c r="C621" s="15" t="inlineStr">
        <is>
          <t xml:space="preserve">BLK-015</t>
        </is>
      </c>
      <c r="D621" s="15" t="inlineStr">
        <is>
          <t xml:space="preserve">CRS-NT-015</t>
        </is>
      </c>
      <c r="E621" s="15"/>
      <c r="F621" s="15" t="inlineStr">
        <is>
          <t xml:space="preserve">Acts</t>
        </is>
      </c>
      <c r="G621" s="15" t="inlineStr">
        <is>
          <t xml:space="preserve">Acts 15:36–16:5</t>
        </is>
      </c>
      <c r="H621" s="15" t="inlineStr">
        <is>
          <t xml:space="preserve">Primary account</t>
        </is>
      </c>
      <c r="I621" s="15"/>
      <c r="J621" s="15"/>
      <c r="K621" s="15" t="inlineStr">
        <is>
          <t xml:space="preserve">Primary reading</t>
        </is>
      </c>
      <c r="L621" s="15"/>
      <c r="M621" s="15" t="inlineStr">
        <is>
          <t xml:space="preserve">High</t>
        </is>
      </c>
      <c r="N621" s="15" t="inlineStr">
        <is>
          <t xml:space="preserve">Yes</t>
        </is>
      </c>
      <c r="O621" s="15"/>
      <c r="P621" s="15"/>
      <c r="Q621" s="15" t="inlineStr">
        <is>
          <t xml:space="preserve">S35</t>
        </is>
      </c>
      <c r="R621" s="11" t="inlineStr">
        <is>
          <t xml:space="preserve">Ready for editorial review</t>
        </is>
      </c>
      <c r="S621" s="15" t="inlineStr">
        <is>
          <t xml:space="preserve">Includes separation from Barnabas and Mark and recruitment of Timothy.</t>
        </is>
      </c>
    </row>
    <row r="622" ht="34" customHeight="1">
      <c r="A622" s="15" t="inlineStr">
        <is>
          <t xml:space="preserve">v0.8</t>
        </is>
      </c>
      <c r="B622" s="15" t="inlineStr">
        <is>
          <t xml:space="preserve">Bible_Journey_Canon_Map_v0_8_Acts_Pauline_Letters.xlsx</t>
        </is>
      </c>
      <c r="C622" s="15" t="inlineStr">
        <is>
          <t xml:space="preserve">BLK-016</t>
        </is>
      </c>
      <c r="D622" s="15" t="inlineStr">
        <is>
          <t xml:space="preserve">CRS-NT-016</t>
        </is>
      </c>
      <c r="E622" s="15"/>
      <c r="F622" s="15" t="inlineStr">
        <is>
          <t xml:space="preserve">Acts</t>
        </is>
      </c>
      <c r="G622" s="15" t="inlineStr">
        <is>
          <t xml:space="preserve">Acts 16:6–40</t>
        </is>
      </c>
      <c r="H622" s="15" t="inlineStr">
        <is>
          <t xml:space="preserve">Primary account</t>
        </is>
      </c>
      <c r="I622" s="15"/>
      <c r="J622" s="15"/>
      <c r="K622" s="15" t="inlineStr">
        <is>
          <t xml:space="preserve">Primary reading</t>
        </is>
      </c>
      <c r="L622" s="15"/>
      <c r="M622" s="15" t="inlineStr">
        <is>
          <t xml:space="preserve">High</t>
        </is>
      </c>
      <c r="N622" s="15" t="inlineStr">
        <is>
          <t xml:space="preserve">Yes</t>
        </is>
      </c>
      <c r="O622" s="15"/>
      <c r="P622" s="15"/>
      <c r="Q622" s="15" t="inlineStr">
        <is>
          <t xml:space="preserve">S07</t>
        </is>
      </c>
      <c r="R622" s="11" t="inlineStr">
        <is>
          <t xml:space="preserve">Ready for editorial review</t>
        </is>
      </c>
      <c r="S622" s="15" t="inlineStr">
        <is>
          <t xml:space="preserve">Mission moves to Macedonia through Philippi.</t>
        </is>
      </c>
    </row>
    <row r="623" ht="34" customHeight="1">
      <c r="A623" s="15" t="inlineStr">
        <is>
          <t xml:space="preserve">v0.8</t>
        </is>
      </c>
      <c r="B623" s="15" t="inlineStr">
        <is>
          <t xml:space="preserve">Bible_Journey_Canon_Map_v0_8_Acts_Pauline_Letters.xlsx</t>
        </is>
      </c>
      <c r="C623" s="15" t="inlineStr">
        <is>
          <t xml:space="preserve">BLK-017</t>
        </is>
      </c>
      <c r="D623" s="15" t="inlineStr">
        <is>
          <t xml:space="preserve">CRS-NT-017</t>
        </is>
      </c>
      <c r="E623" s="15"/>
      <c r="F623" s="15" t="inlineStr">
        <is>
          <t xml:space="preserve">Acts</t>
        </is>
      </c>
      <c r="G623" s="15" t="inlineStr">
        <is>
          <t xml:space="preserve">Acts 17:1–15</t>
        </is>
      </c>
      <c r="H623" s="15" t="inlineStr">
        <is>
          <t xml:space="preserve">Primary account</t>
        </is>
      </c>
      <c r="I623" s="15"/>
      <c r="J623" s="15"/>
      <c r="K623" s="15" t="inlineStr">
        <is>
          <t xml:space="preserve">Primary reading</t>
        </is>
      </c>
      <c r="L623" s="15"/>
      <c r="M623" s="15" t="inlineStr">
        <is>
          <t xml:space="preserve">High</t>
        </is>
      </c>
      <c r="N623" s="15" t="inlineStr">
        <is>
          <t xml:space="preserve">Yes</t>
        </is>
      </c>
      <c r="O623" s="15" t="inlineStr">
        <is>
          <t xml:space="preserve">CMP-THESS</t>
        </is>
      </c>
      <c r="P623" s="15"/>
      <c r="Q623" s="15" t="inlineStr">
        <is>
          <t xml:space="preserve">S02</t>
        </is>
      </c>
      <c r="R623" s="11" t="inlineStr">
        <is>
          <t xml:space="preserve">Ready for editorial review</t>
        </is>
      </c>
      <c r="S623" s="15" t="inlineStr">
        <is>
          <t xml:space="preserve">Provides the immediate narrative context for the Thessalonian correspondence.</t>
        </is>
      </c>
    </row>
    <row r="624" ht="34" customHeight="1">
      <c r="A624" s="15" t="inlineStr">
        <is>
          <t xml:space="preserve">v0.8</t>
        </is>
      </c>
      <c r="B624" s="15" t="inlineStr">
        <is>
          <t xml:space="preserve">Bible_Journey_Canon_Map_v0_8_Acts_Pauline_Letters.xlsx</t>
        </is>
      </c>
      <c r="C624" s="15" t="inlineStr">
        <is>
          <t xml:space="preserve">BLK-018</t>
        </is>
      </c>
      <c r="D624" s="15" t="inlineStr">
        <is>
          <t xml:space="preserve">CRS-NT-018</t>
        </is>
      </c>
      <c r="E624" s="15"/>
      <c r="F624" s="15" t="inlineStr">
        <is>
          <t xml:space="preserve">Acts</t>
        </is>
      </c>
      <c r="G624" s="15" t="inlineStr">
        <is>
          <t xml:space="preserve">Acts 17:16–34</t>
        </is>
      </c>
      <c r="H624" s="15" t="inlineStr">
        <is>
          <t xml:space="preserve">Primary account</t>
        </is>
      </c>
      <c r="I624" s="15"/>
      <c r="J624" s="15"/>
      <c r="K624" s="15" t="inlineStr">
        <is>
          <t xml:space="preserve">Primary reading</t>
        </is>
      </c>
      <c r="L624" s="15"/>
      <c r="M624" s="15" t="inlineStr">
        <is>
          <t xml:space="preserve">High</t>
        </is>
      </c>
      <c r="N624" s="15" t="inlineStr">
        <is>
          <t xml:space="preserve">Yes</t>
        </is>
      </c>
      <c r="O624" s="15"/>
      <c r="P624" s="15"/>
      <c r="Q624" s="15" t="inlineStr">
        <is>
          <t xml:space="preserve">S07</t>
        </is>
      </c>
      <c r="R624" s="11" t="inlineStr">
        <is>
          <t xml:space="preserve">Ready for editorial review</t>
        </is>
      </c>
      <c r="S624" s="15" t="inlineStr">
        <is>
          <t xml:space="preserve">Athens is a discrete narrative unit before Corinth.</t>
        </is>
      </c>
    </row>
    <row r="625" ht="34" customHeight="1">
      <c r="A625" s="15" t="inlineStr">
        <is>
          <t xml:space="preserve">v0.8</t>
        </is>
      </c>
      <c r="B625" s="15" t="inlineStr">
        <is>
          <t xml:space="preserve">Bible_Journey_Canon_Map_v0_8_Acts_Pauline_Letters.xlsx</t>
        </is>
      </c>
      <c r="C625" s="15" t="inlineStr">
        <is>
          <t xml:space="preserve">BLK-019</t>
        </is>
      </c>
      <c r="D625" s="15" t="inlineStr">
        <is>
          <t xml:space="preserve">CRS-NT-019</t>
        </is>
      </c>
      <c r="E625" s="15"/>
      <c r="F625" s="15" t="inlineStr">
        <is>
          <t xml:space="preserve">Acts</t>
        </is>
      </c>
      <c r="G625" s="15" t="inlineStr">
        <is>
          <t xml:space="preserve">Acts 18:1–17</t>
        </is>
      </c>
      <c r="H625" s="15" t="inlineStr">
        <is>
          <t xml:space="preserve">Primary account</t>
        </is>
      </c>
      <c r="I625" s="15"/>
      <c r="J625" s="15"/>
      <c r="K625" s="15" t="inlineStr">
        <is>
          <t xml:space="preserve">Primary reading</t>
        </is>
      </c>
      <c r="L625" s="15"/>
      <c r="M625" s="15" t="inlineStr">
        <is>
          <t xml:space="preserve">High</t>
        </is>
      </c>
      <c r="N625" s="15" t="inlineStr">
        <is>
          <t xml:space="preserve">Yes</t>
        </is>
      </c>
      <c r="O625" s="15" t="inlineStr">
        <is>
          <t xml:space="preserve">CMP-THESS</t>
        </is>
      </c>
      <c r="P625" s="15"/>
      <c r="Q625" s="15" t="inlineStr">
        <is>
          <t xml:space="preserve">S05; S02</t>
        </is>
      </c>
      <c r="R625" s="15" t="inlineStr">
        <is>
          <t xml:space="preserve">Needs source check</t>
        </is>
      </c>
      <c r="S625" s="15" t="inlineStr">
        <is>
          <t xml:space="preserve">Acts reports an extended Corinthian stay; letters to Thessalonica are commonly linked to this period in reconstructions.</t>
        </is>
      </c>
    </row>
    <row r="626" ht="34" customHeight="1">
      <c r="A626" s="15" t="inlineStr">
        <is>
          <t xml:space="preserve">v0.8</t>
        </is>
      </c>
      <c r="B626" s="15" t="inlineStr">
        <is>
          <t xml:space="preserve">Bible_Journey_Canon_Map_v0_8_Acts_Pauline_Letters.xlsx</t>
        </is>
      </c>
      <c r="C626" s="15" t="inlineStr">
        <is>
          <t xml:space="preserve">BLK-020</t>
        </is>
      </c>
      <c r="D626" s="15" t="inlineStr">
        <is>
          <t xml:space="preserve">CRS-NT-020</t>
        </is>
      </c>
      <c r="E626" s="15"/>
      <c r="F626" s="15" t="inlineStr">
        <is>
          <t xml:space="preserve">1 Thessalonians</t>
        </is>
      </c>
      <c r="G626" s="15" t="inlineStr">
        <is>
          <t xml:space="preserve">1 Thessalonians 1–5</t>
        </is>
      </c>
      <c r="H626" s="15" t="inlineStr">
        <is>
          <t xml:space="preserve">Epistolary context</t>
        </is>
      </c>
      <c r="I626" s="15"/>
      <c r="J626" s="15"/>
      <c r="K626" s="15" t="inlineStr">
        <is>
          <t xml:space="preserve">Read in linked chronology</t>
        </is>
      </c>
      <c r="L626" s="15"/>
      <c r="M626" s="15" t="inlineStr">
        <is>
          <t xml:space="preserve">Probable</t>
        </is>
      </c>
      <c r="N626" s="15" t="inlineStr">
        <is>
          <t xml:space="preserve">Yes</t>
        </is>
      </c>
      <c r="O626" s="15" t="inlineStr">
        <is>
          <t xml:space="preserve">CMP-THESS</t>
        </is>
      </c>
      <c r="P626" s="15"/>
      <c r="Q626" s="15" t="inlineStr">
        <is>
          <t xml:space="preserve">S02; S05</t>
        </is>
      </c>
      <c r="R626" s="11" t="inlineStr">
        <is>
          <t xml:space="preserve">Ready for editorial review</t>
        </is>
      </c>
      <c r="S626" s="15" t="inlineStr">
        <is>
          <t xml:space="preserve">Default placement: Corinthian phase after Acts 18:1–17. Show as probable, not direct narrative fact.</t>
        </is>
      </c>
    </row>
    <row r="627" ht="34" customHeight="1">
      <c r="A627" s="15" t="inlineStr">
        <is>
          <t xml:space="preserve">v0.8</t>
        </is>
      </c>
      <c r="B627" s="15" t="inlineStr">
        <is>
          <t xml:space="preserve">Bible_Journey_Canon_Map_v0_8_Acts_Pauline_Letters.xlsx</t>
        </is>
      </c>
      <c r="C627" s="15" t="inlineStr">
        <is>
          <t xml:space="preserve">BLK-021</t>
        </is>
      </c>
      <c r="D627" s="15" t="inlineStr">
        <is>
          <t xml:space="preserve">CRS-NT-021</t>
        </is>
      </c>
      <c r="E627" s="15"/>
      <c r="F627" s="15" t="inlineStr">
        <is>
          <t xml:space="preserve">2 Thessalonians</t>
        </is>
      </c>
      <c r="G627" s="15" t="inlineStr">
        <is>
          <t xml:space="preserve">2 Thessalonians 1–3</t>
        </is>
      </c>
      <c r="H627" s="15" t="inlineStr">
        <is>
          <t xml:space="preserve">Epistolary context</t>
        </is>
      </c>
      <c r="I627" s="15"/>
      <c r="J627" s="15"/>
      <c r="K627" s="15" t="inlineStr">
        <is>
          <t xml:space="preserve">Read in linked chronology</t>
        </is>
      </c>
      <c r="L627" s="15"/>
      <c r="M627" s="15" t="inlineStr">
        <is>
          <t xml:space="preserve">Debated</t>
        </is>
      </c>
      <c r="N627" s="15" t="inlineStr">
        <is>
          <t xml:space="preserve">Yes</t>
        </is>
      </c>
      <c r="O627" s="15" t="inlineStr">
        <is>
          <t xml:space="preserve">CMP-THESS</t>
        </is>
      </c>
      <c r="P627" s="15"/>
      <c r="Q627" s="15" t="inlineStr">
        <is>
          <t xml:space="preserve">S02; S06</t>
        </is>
      </c>
      <c r="R627" s="11" t="inlineStr">
        <is>
          <t xml:space="preserve">Needs editorial decision</t>
        </is>
      </c>
      <c r="S627" s="15" t="inlineStr">
        <is>
          <t xml:space="preserve">Placed after 1 Thessalonians under default profile; date, order, and authorship are editorially sensitive.</t>
        </is>
      </c>
    </row>
    <row r="628" ht="34" customHeight="1">
      <c r="A628" s="15" t="inlineStr">
        <is>
          <t xml:space="preserve">v0.8</t>
        </is>
      </c>
      <c r="B628" s="15" t="inlineStr">
        <is>
          <t xml:space="preserve">Bible_Journey_Canon_Map_v0_8_Acts_Pauline_Letters.xlsx</t>
        </is>
      </c>
      <c r="C628" s="15" t="inlineStr">
        <is>
          <t xml:space="preserve">BLK-022</t>
        </is>
      </c>
      <c r="D628" s="15" t="inlineStr">
        <is>
          <t xml:space="preserve">CRS-NT-022</t>
        </is>
      </c>
      <c r="E628" s="15"/>
      <c r="F628" s="15" t="inlineStr">
        <is>
          <t xml:space="preserve">Acts</t>
        </is>
      </c>
      <c r="G628" s="15" t="inlineStr">
        <is>
          <t xml:space="preserve">Acts 18:18–22</t>
        </is>
      </c>
      <c r="H628" s="15" t="inlineStr">
        <is>
          <t xml:space="preserve">Primary account</t>
        </is>
      </c>
      <c r="I628" s="15"/>
      <c r="J628" s="15"/>
      <c r="K628" s="15" t="inlineStr">
        <is>
          <t xml:space="preserve">Primary reading</t>
        </is>
      </c>
      <c r="L628" s="15"/>
      <c r="M628" s="15" t="inlineStr">
        <is>
          <t xml:space="preserve">High</t>
        </is>
      </c>
      <c r="N628" s="15" t="inlineStr">
        <is>
          <t xml:space="preserve">Yes</t>
        </is>
      </c>
      <c r="O628" s="15"/>
      <c r="P628" s="15"/>
      <c r="Q628" s="15" t="inlineStr">
        <is>
          <t xml:space="preserve">S07</t>
        </is>
      </c>
      <c r="R628" s="11" t="inlineStr">
        <is>
          <t xml:space="preserve">Ready for editorial review</t>
        </is>
      </c>
      <c r="S628" s="15" t="inlineStr">
        <is>
          <t xml:space="preserve">Transitional return unit.</t>
        </is>
      </c>
    </row>
    <row r="629" ht="34" customHeight="1">
      <c r="A629" s="15" t="inlineStr">
        <is>
          <t xml:space="preserve">v0.8</t>
        </is>
      </c>
      <c r="B629" s="15" t="inlineStr">
        <is>
          <t xml:space="preserve">Bible_Journey_Canon_Map_v0_8_Acts_Pauline_Letters.xlsx</t>
        </is>
      </c>
      <c r="C629" s="15" t="inlineStr">
        <is>
          <t xml:space="preserve">BLK-023</t>
        </is>
      </c>
      <c r="D629" s="15" t="inlineStr">
        <is>
          <t xml:space="preserve">CRS-NT-023</t>
        </is>
      </c>
      <c r="E629" s="15"/>
      <c r="F629" s="15" t="inlineStr">
        <is>
          <t xml:space="preserve">Acts</t>
        </is>
      </c>
      <c r="G629" s="15" t="inlineStr">
        <is>
          <t xml:space="preserve">Acts 18:23–19:20</t>
        </is>
      </c>
      <c r="H629" s="15" t="inlineStr">
        <is>
          <t xml:space="preserve">Primary account</t>
        </is>
      </c>
      <c r="I629" s="15"/>
      <c r="J629" s="15"/>
      <c r="K629" s="15" t="inlineStr">
        <is>
          <t xml:space="preserve">Primary reading</t>
        </is>
      </c>
      <c r="L629" s="15"/>
      <c r="M629" s="15" t="inlineStr">
        <is>
          <t xml:space="preserve">High</t>
        </is>
      </c>
      <c r="N629" s="15" t="inlineStr">
        <is>
          <t xml:space="preserve">Yes</t>
        </is>
      </c>
      <c r="O629" s="15" t="inlineStr">
        <is>
          <t xml:space="preserve">CMP-COR-Ephesus</t>
        </is>
      </c>
      <c r="P629" s="15"/>
      <c r="Q629" s="15" t="inlineStr">
        <is>
          <t xml:space="preserve">S04</t>
        </is>
      </c>
      <c r="R629" s="11" t="inlineStr">
        <is>
          <t xml:space="preserve">Ready for editorial review</t>
        </is>
      </c>
      <c r="S629" s="15" t="inlineStr">
        <is>
          <t xml:space="preserve">Ephesus is a major base for Paul's work in later chronology reconstructions.</t>
        </is>
      </c>
    </row>
    <row r="630" ht="34" customHeight="1">
      <c r="A630" s="15" t="inlineStr">
        <is>
          <t xml:space="preserve">v0.8</t>
        </is>
      </c>
      <c r="B630" s="15" t="inlineStr">
        <is>
          <t xml:space="preserve">Bible_Journey_Canon_Map_v0_8_Acts_Pauline_Letters.xlsx</t>
        </is>
      </c>
      <c r="C630" s="15" t="inlineStr">
        <is>
          <t xml:space="preserve">BLK-024</t>
        </is>
      </c>
      <c r="D630" s="15" t="inlineStr">
        <is>
          <t xml:space="preserve">CRS-NT-024</t>
        </is>
      </c>
      <c r="E630" s="15"/>
      <c r="F630" s="15" t="inlineStr">
        <is>
          <t xml:space="preserve">1 Corinthians</t>
        </is>
      </c>
      <c r="G630" s="15" t="inlineStr">
        <is>
          <t xml:space="preserve">1 Corinthians 1–16</t>
        </is>
      </c>
      <c r="H630" s="15" t="inlineStr">
        <is>
          <t xml:space="preserve">Epistolary context</t>
        </is>
      </c>
      <c r="I630" s="15"/>
      <c r="J630" s="15"/>
      <c r="K630" s="15" t="inlineStr">
        <is>
          <t xml:space="preserve">Read in linked chronology</t>
        </is>
      </c>
      <c r="L630" s="15"/>
      <c r="M630" s="15" t="inlineStr">
        <is>
          <t xml:space="preserve">Probable</t>
        </is>
      </c>
      <c r="N630" s="15" t="inlineStr">
        <is>
          <t xml:space="preserve">Yes</t>
        </is>
      </c>
      <c r="O630" s="15" t="inlineStr">
        <is>
          <t xml:space="preserve">CMP-COR-Ephesus</t>
        </is>
      </c>
      <c r="P630" s="15"/>
      <c r="Q630" s="15" t="inlineStr">
        <is>
          <t xml:space="preserve">S04; S01</t>
        </is>
      </c>
      <c r="R630" s="11" t="inlineStr">
        <is>
          <t xml:space="preserve">Ready for editorial review</t>
        </is>
      </c>
      <c r="S630" s="15" t="inlineStr">
        <is>
          <t xml:space="preserve">Default placement: Ephesus phase. Do not imply every personal detail maps one-to-one onto Acts.</t>
        </is>
      </c>
    </row>
    <row r="631" ht="34" customHeight="1">
      <c r="A631" s="15" t="inlineStr">
        <is>
          <t xml:space="preserve">v0.8</t>
        </is>
      </c>
      <c r="B631" s="15" t="inlineStr">
        <is>
          <t xml:space="preserve">Bible_Journey_Canon_Map_v0_8_Acts_Pauline_Letters.xlsx</t>
        </is>
      </c>
      <c r="C631" s="15" t="inlineStr">
        <is>
          <t xml:space="preserve">BLK-025</t>
        </is>
      </c>
      <c r="D631" s="15" t="inlineStr">
        <is>
          <t xml:space="preserve">CRS-NT-025</t>
        </is>
      </c>
      <c r="E631" s="15"/>
      <c r="F631" s="15" t="inlineStr">
        <is>
          <t xml:space="preserve">Acts</t>
        </is>
      </c>
      <c r="G631" s="15" t="inlineStr">
        <is>
          <t xml:space="preserve">Acts 19:21–20:3</t>
        </is>
      </c>
      <c r="H631" s="15" t="inlineStr">
        <is>
          <t xml:space="preserve">Primary account</t>
        </is>
      </c>
      <c r="I631" s="15"/>
      <c r="J631" s="15"/>
      <c r="K631" s="15" t="inlineStr">
        <is>
          <t xml:space="preserve">Primary reading</t>
        </is>
      </c>
      <c r="L631" s="15"/>
      <c r="M631" s="15" t="inlineStr">
        <is>
          <t xml:space="preserve">High</t>
        </is>
      </c>
      <c r="N631" s="15" t="inlineStr">
        <is>
          <t xml:space="preserve">Yes</t>
        </is>
      </c>
      <c r="O631" s="15" t="inlineStr">
        <is>
          <t xml:space="preserve">CMP-2COR</t>
        </is>
      </c>
      <c r="P631" s="15"/>
      <c r="Q631" s="15" t="inlineStr">
        <is>
          <t xml:space="preserve">S01; S28</t>
        </is>
      </c>
      <c r="R631" s="15" t="inlineStr">
        <is>
          <t xml:space="preserve">Needs source check</t>
        </is>
      </c>
      <c r="S631" s="15" t="inlineStr">
        <is>
          <t xml:space="preserve">Acts does not narrate every visit and letter implied in Corinthians; disclosure is mandatory.</t>
        </is>
      </c>
    </row>
    <row r="632" ht="34" customHeight="1">
      <c r="A632" s="15" t="inlineStr">
        <is>
          <t xml:space="preserve">v0.8</t>
        </is>
      </c>
      <c r="B632" s="15" t="inlineStr">
        <is>
          <t xml:space="preserve">Bible_Journey_Canon_Map_v0_8_Acts_Pauline_Letters.xlsx</t>
        </is>
      </c>
      <c r="C632" s="15" t="inlineStr">
        <is>
          <t xml:space="preserve">BLK-026</t>
        </is>
      </c>
      <c r="D632" s="15" t="inlineStr">
        <is>
          <t xml:space="preserve">CRS-NT-026</t>
        </is>
      </c>
      <c r="E632" s="15"/>
      <c r="F632" s="15" t="inlineStr">
        <is>
          <t xml:space="preserve">2 Corinthians</t>
        </is>
      </c>
      <c r="G632" s="15" t="inlineStr">
        <is>
          <t xml:space="preserve">2 Corinthians 1–13</t>
        </is>
      </c>
      <c r="H632" s="15" t="inlineStr">
        <is>
          <t xml:space="preserve">Epistolary context</t>
        </is>
      </c>
      <c r="I632" s="15"/>
      <c r="J632" s="15"/>
      <c r="K632" s="15" t="inlineStr">
        <is>
          <t xml:space="preserve">Read in linked chronology</t>
        </is>
      </c>
      <c r="L632" s="15"/>
      <c r="M632" s="15" t="inlineStr">
        <is>
          <t xml:space="preserve">Probable</t>
        </is>
      </c>
      <c r="N632" s="15" t="inlineStr">
        <is>
          <t xml:space="preserve">Yes</t>
        </is>
      </c>
      <c r="O632" s="15" t="inlineStr">
        <is>
          <t xml:space="preserve">CMP-2COR</t>
        </is>
      </c>
      <c r="P632" s="15"/>
      <c r="Q632" s="15" t="inlineStr">
        <is>
          <t xml:space="preserve">S02; S04</t>
        </is>
      </c>
      <c r="R632" s="11" t="inlineStr">
        <is>
          <t xml:space="preserve">Ready for editorial review</t>
        </is>
      </c>
      <c r="S632" s="15" t="inlineStr">
        <is>
          <t xml:space="preserve">Default placement: Macedonia after Ephesus. The correlation is probable and not a strict parallel account.</t>
        </is>
      </c>
    </row>
    <row r="633" ht="34" customHeight="1">
      <c r="A633" s="15" t="inlineStr">
        <is>
          <t xml:space="preserve">v0.8</t>
        </is>
      </c>
      <c r="B633" s="15" t="inlineStr">
        <is>
          <t xml:space="preserve">Bible_Journey_Canon_Map_v0_8_Acts_Pauline_Letters.xlsx</t>
        </is>
      </c>
      <c r="C633" s="15" t="inlineStr">
        <is>
          <t xml:space="preserve">BLK-027</t>
        </is>
      </c>
      <c r="D633" s="15" t="inlineStr">
        <is>
          <t xml:space="preserve">CRS-NT-027</t>
        </is>
      </c>
      <c r="E633" s="15"/>
      <c r="F633" s="15" t="inlineStr">
        <is>
          <t xml:space="preserve">Acts</t>
        </is>
      </c>
      <c r="G633" s="15" t="inlineStr">
        <is>
          <t xml:space="preserve">Acts 20:3–6</t>
        </is>
      </c>
      <c r="H633" s="15" t="inlineStr">
        <is>
          <t xml:space="preserve">Primary account</t>
        </is>
      </c>
      <c r="I633" s="15"/>
      <c r="J633" s="15"/>
      <c r="K633" s="15" t="inlineStr">
        <is>
          <t xml:space="preserve">Primary reading</t>
        </is>
      </c>
      <c r="L633" s="15"/>
      <c r="M633" s="15" t="inlineStr">
        <is>
          <t xml:space="preserve">High</t>
        </is>
      </c>
      <c r="N633" s="15" t="inlineStr">
        <is>
          <t xml:space="preserve">Yes</t>
        </is>
      </c>
      <c r="O633" s="15" t="inlineStr">
        <is>
          <t xml:space="preserve">CMP-ROM</t>
        </is>
      </c>
      <c r="P633" s="15"/>
      <c r="Q633" s="15" t="inlineStr">
        <is>
          <t xml:space="preserve">S07</t>
        </is>
      </c>
      <c r="R633" s="11" t="inlineStr">
        <is>
          <t xml:space="preserve">Ready for editorial review</t>
        </is>
      </c>
      <c r="S633" s="15" t="inlineStr">
        <is>
          <t xml:space="preserve">Acts 20 provides a narrative bridge to the default Romans placement.</t>
        </is>
      </c>
    </row>
    <row r="634" ht="34" customHeight="1">
      <c r="A634" s="15" t="inlineStr">
        <is>
          <t xml:space="preserve">v0.8</t>
        </is>
      </c>
      <c r="B634" s="15" t="inlineStr">
        <is>
          <t xml:space="preserve">Bible_Journey_Canon_Map_v0_8_Acts_Pauline_Letters.xlsx</t>
        </is>
      </c>
      <c r="C634" s="15" t="inlineStr">
        <is>
          <t xml:space="preserve">BLK-028</t>
        </is>
      </c>
      <c r="D634" s="15" t="inlineStr">
        <is>
          <t xml:space="preserve">CRS-NT-028</t>
        </is>
      </c>
      <c r="E634" s="15"/>
      <c r="F634" s="15" t="inlineStr">
        <is>
          <t xml:space="preserve">Romans</t>
        </is>
      </c>
      <c r="G634" s="15" t="inlineStr">
        <is>
          <t xml:space="preserve">Romans 1–16</t>
        </is>
      </c>
      <c r="H634" s="15" t="inlineStr">
        <is>
          <t xml:space="preserve">Epistolary context</t>
        </is>
      </c>
      <c r="I634" s="15"/>
      <c r="J634" s="15"/>
      <c r="K634" s="15" t="inlineStr">
        <is>
          <t xml:space="preserve">Read in linked chronology</t>
        </is>
      </c>
      <c r="L634" s="15"/>
      <c r="M634" s="15" t="inlineStr">
        <is>
          <t xml:space="preserve">Probable</t>
        </is>
      </c>
      <c r="N634" s="15" t="inlineStr">
        <is>
          <t xml:space="preserve">Yes</t>
        </is>
      </c>
      <c r="O634" s="15" t="inlineStr">
        <is>
          <t xml:space="preserve">CMP-ROM</t>
        </is>
      </c>
      <c r="P634" s="15"/>
      <c r="Q634" s="15" t="inlineStr">
        <is>
          <t xml:space="preserve">S02</t>
        </is>
      </c>
      <c r="R634" s="11" t="inlineStr">
        <is>
          <t xml:space="preserve">Ready for editorial review</t>
        </is>
      </c>
      <c r="S634" s="15" t="inlineStr">
        <is>
          <t xml:space="preserve">Default placement: Greek/Achaian phase before the Jerusalem journey. Use an explicit probable label.</t>
        </is>
      </c>
    </row>
    <row r="635" ht="34" customHeight="1">
      <c r="A635" s="15" t="inlineStr">
        <is>
          <t xml:space="preserve">v0.8</t>
        </is>
      </c>
      <c r="B635" s="15" t="inlineStr">
        <is>
          <t xml:space="preserve">Bible_Journey_Canon_Map_v0_8_Acts_Pauline_Letters.xlsx</t>
        </is>
      </c>
      <c r="C635" s="15" t="inlineStr">
        <is>
          <t xml:space="preserve">BLK-029</t>
        </is>
      </c>
      <c r="D635" s="15" t="inlineStr">
        <is>
          <t xml:space="preserve">CRS-NT-029</t>
        </is>
      </c>
      <c r="E635" s="15"/>
      <c r="F635" s="15" t="inlineStr">
        <is>
          <t xml:space="preserve">Acts</t>
        </is>
      </c>
      <c r="G635" s="15" t="inlineStr">
        <is>
          <t xml:space="preserve">Acts 20:7–38</t>
        </is>
      </c>
      <c r="H635" s="15" t="inlineStr">
        <is>
          <t xml:space="preserve">Primary account</t>
        </is>
      </c>
      <c r="I635" s="15"/>
      <c r="J635" s="15"/>
      <c r="K635" s="15" t="inlineStr">
        <is>
          <t xml:space="preserve">Primary reading</t>
        </is>
      </c>
      <c r="L635" s="15"/>
      <c r="M635" s="15" t="inlineStr">
        <is>
          <t xml:space="preserve">High</t>
        </is>
      </c>
      <c r="N635" s="15" t="inlineStr">
        <is>
          <t xml:space="preserve">Yes</t>
        </is>
      </c>
      <c r="O635" s="15"/>
      <c r="P635" s="15"/>
      <c r="Q635" s="15" t="inlineStr">
        <is>
          <t xml:space="preserve">S07</t>
        </is>
      </c>
      <c r="R635" s="11" t="inlineStr">
        <is>
          <t xml:space="preserve">Ready for editorial review</t>
        </is>
      </c>
      <c r="S635" s="15" t="inlineStr">
        <is>
          <t xml:space="preserve">Final travel segment toward Jerusalem.</t>
        </is>
      </c>
    </row>
    <row r="636" ht="34" customHeight="1">
      <c r="A636" s="15" t="inlineStr">
        <is>
          <t xml:space="preserve">v0.8</t>
        </is>
      </c>
      <c r="B636" s="15" t="inlineStr">
        <is>
          <t xml:space="preserve">Bible_Journey_Canon_Map_v0_8_Acts_Pauline_Letters.xlsx</t>
        </is>
      </c>
      <c r="C636" s="15" t="inlineStr">
        <is>
          <t xml:space="preserve">BLK-030</t>
        </is>
      </c>
      <c r="D636" s="15" t="inlineStr">
        <is>
          <t xml:space="preserve">CRS-NT-030</t>
        </is>
      </c>
      <c r="E636" s="15"/>
      <c r="F636" s="15" t="inlineStr">
        <is>
          <t xml:space="preserve">Acts</t>
        </is>
      </c>
      <c r="G636" s="15" t="inlineStr">
        <is>
          <t xml:space="preserve">Acts 21:1–23:35</t>
        </is>
      </c>
      <c r="H636" s="15" t="inlineStr">
        <is>
          <t xml:space="preserve">Primary account</t>
        </is>
      </c>
      <c r="I636" s="15"/>
      <c r="J636" s="15"/>
      <c r="K636" s="15" t="inlineStr">
        <is>
          <t xml:space="preserve">Primary reading</t>
        </is>
      </c>
      <c r="L636" s="15"/>
      <c r="M636" s="15" t="inlineStr">
        <is>
          <t xml:space="preserve">High</t>
        </is>
      </c>
      <c r="N636" s="15" t="inlineStr">
        <is>
          <t xml:space="preserve">Yes</t>
        </is>
      </c>
      <c r="O636" s="15"/>
      <c r="P636" s="15"/>
      <c r="Q636" s="15" t="inlineStr">
        <is>
          <t xml:space="preserve">S07</t>
        </is>
      </c>
      <c r="R636" s="11" t="inlineStr">
        <is>
          <t xml:space="preserve">Ready for editorial review</t>
        </is>
      </c>
      <c r="S636" s="15" t="inlineStr">
        <is>
          <t xml:space="preserve">Treat as narrative sequence, not a setting for forcing letter placement.</t>
        </is>
      </c>
    </row>
    <row r="637" ht="34" customHeight="1">
      <c r="A637" s="15" t="inlineStr">
        <is>
          <t xml:space="preserve">v0.8</t>
        </is>
      </c>
      <c r="B637" s="15" t="inlineStr">
        <is>
          <t xml:space="preserve">Bible_Journey_Canon_Map_v0_8_Acts_Pauline_Letters.xlsx</t>
        </is>
      </c>
      <c r="C637" s="15" t="inlineStr">
        <is>
          <t xml:space="preserve">BLK-031</t>
        </is>
      </c>
      <c r="D637" s="15" t="inlineStr">
        <is>
          <t xml:space="preserve">CRS-NT-031</t>
        </is>
      </c>
      <c r="E637" s="15"/>
      <c r="F637" s="15" t="inlineStr">
        <is>
          <t xml:space="preserve">Acts</t>
        </is>
      </c>
      <c r="G637" s="15" t="inlineStr">
        <is>
          <t xml:space="preserve">Acts 24–26</t>
        </is>
      </c>
      <c r="H637" s="15" t="inlineStr">
        <is>
          <t xml:space="preserve">Primary account</t>
        </is>
      </c>
      <c r="I637" s="15"/>
      <c r="J637" s="15"/>
      <c r="K637" s="15" t="inlineStr">
        <is>
          <t xml:space="preserve">Primary reading</t>
        </is>
      </c>
      <c r="L637" s="15"/>
      <c r="M637" s="15" t="inlineStr">
        <is>
          <t xml:space="preserve">High</t>
        </is>
      </c>
      <c r="N637" s="15" t="inlineStr">
        <is>
          <t xml:space="preserve">Yes</t>
        </is>
      </c>
      <c r="O637" s="15" t="inlineStr">
        <is>
          <t xml:space="preserve">CMP-PRISON</t>
        </is>
      </c>
      <c r="P637" s="15"/>
      <c r="Q637" s="15" t="inlineStr">
        <is>
          <t xml:space="preserve">S02; S06</t>
        </is>
      </c>
      <c r="R637" s="11" t="inlineStr">
        <is>
          <t xml:space="preserve">Needs editorial decision</t>
        </is>
      </c>
      <c r="S637" s="15" t="inlineStr">
        <is>
          <t xml:space="preserve">Potential alternative setting for certain prison letters must be surfaced, not silently excluded.</t>
        </is>
      </c>
    </row>
    <row r="638" ht="34" customHeight="1">
      <c r="A638" s="15" t="inlineStr">
        <is>
          <t xml:space="preserve">v0.8</t>
        </is>
      </c>
      <c r="B638" s="15" t="inlineStr">
        <is>
          <t xml:space="preserve">Bible_Journey_Canon_Map_v0_8_Acts_Pauline_Letters.xlsx</t>
        </is>
      </c>
      <c r="C638" s="15" t="inlineStr">
        <is>
          <t xml:space="preserve">BLK-032</t>
        </is>
      </c>
      <c r="D638" s="15" t="inlineStr">
        <is>
          <t xml:space="preserve">CRS-NT-032</t>
        </is>
      </c>
      <c r="E638" s="15"/>
      <c r="F638" s="15" t="inlineStr">
        <is>
          <t xml:space="preserve">Acts</t>
        </is>
      </c>
      <c r="G638" s="15" t="inlineStr">
        <is>
          <t xml:space="preserve">Acts 27</t>
        </is>
      </c>
      <c r="H638" s="15" t="inlineStr">
        <is>
          <t xml:space="preserve">Primary account</t>
        </is>
      </c>
      <c r="I638" s="15"/>
      <c r="J638" s="15"/>
      <c r="K638" s="15" t="inlineStr">
        <is>
          <t xml:space="preserve">Primary reading</t>
        </is>
      </c>
      <c r="L638" s="15"/>
      <c r="M638" s="15" t="inlineStr">
        <is>
          <t xml:space="preserve">High</t>
        </is>
      </c>
      <c r="N638" s="15" t="inlineStr">
        <is>
          <t xml:space="preserve">Yes</t>
        </is>
      </c>
      <c r="O638" s="15"/>
      <c r="P638" s="15"/>
      <c r="Q638" s="15" t="inlineStr">
        <is>
          <t xml:space="preserve">S28</t>
        </is>
      </c>
      <c r="R638" s="11" t="inlineStr">
        <is>
          <t xml:space="preserve">Ready for editorial review</t>
        </is>
      </c>
      <c r="S638" s="15" t="inlineStr">
        <is>
          <t xml:space="preserve">Travel/shipwreck unit.</t>
        </is>
      </c>
    </row>
    <row r="639" ht="34" customHeight="1">
      <c r="A639" s="15" t="inlineStr">
        <is>
          <t xml:space="preserve">v0.8</t>
        </is>
      </c>
      <c r="B639" s="15" t="inlineStr">
        <is>
          <t xml:space="preserve">Bible_Journey_Canon_Map_v0_8_Acts_Pauline_Letters.xlsx</t>
        </is>
      </c>
      <c r="C639" s="15" t="inlineStr">
        <is>
          <t xml:space="preserve">BLK-033</t>
        </is>
      </c>
      <c r="D639" s="15" t="inlineStr">
        <is>
          <t xml:space="preserve">CRS-NT-033</t>
        </is>
      </c>
      <c r="E639" s="15"/>
      <c r="F639" s="15" t="inlineStr">
        <is>
          <t xml:space="preserve">Acts</t>
        </is>
      </c>
      <c r="G639" s="15" t="inlineStr">
        <is>
          <t xml:space="preserve">Acts 28</t>
        </is>
      </c>
      <c r="H639" s="15" t="inlineStr">
        <is>
          <t xml:space="preserve">Primary account</t>
        </is>
      </c>
      <c r="I639" s="15"/>
      <c r="J639" s="15"/>
      <c r="K639" s="15" t="inlineStr">
        <is>
          <t xml:space="preserve">Primary reading</t>
        </is>
      </c>
      <c r="L639" s="15"/>
      <c r="M639" s="15" t="inlineStr">
        <is>
          <t xml:space="preserve">High</t>
        </is>
      </c>
      <c r="N639" s="15" t="inlineStr">
        <is>
          <t xml:space="preserve">Yes</t>
        </is>
      </c>
      <c r="O639" s="15" t="inlineStr">
        <is>
          <t xml:space="preserve">CMP-PRISON</t>
        </is>
      </c>
      <c r="P639" s="15"/>
      <c r="Q639" s="15" t="inlineStr">
        <is>
          <t xml:space="preserve">S01; S07</t>
        </is>
      </c>
      <c r="R639" s="11" t="inlineStr">
        <is>
          <t xml:space="preserve">Ready for editorial review</t>
        </is>
      </c>
      <c r="S639" s="15" t="inlineStr">
        <is>
          <t xml:space="preserve">Acts ends before a complete account of later Pauline activity; preserve the narrative ending as written.</t>
        </is>
      </c>
    </row>
    <row r="640" ht="34" customHeight="1">
      <c r="A640" s="15" t="inlineStr">
        <is>
          <t xml:space="preserve">v0.8</t>
        </is>
      </c>
      <c r="B640" s="15" t="inlineStr">
        <is>
          <t xml:space="preserve">Bible_Journey_Canon_Map_v0_8_Acts_Pauline_Letters.xlsx</t>
        </is>
      </c>
      <c r="C640" s="15" t="inlineStr">
        <is>
          <t xml:space="preserve">BLK-034</t>
        </is>
      </c>
      <c r="D640" s="15" t="inlineStr">
        <is>
          <t xml:space="preserve">CRS-NT-034</t>
        </is>
      </c>
      <c r="E640" s="15"/>
      <c r="F640" s="15" t="inlineStr">
        <is>
          <t xml:space="preserve">Philemon</t>
        </is>
      </c>
      <c r="G640" s="15" t="inlineStr">
        <is>
          <t xml:space="preserve">Philemon</t>
        </is>
      </c>
      <c r="H640" s="15" t="inlineStr">
        <is>
          <t xml:space="preserve">Epistolary context</t>
        </is>
      </c>
      <c r="I640" s="15"/>
      <c r="J640" s="15"/>
      <c r="K640" s="15" t="inlineStr">
        <is>
          <t xml:space="preserve">Read in linked chronology</t>
        </is>
      </c>
      <c r="L640" s="15"/>
      <c r="M640" s="15" t="inlineStr">
        <is>
          <t xml:space="preserve">Probable</t>
        </is>
      </c>
      <c r="N640" s="15" t="inlineStr">
        <is>
          <t xml:space="preserve">Yes</t>
        </is>
      </c>
      <c r="O640" s="15" t="inlineStr">
        <is>
          <t xml:space="preserve">CMP-PRISON</t>
        </is>
      </c>
      <c r="P640" s="15"/>
      <c r="Q640" s="15" t="inlineStr">
        <is>
          <t xml:space="preserve">S02; S06</t>
        </is>
      </c>
      <c r="R640" s="11" t="inlineStr">
        <is>
          <t xml:space="preserve">Needs editorial decision</t>
        </is>
      </c>
      <c r="S640" s="15" t="inlineStr">
        <is>
          <t xml:space="preserve">Default cautious profile groups Philemon in a Roman detention dossier while retaining alternative locations in Study Mode.</t>
        </is>
      </c>
    </row>
    <row r="641" ht="34" customHeight="1">
      <c r="A641" s="15" t="inlineStr">
        <is>
          <t xml:space="preserve">v0.8</t>
        </is>
      </c>
      <c r="B641" s="15" t="inlineStr">
        <is>
          <t xml:space="preserve">Bible_Journey_Canon_Map_v0_8_Acts_Pauline_Letters.xlsx</t>
        </is>
      </c>
      <c r="C641" s="15" t="inlineStr">
        <is>
          <t xml:space="preserve">BLK-035</t>
        </is>
      </c>
      <c r="D641" s="15" t="inlineStr">
        <is>
          <t xml:space="preserve">CRS-NT-035</t>
        </is>
      </c>
      <c r="E641" s="15"/>
      <c r="F641" s="15" t="inlineStr">
        <is>
          <t xml:space="preserve">Colossians</t>
        </is>
      </c>
      <c r="G641" s="15" t="inlineStr">
        <is>
          <t xml:space="preserve">Colossians 1–4</t>
        </is>
      </c>
      <c r="H641" s="15" t="inlineStr">
        <is>
          <t xml:space="preserve">Epistolary context</t>
        </is>
      </c>
      <c r="I641" s="15"/>
      <c r="J641" s="15"/>
      <c r="K641" s="15" t="inlineStr">
        <is>
          <t xml:space="preserve">Read in linked chronology</t>
        </is>
      </c>
      <c r="L641" s="15"/>
      <c r="M641" s="15" t="inlineStr">
        <is>
          <t xml:space="preserve">Debated</t>
        </is>
      </c>
      <c r="N641" s="15" t="inlineStr">
        <is>
          <t xml:space="preserve">Yes</t>
        </is>
      </c>
      <c r="O641" s="15" t="inlineStr">
        <is>
          <t xml:space="preserve">CMP-PRISON</t>
        </is>
      </c>
      <c r="P641" s="15"/>
      <c r="Q641" s="15" t="inlineStr">
        <is>
          <t xml:space="preserve">S06</t>
        </is>
      </c>
      <c r="R641" s="11" t="inlineStr">
        <is>
          <t xml:space="preserve">Needs editorial decision</t>
        </is>
      </c>
      <c r="S641" s="15" t="inlineStr">
        <is>
          <t xml:space="preserve">Default grouping with Philemon; authorship and precise location require disclosure.</t>
        </is>
      </c>
    </row>
    <row r="642" ht="34" customHeight="1">
      <c r="A642" s="15" t="inlineStr">
        <is>
          <t xml:space="preserve">v0.8</t>
        </is>
      </c>
      <c r="B642" s="15" t="inlineStr">
        <is>
          <t xml:space="preserve">Bible_Journey_Canon_Map_v0_8_Acts_Pauline_Letters.xlsx</t>
        </is>
      </c>
      <c r="C642" s="15" t="inlineStr">
        <is>
          <t xml:space="preserve">BLK-036</t>
        </is>
      </c>
      <c r="D642" s="15" t="inlineStr">
        <is>
          <t xml:space="preserve">CRS-NT-036</t>
        </is>
      </c>
      <c r="E642" s="15"/>
      <c r="F642" s="15" t="inlineStr">
        <is>
          <t xml:space="preserve">Ephesians</t>
        </is>
      </c>
      <c r="G642" s="15" t="inlineStr">
        <is>
          <t xml:space="preserve">Ephesians 1–6</t>
        </is>
      </c>
      <c r="H642" s="15" t="inlineStr">
        <is>
          <t xml:space="preserve">Epistolary context</t>
        </is>
      </c>
      <c r="I642" s="15"/>
      <c r="J642" s="15"/>
      <c r="K642" s="15" t="inlineStr">
        <is>
          <t xml:space="preserve">Read in linked chronology</t>
        </is>
      </c>
      <c r="L642" s="15"/>
      <c r="M642" s="15" t="inlineStr">
        <is>
          <t xml:space="preserve">Debated</t>
        </is>
      </c>
      <c r="N642" s="15" t="inlineStr">
        <is>
          <t xml:space="preserve">Yes</t>
        </is>
      </c>
      <c r="O642" s="15" t="inlineStr">
        <is>
          <t xml:space="preserve">CMP-PRISON</t>
        </is>
      </c>
      <c r="P642" s="15"/>
      <c r="Q642" s="15" t="inlineStr">
        <is>
          <t xml:space="preserve">S06</t>
        </is>
      </c>
      <c r="R642" s="11" t="inlineStr">
        <is>
          <t xml:space="preserve">Needs editorial decision</t>
        </is>
      </c>
      <c r="S642" s="15" t="inlineStr">
        <is>
          <t xml:space="preserve">Do not present as a settled Acts 28 product; disclose authorship and location debate.</t>
        </is>
      </c>
    </row>
    <row r="643" ht="34" customHeight="1">
      <c r="A643" s="15" t="inlineStr">
        <is>
          <t xml:space="preserve">v0.8</t>
        </is>
      </c>
      <c r="B643" s="15" t="inlineStr">
        <is>
          <t xml:space="preserve">Bible_Journey_Canon_Map_v0_8_Acts_Pauline_Letters.xlsx</t>
        </is>
      </c>
      <c r="C643" s="15" t="inlineStr">
        <is>
          <t xml:space="preserve">BLK-037</t>
        </is>
      </c>
      <c r="D643" s="15" t="inlineStr">
        <is>
          <t xml:space="preserve">CRS-NT-037</t>
        </is>
      </c>
      <c r="E643" s="15"/>
      <c r="F643" s="15" t="inlineStr">
        <is>
          <t xml:space="preserve">Philippians</t>
        </is>
      </c>
      <c r="G643" s="15" t="inlineStr">
        <is>
          <t xml:space="preserve">Philippians 1–4</t>
        </is>
      </c>
      <c r="H643" s="15" t="inlineStr">
        <is>
          <t xml:space="preserve">Epistolary context</t>
        </is>
      </c>
      <c r="I643" s="15"/>
      <c r="J643" s="15"/>
      <c r="K643" s="15" t="inlineStr">
        <is>
          <t xml:space="preserve">Read in linked chronology</t>
        </is>
      </c>
      <c r="L643" s="15"/>
      <c r="M643" s="15" t="inlineStr">
        <is>
          <t xml:space="preserve">Probable</t>
        </is>
      </c>
      <c r="N643" s="15" t="inlineStr">
        <is>
          <t xml:space="preserve">Yes</t>
        </is>
      </c>
      <c r="O643" s="15" t="inlineStr">
        <is>
          <t xml:space="preserve">CMP-PRISON</t>
        </is>
      </c>
      <c r="P643" s="15"/>
      <c r="Q643" s="15" t="inlineStr">
        <is>
          <t xml:space="preserve">S02; S06</t>
        </is>
      </c>
      <c r="R643" s="11" t="inlineStr">
        <is>
          <t xml:space="preserve">Needs editorial decision</t>
        </is>
      </c>
      <c r="S643" s="15" t="inlineStr">
        <is>
          <t xml:space="preserve">Default cautious placement: Roman detention dossier with Ephesus/Caesarea alternatives available.</t>
        </is>
      </c>
    </row>
    <row r="644" ht="34" customHeight="1">
      <c r="A644" s="15" t="inlineStr">
        <is>
          <t xml:space="preserve">v0.8</t>
        </is>
      </c>
      <c r="B644" s="15" t="inlineStr">
        <is>
          <t xml:space="preserve">Bible_Journey_Canon_Map_v0_8_Acts_Pauline_Letters.xlsx</t>
        </is>
      </c>
      <c r="C644" s="15" t="inlineStr">
        <is>
          <t xml:space="preserve">BLK-038</t>
        </is>
      </c>
      <c r="D644" s="15" t="inlineStr">
        <is>
          <t xml:space="preserve">CRS-NT-038</t>
        </is>
      </c>
      <c r="E644" s="15"/>
      <c r="F644" s="15" t="inlineStr">
        <is>
          <t xml:space="preserve">1 Timothy</t>
        </is>
      </c>
      <c r="G644" s="15" t="inlineStr">
        <is>
          <t xml:space="preserve">1 Timothy 1–6</t>
        </is>
      </c>
      <c r="H644" s="15" t="inlineStr">
        <is>
          <t xml:space="preserve">Epistolary context</t>
        </is>
      </c>
      <c r="I644" s="15"/>
      <c r="J644" s="15"/>
      <c r="K644" s="15" t="inlineStr">
        <is>
          <t xml:space="preserve">Read in linked chronology</t>
        </is>
      </c>
      <c r="L644" s="15"/>
      <c r="M644" s="15" t="inlineStr">
        <is>
          <t xml:space="preserve">Debated</t>
        </is>
      </c>
      <c r="N644" s="15" t="inlineStr">
        <is>
          <t xml:space="preserve">Yes</t>
        </is>
      </c>
      <c r="O644" s="15" t="inlineStr">
        <is>
          <t xml:space="preserve">CMP-PASTORALS</t>
        </is>
      </c>
      <c r="P644" s="15"/>
      <c r="Q644" s="15" t="inlineStr">
        <is>
          <t xml:space="preserve">S06</t>
        </is>
      </c>
      <c r="R644" s="11" t="inlineStr">
        <is>
          <t xml:space="preserve">Needs editorial decision</t>
        </is>
      </c>
      <c r="S644" s="15" t="inlineStr">
        <is>
          <t xml:space="preserve">A post-Acts placement is a traditional reconstruction; authorship and chronology are debated.</t>
        </is>
      </c>
    </row>
    <row r="645" ht="34" customHeight="1">
      <c r="A645" s="15" t="inlineStr">
        <is>
          <t xml:space="preserve">v0.8</t>
        </is>
      </c>
      <c r="B645" s="15" t="inlineStr">
        <is>
          <t xml:space="preserve">Bible_Journey_Canon_Map_v0_8_Acts_Pauline_Letters.xlsx</t>
        </is>
      </c>
      <c r="C645" s="15" t="inlineStr">
        <is>
          <t xml:space="preserve">BLK-039</t>
        </is>
      </c>
      <c r="D645" s="15" t="inlineStr">
        <is>
          <t xml:space="preserve">CRS-NT-039</t>
        </is>
      </c>
      <c r="E645" s="15"/>
      <c r="F645" s="15" t="inlineStr">
        <is>
          <t xml:space="preserve">Titus</t>
        </is>
      </c>
      <c r="G645" s="15" t="inlineStr">
        <is>
          <t xml:space="preserve">Titus 1–3</t>
        </is>
      </c>
      <c r="H645" s="15" t="inlineStr">
        <is>
          <t xml:space="preserve">Epistolary context</t>
        </is>
      </c>
      <c r="I645" s="15"/>
      <c r="J645" s="15"/>
      <c r="K645" s="15" t="inlineStr">
        <is>
          <t xml:space="preserve">Read in linked chronology</t>
        </is>
      </c>
      <c r="L645" s="15"/>
      <c r="M645" s="15" t="inlineStr">
        <is>
          <t xml:space="preserve">Debated</t>
        </is>
      </c>
      <c r="N645" s="15" t="inlineStr">
        <is>
          <t xml:space="preserve">Yes</t>
        </is>
      </c>
      <c r="O645" s="15" t="inlineStr">
        <is>
          <t xml:space="preserve">CMP-PASTORALS</t>
        </is>
      </c>
      <c r="P645" s="15"/>
      <c r="Q645" s="15" t="inlineStr">
        <is>
          <t xml:space="preserve">S06</t>
        </is>
      </c>
      <c r="R645" s="11" t="inlineStr">
        <is>
          <t xml:space="preserve">Needs editorial decision</t>
        </is>
      </c>
      <c r="S645" s="15" t="inlineStr">
        <is>
          <t xml:space="preserve">A post-Acts placement is a traditional reconstruction; authorship and chronology are debated.</t>
        </is>
      </c>
    </row>
    <row r="646" ht="34" customHeight="1">
      <c r="A646" s="15" t="inlineStr">
        <is>
          <t xml:space="preserve">v0.8</t>
        </is>
      </c>
      <c r="B646" s="15" t="inlineStr">
        <is>
          <t xml:space="preserve">Bible_Journey_Canon_Map_v0_8_Acts_Pauline_Letters.xlsx</t>
        </is>
      </c>
      <c r="C646" s="15" t="inlineStr">
        <is>
          <t xml:space="preserve">BLK-040</t>
        </is>
      </c>
      <c r="D646" s="15" t="inlineStr">
        <is>
          <t xml:space="preserve">CRS-NT-040</t>
        </is>
      </c>
      <c r="E646" s="15"/>
      <c r="F646" s="15" t="inlineStr">
        <is>
          <t xml:space="preserve">2 Timothy</t>
        </is>
      </c>
      <c r="G646" s="15" t="inlineStr">
        <is>
          <t xml:space="preserve">2 Timothy 1–4</t>
        </is>
      </c>
      <c r="H646" s="15" t="inlineStr">
        <is>
          <t xml:space="preserve">Epistolary context</t>
        </is>
      </c>
      <c r="I646" s="15"/>
      <c r="J646" s="15"/>
      <c r="K646" s="15" t="inlineStr">
        <is>
          <t xml:space="preserve">Read in linked chronology</t>
        </is>
      </c>
      <c r="L646" s="15"/>
      <c r="M646" s="15" t="inlineStr">
        <is>
          <t xml:space="preserve">Debated</t>
        </is>
      </c>
      <c r="N646" s="15" t="inlineStr">
        <is>
          <t xml:space="preserve">Yes</t>
        </is>
      </c>
      <c r="O646" s="15" t="inlineStr">
        <is>
          <t xml:space="preserve">CMP-PASTORALS</t>
        </is>
      </c>
      <c r="P646" s="15"/>
      <c r="Q646" s="15" t="inlineStr">
        <is>
          <t xml:space="preserve">S06</t>
        </is>
      </c>
      <c r="R646" s="11" t="inlineStr">
        <is>
          <t xml:space="preserve">Needs editorial decision</t>
        </is>
      </c>
      <c r="S646" s="15" t="inlineStr">
        <is>
          <t xml:space="preserve">Traditional final-imprisonment placement; do not claim exact dating as settled.</t>
        </is>
      </c>
    </row>
    <row r="647" ht="34" customHeight="1">
      <c r="A647" s="15" t="inlineStr">
        <is>
          <t xml:space="preserve">v0.9</t>
        </is>
      </c>
      <c r="B647" s="15" t="inlineStr">
        <is>
          <t xml:space="preserve">Bible_Journey_Canon_Map_v0_9_General_Letters_Revelation.xlsx</t>
        </is>
      </c>
      <c r="C647" s="15" t="inlineStr">
        <is>
          <t xml:space="preserve">BLK-001</t>
        </is>
      </c>
      <c r="D647" s="15" t="inlineStr">
        <is>
          <t xml:space="preserve">CRS-GEN-001</t>
        </is>
      </c>
      <c r="E647" s="15"/>
      <c r="F647" s="15" t="inlineStr">
        <is>
          <t xml:space="preserve">Hebrews</t>
        </is>
      </c>
      <c r="G647" s="15" t="inlineStr">
        <is>
          <t xml:space="preserve">Hebrews 1–2</t>
        </is>
      </c>
      <c r="H647" s="15" t="inlineStr">
        <is>
          <t xml:space="preserve">General correspondence</t>
        </is>
      </c>
      <c r="I647" s="15"/>
      <c r="J647" s="15"/>
      <c r="K647" s="15" t="inlineStr">
        <is>
          <t xml:space="preserve">Read as an intact canonical passage</t>
        </is>
      </c>
      <c r="L647" s="15"/>
      <c r="M647" s="13" t="inlineStr">
        <is>
          <t xml:space="preserve">Unresolved</t>
        </is>
      </c>
      <c r="N647" s="15" t="inlineStr">
        <is>
          <t xml:space="preserve">Yes</t>
        </is>
      </c>
      <c r="O647" s="15" t="inlineStr">
        <is>
          <t xml:space="preserve">CMP-HEB-OT</t>
        </is>
      </c>
      <c r="P647" s="15"/>
      <c r="Q647" s="15" t="inlineStr">
        <is>
          <t xml:space="preserve">S01; S02</t>
        </is>
      </c>
      <c r="R647" s="11" t="inlineStr">
        <is>
          <t xml:space="preserve">Needs editorial decision</t>
        </is>
      </c>
      <c r="S647" s="15" t="inlineStr">
        <is>
          <t xml:space="preserve">Hebrews has no named author in the text and no secure Acts anchor. Preserve canonical reading while disclosing chronology is unresolved.</t>
        </is>
      </c>
    </row>
    <row r="648" ht="34" customHeight="1">
      <c r="A648" s="15" t="inlineStr">
        <is>
          <t xml:space="preserve">v0.9</t>
        </is>
      </c>
      <c r="B648" s="15" t="inlineStr">
        <is>
          <t xml:space="preserve">Bible_Journey_Canon_Map_v0_9_General_Letters_Revelation.xlsx</t>
        </is>
      </c>
      <c r="C648" s="15" t="inlineStr">
        <is>
          <t xml:space="preserve">BLK-002</t>
        </is>
      </c>
      <c r="D648" s="15" t="inlineStr">
        <is>
          <t xml:space="preserve">CRS-GEN-002</t>
        </is>
      </c>
      <c r="E648" s="15"/>
      <c r="F648" s="15" t="inlineStr">
        <is>
          <t xml:space="preserve">Hebrews</t>
        </is>
      </c>
      <c r="G648" s="15" t="inlineStr">
        <is>
          <t xml:space="preserve">Hebrews 3–4</t>
        </is>
      </c>
      <c r="H648" s="15" t="inlineStr">
        <is>
          <t xml:space="preserve">General correspondence</t>
        </is>
      </c>
      <c r="I648" s="15"/>
      <c r="J648" s="15"/>
      <c r="K648" s="15" t="inlineStr">
        <is>
          <t xml:space="preserve">Read as an intact canonical passage</t>
        </is>
      </c>
      <c r="L648" s="15"/>
      <c r="M648" s="13" t="inlineStr">
        <is>
          <t xml:space="preserve">Unresolved</t>
        </is>
      </c>
      <c r="N648" s="15" t="inlineStr">
        <is>
          <t xml:space="preserve">Yes</t>
        </is>
      </c>
      <c r="O648" s="15" t="inlineStr">
        <is>
          <t xml:space="preserve">CMP-HEB-OT</t>
        </is>
      </c>
      <c r="P648" s="15"/>
      <c r="Q648" s="15" t="inlineStr">
        <is>
          <t xml:space="preserve">S01; S02</t>
        </is>
      </c>
      <c r="R648" s="11" t="inlineStr">
        <is>
          <t xml:space="preserve">Needs editorial decision</t>
        </is>
      </c>
      <c r="S648" s="15" t="inlineStr">
        <is>
          <t xml:space="preserve">Read within the argument of Hebrews, not as a chronological episode after Acts.</t>
        </is>
      </c>
    </row>
    <row r="649" ht="34" customHeight="1">
      <c r="A649" s="15" t="inlineStr">
        <is>
          <t xml:space="preserve">v0.9</t>
        </is>
      </c>
      <c r="B649" s="15" t="inlineStr">
        <is>
          <t xml:space="preserve">Bible_Journey_Canon_Map_v0_9_General_Letters_Revelation.xlsx</t>
        </is>
      </c>
      <c r="C649" s="15" t="inlineStr">
        <is>
          <t xml:space="preserve">BLK-003</t>
        </is>
      </c>
      <c r="D649" s="15" t="inlineStr">
        <is>
          <t xml:space="preserve">CRS-GEN-003</t>
        </is>
      </c>
      <c r="E649" s="15"/>
      <c r="F649" s="15" t="inlineStr">
        <is>
          <t xml:space="preserve">Hebrews</t>
        </is>
      </c>
      <c r="G649" s="15" t="inlineStr">
        <is>
          <t xml:space="preserve">Hebrews 5–7</t>
        </is>
      </c>
      <c r="H649" s="15" t="inlineStr">
        <is>
          <t xml:space="preserve">General correspondence</t>
        </is>
      </c>
      <c r="I649" s="15"/>
      <c r="J649" s="15"/>
      <c r="K649" s="15" t="inlineStr">
        <is>
          <t xml:space="preserve">Read as an intact canonical passage</t>
        </is>
      </c>
      <c r="L649" s="15"/>
      <c r="M649" s="13" t="inlineStr">
        <is>
          <t xml:space="preserve">Unresolved</t>
        </is>
      </c>
      <c r="N649" s="15" t="inlineStr">
        <is>
          <t xml:space="preserve">Yes</t>
        </is>
      </c>
      <c r="O649" s="15" t="inlineStr">
        <is>
          <t xml:space="preserve">CMP-HEB-OT</t>
        </is>
      </c>
      <c r="P649" s="15"/>
      <c r="Q649" s="15" t="inlineStr">
        <is>
          <t xml:space="preserve">S01; S02</t>
        </is>
      </c>
      <c r="R649" s="15" t="inlineStr">
        <is>
          <t xml:space="preserve">Needs source check</t>
        </is>
      </c>
      <c r="S649" s="15" t="inlineStr">
        <is>
          <t xml:space="preserve">Intertextual material belongs in Study Mode; no synthetic combination with Genesis, Psalms, or Leviticus.</t>
        </is>
      </c>
    </row>
    <row r="650" ht="34" customHeight="1">
      <c r="A650" s="15" t="inlineStr">
        <is>
          <t xml:space="preserve">v0.9</t>
        </is>
      </c>
      <c r="B650" s="15" t="inlineStr">
        <is>
          <t xml:space="preserve">Bible_Journey_Canon_Map_v0_9_General_Letters_Revelation.xlsx</t>
        </is>
      </c>
      <c r="C650" s="15" t="inlineStr">
        <is>
          <t xml:space="preserve">BLK-004</t>
        </is>
      </c>
      <c r="D650" s="15" t="inlineStr">
        <is>
          <t xml:space="preserve">CRS-GEN-004</t>
        </is>
      </c>
      <c r="E650" s="15"/>
      <c r="F650" s="15" t="inlineStr">
        <is>
          <t xml:space="preserve">Hebrews</t>
        </is>
      </c>
      <c r="G650" s="15" t="inlineStr">
        <is>
          <t xml:space="preserve">Hebrews 8–10</t>
        </is>
      </c>
      <c r="H650" s="15" t="inlineStr">
        <is>
          <t xml:space="preserve">General correspondence</t>
        </is>
      </c>
      <c r="I650" s="15"/>
      <c r="J650" s="15"/>
      <c r="K650" s="15" t="inlineStr">
        <is>
          <t xml:space="preserve">Read as an intact canonical passage</t>
        </is>
      </c>
      <c r="L650" s="15"/>
      <c r="M650" s="13" t="inlineStr">
        <is>
          <t xml:space="preserve">Unresolved</t>
        </is>
      </c>
      <c r="N650" s="15" t="inlineStr">
        <is>
          <t xml:space="preserve">Yes</t>
        </is>
      </c>
      <c r="O650" s="15" t="inlineStr">
        <is>
          <t xml:space="preserve">CMP-HEB-OT</t>
        </is>
      </c>
      <c r="P650" s="15"/>
      <c r="Q650" s="15" t="inlineStr">
        <is>
          <t xml:space="preserve">S01; S02</t>
        </is>
      </c>
      <c r="R650" s="15" t="inlineStr">
        <is>
          <t xml:space="preserve">Needs source check</t>
        </is>
      </c>
      <c r="S650" s="15" t="inlineStr">
        <is>
          <t xml:space="preserve">Jeremiah 31 and cultic texts are supporting intertexts, not parallel accounts.</t>
        </is>
      </c>
    </row>
    <row r="651" ht="34" customHeight="1">
      <c r="A651" s="15" t="inlineStr">
        <is>
          <t xml:space="preserve">v0.9</t>
        </is>
      </c>
      <c r="B651" s="15" t="inlineStr">
        <is>
          <t xml:space="preserve">Bible_Journey_Canon_Map_v0_9_General_Letters_Revelation.xlsx</t>
        </is>
      </c>
      <c r="C651" s="15" t="inlineStr">
        <is>
          <t xml:space="preserve">BLK-005</t>
        </is>
      </c>
      <c r="D651" s="15" t="inlineStr">
        <is>
          <t xml:space="preserve">CRS-GEN-005</t>
        </is>
      </c>
      <c r="E651" s="15"/>
      <c r="F651" s="15" t="inlineStr">
        <is>
          <t xml:space="preserve">Hebrews</t>
        </is>
      </c>
      <c r="G651" s="15" t="inlineStr">
        <is>
          <t xml:space="preserve">Hebrews 11–13</t>
        </is>
      </c>
      <c r="H651" s="15" t="inlineStr">
        <is>
          <t xml:space="preserve">General correspondence</t>
        </is>
      </c>
      <c r="I651" s="15"/>
      <c r="J651" s="15"/>
      <c r="K651" s="15" t="inlineStr">
        <is>
          <t xml:space="preserve">Read as an intact canonical passage</t>
        </is>
      </c>
      <c r="L651" s="15"/>
      <c r="M651" s="13" t="inlineStr">
        <is>
          <t xml:space="preserve">Unresolved</t>
        </is>
      </c>
      <c r="N651" s="15" t="inlineStr">
        <is>
          <t xml:space="preserve">Yes</t>
        </is>
      </c>
      <c r="O651" s="15" t="inlineStr">
        <is>
          <t xml:space="preserve">CMP-HEB-OT</t>
        </is>
      </c>
      <c r="P651" s="15"/>
      <c r="Q651" s="15" t="inlineStr">
        <is>
          <t xml:space="preserve">S01; S02</t>
        </is>
      </c>
      <c r="R651" s="11" t="inlineStr">
        <is>
          <t xml:space="preserve">Needs editorial decision</t>
        </is>
      </c>
      <c r="S651" s="15" t="inlineStr">
        <is>
          <t xml:space="preserve">End Hebrews as a complete letter/sermon-like literary unit; no invented post-Acts date.</t>
        </is>
      </c>
    </row>
    <row r="652" ht="34" customHeight="1">
      <c r="A652" s="15" t="inlineStr">
        <is>
          <t xml:space="preserve">v0.9</t>
        </is>
      </c>
      <c r="B652" s="15" t="inlineStr">
        <is>
          <t xml:space="preserve">Bible_Journey_Canon_Map_v0_9_General_Letters_Revelation.xlsx</t>
        </is>
      </c>
      <c r="C652" s="15" t="inlineStr">
        <is>
          <t xml:space="preserve">BLK-006</t>
        </is>
      </c>
      <c r="D652" s="15" t="inlineStr">
        <is>
          <t xml:space="preserve">CRS-GEN-006</t>
        </is>
      </c>
      <c r="E652" s="15"/>
      <c r="F652" s="15" t="inlineStr">
        <is>
          <t xml:space="preserve">James</t>
        </is>
      </c>
      <c r="G652" s="15" t="inlineStr">
        <is>
          <t xml:space="preserve">James 1–2</t>
        </is>
      </c>
      <c r="H652" s="15" t="inlineStr">
        <is>
          <t xml:space="preserve">General correspondence</t>
        </is>
      </c>
      <c r="I652" s="15"/>
      <c r="J652" s="15"/>
      <c r="K652" s="15" t="inlineStr">
        <is>
          <t xml:space="preserve">Read as an intact canonical passage</t>
        </is>
      </c>
      <c r="L652" s="15"/>
      <c r="M652" s="15" t="inlineStr">
        <is>
          <t xml:space="preserve">Debated</t>
        </is>
      </c>
      <c r="N652" s="15" t="inlineStr">
        <is>
          <t xml:space="preserve">Yes</t>
        </is>
      </c>
      <c r="O652" s="15" t="inlineStr">
        <is>
          <t xml:space="preserve">CMP-JAMES-PAUL</t>
        </is>
      </c>
      <c r="P652" s="15"/>
      <c r="Q652" s="15" t="inlineStr">
        <is>
          <t xml:space="preserve">S03; S04</t>
        </is>
      </c>
      <c r="R652" s="11" t="inlineStr">
        <is>
          <t xml:space="preserve">Needs editorial decision</t>
        </is>
      </c>
      <c r="S652" s="15" t="inlineStr">
        <is>
          <t xml:space="preserve">James is retained in canonical sequence because its date, author, audience, and exact relationship to Acts are not settled.</t>
        </is>
      </c>
    </row>
    <row r="653" ht="34" customHeight="1">
      <c r="A653" s="15" t="inlineStr">
        <is>
          <t xml:space="preserve">v0.9</t>
        </is>
      </c>
      <c r="B653" s="15" t="inlineStr">
        <is>
          <t xml:space="preserve">Bible_Journey_Canon_Map_v0_9_General_Letters_Revelation.xlsx</t>
        </is>
      </c>
      <c r="C653" s="15" t="inlineStr">
        <is>
          <t xml:space="preserve">BLK-007</t>
        </is>
      </c>
      <c r="D653" s="15" t="inlineStr">
        <is>
          <t xml:space="preserve">CRS-GEN-007</t>
        </is>
      </c>
      <c r="E653" s="15"/>
      <c r="F653" s="15" t="inlineStr">
        <is>
          <t xml:space="preserve">James</t>
        </is>
      </c>
      <c r="G653" s="15" t="inlineStr">
        <is>
          <t xml:space="preserve">James 3–5</t>
        </is>
      </c>
      <c r="H653" s="15" t="inlineStr">
        <is>
          <t xml:space="preserve">General correspondence</t>
        </is>
      </c>
      <c r="I653" s="15"/>
      <c r="J653" s="15"/>
      <c r="K653" s="15" t="inlineStr">
        <is>
          <t xml:space="preserve">Read as an intact canonical passage</t>
        </is>
      </c>
      <c r="L653" s="15"/>
      <c r="M653" s="15" t="inlineStr">
        <is>
          <t xml:space="preserve">Debated</t>
        </is>
      </c>
      <c r="N653" s="15" t="inlineStr">
        <is>
          <t xml:space="preserve">Yes</t>
        </is>
      </c>
      <c r="O653" s="15" t="inlineStr">
        <is>
          <t xml:space="preserve">CMP-JAMES-PAUL</t>
        </is>
      </c>
      <c r="P653" s="15"/>
      <c r="Q653" s="15" t="inlineStr">
        <is>
          <t xml:space="preserve">S03; S04</t>
        </is>
      </c>
      <c r="R653" s="15" t="inlineStr">
        <is>
          <t xml:space="preserve">Needs source check</t>
        </is>
      </c>
      <c r="S653" s="15" t="inlineStr">
        <is>
          <t xml:space="preserve">Do not frame James 2 and Paul as a direct chronological dispute without a separately sourced study note.</t>
        </is>
      </c>
    </row>
    <row r="654" ht="34" customHeight="1">
      <c r="A654" s="15" t="inlineStr">
        <is>
          <t xml:space="preserve">v0.9</t>
        </is>
      </c>
      <c r="B654" s="15" t="inlineStr">
        <is>
          <t xml:space="preserve">Bible_Journey_Canon_Map_v0_9_General_Letters_Revelation.xlsx</t>
        </is>
      </c>
      <c r="C654" s="15" t="inlineStr">
        <is>
          <t xml:space="preserve">BLK-008</t>
        </is>
      </c>
      <c r="D654" s="15" t="inlineStr">
        <is>
          <t xml:space="preserve">CRS-GEN-008</t>
        </is>
      </c>
      <c r="E654" s="15"/>
      <c r="F654" s="15" t="inlineStr">
        <is>
          <t xml:space="preserve">1 Peter</t>
        </is>
      </c>
      <c r="G654" s="15" t="inlineStr">
        <is>
          <t xml:space="preserve">1 Peter 1–2</t>
        </is>
      </c>
      <c r="H654" s="15" t="inlineStr">
        <is>
          <t xml:space="preserve">General correspondence</t>
        </is>
      </c>
      <c r="I654" s="15"/>
      <c r="J654" s="15"/>
      <c r="K654" s="15" t="inlineStr">
        <is>
          <t xml:space="preserve">Read as an intact canonical passage</t>
        </is>
      </c>
      <c r="L654" s="15"/>
      <c r="M654" s="15" t="inlineStr">
        <is>
          <t xml:space="preserve">Debated</t>
        </is>
      </c>
      <c r="N654" s="15" t="inlineStr">
        <is>
          <t xml:space="preserve">Yes</t>
        </is>
      </c>
      <c r="O654" s="15" t="inlineStr">
        <is>
          <t xml:space="preserve">CMP-PETRINE-DIASPORA</t>
        </is>
      </c>
      <c r="P654" s="15"/>
      <c r="Q654" s="15" t="inlineStr">
        <is>
          <t xml:space="preserve">S05; S06</t>
        </is>
      </c>
      <c r="R654" s="11" t="inlineStr">
        <is>
          <t xml:space="preserve">Needs editorial decision</t>
        </is>
      </c>
      <c r="S654" s="15" t="inlineStr">
        <is>
          <t xml:space="preserve">The letter names regions in Asia Minor but does not supply a secure point in Acts for placement.</t>
        </is>
      </c>
    </row>
    <row r="655" ht="34" customHeight="1">
      <c r="A655" s="15" t="inlineStr">
        <is>
          <t xml:space="preserve">v0.9</t>
        </is>
      </c>
      <c r="B655" s="15" t="inlineStr">
        <is>
          <t xml:space="preserve">Bible_Journey_Canon_Map_v0_9_General_Letters_Revelation.xlsx</t>
        </is>
      </c>
      <c r="C655" s="15" t="inlineStr">
        <is>
          <t xml:space="preserve">BLK-009</t>
        </is>
      </c>
      <c r="D655" s="15" t="inlineStr">
        <is>
          <t xml:space="preserve">CRS-GEN-009</t>
        </is>
      </c>
      <c r="E655" s="15"/>
      <c r="F655" s="15" t="inlineStr">
        <is>
          <t xml:space="preserve">1 Peter</t>
        </is>
      </c>
      <c r="G655" s="15" t="inlineStr">
        <is>
          <t xml:space="preserve">1 Peter 3–5</t>
        </is>
      </c>
      <c r="H655" s="15" t="inlineStr">
        <is>
          <t xml:space="preserve">General correspondence</t>
        </is>
      </c>
      <c r="I655" s="15"/>
      <c r="J655" s="15"/>
      <c r="K655" s="15" t="inlineStr">
        <is>
          <t xml:space="preserve">Read as an intact canonical passage</t>
        </is>
      </c>
      <c r="L655" s="15"/>
      <c r="M655" s="15" t="inlineStr">
        <is>
          <t xml:space="preserve">Debated</t>
        </is>
      </c>
      <c r="N655" s="15" t="inlineStr">
        <is>
          <t xml:space="preserve">Yes</t>
        </is>
      </c>
      <c r="O655" s="15" t="inlineStr">
        <is>
          <t xml:space="preserve">CMP-PETRINE-DIASPORA</t>
        </is>
      </c>
      <c r="P655" s="15"/>
      <c r="Q655" s="15" t="inlineStr">
        <is>
          <t xml:space="preserve">S05; S06</t>
        </is>
      </c>
      <c r="R655" s="15" t="inlineStr">
        <is>
          <t xml:space="preserve">Needs source check</t>
        </is>
      </c>
      <c r="S655" s="15" t="inlineStr">
        <is>
          <t xml:space="preserve">Map regional references as context, not evidence of a dated Acts itinerary.</t>
        </is>
      </c>
    </row>
    <row r="656" ht="34" customHeight="1">
      <c r="A656" s="15" t="inlineStr">
        <is>
          <t xml:space="preserve">v0.9</t>
        </is>
      </c>
      <c r="B656" s="15" t="inlineStr">
        <is>
          <t xml:space="preserve">Bible_Journey_Canon_Map_v0_9_General_Letters_Revelation.xlsx</t>
        </is>
      </c>
      <c r="C656" s="15" t="inlineStr">
        <is>
          <t xml:space="preserve">BLK-010</t>
        </is>
      </c>
      <c r="D656" s="15" t="inlineStr">
        <is>
          <t xml:space="preserve">CRS-GEN-010</t>
        </is>
      </c>
      <c r="E656" s="15"/>
      <c r="F656" s="15" t="inlineStr">
        <is>
          <t xml:space="preserve">2 Peter</t>
        </is>
      </c>
      <c r="G656" s="15" t="inlineStr">
        <is>
          <t xml:space="preserve">2 Peter 1–3</t>
        </is>
      </c>
      <c r="H656" s="15" t="inlineStr">
        <is>
          <t xml:space="preserve">General correspondence</t>
        </is>
      </c>
      <c r="I656" s="15"/>
      <c r="J656" s="15"/>
      <c r="K656" s="15" t="inlineStr">
        <is>
          <t xml:space="preserve">Read as an intact canonical passage</t>
        </is>
      </c>
      <c r="L656" s="15"/>
      <c r="M656" s="15" t="inlineStr">
        <is>
          <t xml:space="preserve">Debated</t>
        </is>
      </c>
      <c r="N656" s="15" t="inlineStr">
        <is>
          <t xml:space="preserve">Yes</t>
        </is>
      </c>
      <c r="O656" s="15" t="inlineStr">
        <is>
          <t xml:space="preserve">CMP-JUDE-2PET</t>
        </is>
      </c>
      <c r="P656" s="15"/>
      <c r="Q656" s="15" t="inlineStr">
        <is>
          <t xml:space="preserve">S07; S08</t>
        </is>
      </c>
      <c r="R656" s="11" t="inlineStr">
        <is>
          <t xml:space="preserve">Needs editorial decision</t>
        </is>
      </c>
      <c r="S656" s="15" t="inlineStr">
        <is>
          <t xml:space="preserve">Questions of authorship and date require a debated placement label; retain canonical reading coverage.</t>
        </is>
      </c>
    </row>
    <row r="657" ht="34" customHeight="1">
      <c r="A657" s="15" t="inlineStr">
        <is>
          <t xml:space="preserve">v0.9</t>
        </is>
      </c>
      <c r="B657" s="15" t="inlineStr">
        <is>
          <t xml:space="preserve">Bible_Journey_Canon_Map_v0_9_General_Letters_Revelation.xlsx</t>
        </is>
      </c>
      <c r="C657" s="15" t="inlineStr">
        <is>
          <t xml:space="preserve">BLK-011</t>
        </is>
      </c>
      <c r="D657" s="15" t="inlineStr">
        <is>
          <t xml:space="preserve">CRS-GEN-011</t>
        </is>
      </c>
      <c r="E657" s="15"/>
      <c r="F657" s="15" t="inlineStr">
        <is>
          <t xml:space="preserve">1 John</t>
        </is>
      </c>
      <c r="G657" s="15" t="inlineStr">
        <is>
          <t xml:space="preserve">1 John 1–2</t>
        </is>
      </c>
      <c r="H657" s="15" t="inlineStr">
        <is>
          <t xml:space="preserve">Johannine correspondence</t>
        </is>
      </c>
      <c r="I657" s="15"/>
      <c r="J657" s="15"/>
      <c r="K657" s="15" t="inlineStr">
        <is>
          <t xml:space="preserve">Read as an intact canonical passage</t>
        </is>
      </c>
      <c r="L657" s="15"/>
      <c r="M657" s="15" t="inlineStr">
        <is>
          <t xml:space="preserve">Debated</t>
        </is>
      </c>
      <c r="N657" s="15" t="inlineStr">
        <is>
          <t xml:space="preserve">Yes</t>
        </is>
      </c>
      <c r="O657" s="15" t="inlineStr">
        <is>
          <t xml:space="preserve">CMP-JOHANNINE</t>
        </is>
      </c>
      <c r="P657" s="15"/>
      <c r="Q657" s="15" t="inlineStr">
        <is>
          <t xml:space="preserve">S09; S10</t>
        </is>
      </c>
      <c r="R657" s="11" t="inlineStr">
        <is>
          <t xml:space="preserve">Needs editorial decision</t>
        </is>
      </c>
      <c r="S657" s="15" t="inlineStr">
        <is>
          <t xml:space="preserve">Relationship to the Fourth Gospel and the other Johannine letters is a literary/contextual question, not a fixed historical sequence.</t>
        </is>
      </c>
    </row>
    <row r="658" ht="34" customHeight="1">
      <c r="A658" s="15" t="inlineStr">
        <is>
          <t xml:space="preserve">v0.9</t>
        </is>
      </c>
      <c r="B658" s="15" t="inlineStr">
        <is>
          <t xml:space="preserve">Bible_Journey_Canon_Map_v0_9_General_Letters_Revelation.xlsx</t>
        </is>
      </c>
      <c r="C658" s="15" t="inlineStr">
        <is>
          <t xml:space="preserve">BLK-012</t>
        </is>
      </c>
      <c r="D658" s="15" t="inlineStr">
        <is>
          <t xml:space="preserve">CRS-GEN-012</t>
        </is>
      </c>
      <c r="E658" s="15"/>
      <c r="F658" s="15" t="inlineStr">
        <is>
          <t xml:space="preserve">1 John</t>
        </is>
      </c>
      <c r="G658" s="15" t="inlineStr">
        <is>
          <t xml:space="preserve">1 John 3–5</t>
        </is>
      </c>
      <c r="H658" s="15" t="inlineStr">
        <is>
          <t xml:space="preserve">Johannine correspondence</t>
        </is>
      </c>
      <c r="I658" s="15"/>
      <c r="J658" s="15"/>
      <c r="K658" s="15" t="inlineStr">
        <is>
          <t xml:space="preserve">Read as an intact canonical passage</t>
        </is>
      </c>
      <c r="L658" s="15"/>
      <c r="M658" s="15" t="inlineStr">
        <is>
          <t xml:space="preserve">Debated</t>
        </is>
      </c>
      <c r="N658" s="15" t="inlineStr">
        <is>
          <t xml:space="preserve">Yes</t>
        </is>
      </c>
      <c r="O658" s="15" t="inlineStr">
        <is>
          <t xml:space="preserve">CMP-JOHANNINE</t>
        </is>
      </c>
      <c r="P658" s="15"/>
      <c r="Q658" s="15" t="inlineStr">
        <is>
          <t xml:space="preserve">S09; S10</t>
        </is>
      </c>
      <c r="R658" s="15" t="inlineStr">
        <is>
          <t xml:space="preserve">Needs source check</t>
        </is>
      </c>
      <c r="S658" s="15" t="inlineStr">
        <is>
          <t xml:space="preserve">Preserve letter integrity; Study Mode may show literary links to 2–3 John without merging them.</t>
        </is>
      </c>
    </row>
    <row r="659" ht="34" customHeight="1">
      <c r="A659" s="15" t="inlineStr">
        <is>
          <t xml:space="preserve">v0.9</t>
        </is>
      </c>
      <c r="B659" s="15" t="inlineStr">
        <is>
          <t xml:space="preserve">Bible_Journey_Canon_Map_v0_9_General_Letters_Revelation.xlsx</t>
        </is>
      </c>
      <c r="C659" s="15" t="inlineStr">
        <is>
          <t xml:space="preserve">BLK-013</t>
        </is>
      </c>
      <c r="D659" s="15" t="inlineStr">
        <is>
          <t xml:space="preserve">CRS-GEN-013</t>
        </is>
      </c>
      <c r="E659" s="15"/>
      <c r="F659" s="15" t="inlineStr">
        <is>
          <t xml:space="preserve">2 John</t>
        </is>
      </c>
      <c r="G659" s="15" t="inlineStr">
        <is>
          <t xml:space="preserve">2 John</t>
        </is>
      </c>
      <c r="H659" s="15" t="inlineStr">
        <is>
          <t xml:space="preserve">Johannine correspondence</t>
        </is>
      </c>
      <c r="I659" s="15"/>
      <c r="J659" s="15"/>
      <c r="K659" s="15" t="inlineStr">
        <is>
          <t xml:space="preserve">Read as an intact canonical passage</t>
        </is>
      </c>
      <c r="L659" s="15"/>
      <c r="M659" s="15" t="inlineStr">
        <is>
          <t xml:space="preserve">Debated</t>
        </is>
      </c>
      <c r="N659" s="15" t="inlineStr">
        <is>
          <t xml:space="preserve">Yes</t>
        </is>
      </c>
      <c r="O659" s="15" t="inlineStr">
        <is>
          <t xml:space="preserve">CMP-JOHANNINE</t>
        </is>
      </c>
      <c r="P659" s="15"/>
      <c r="Q659" s="15" t="inlineStr">
        <is>
          <t xml:space="preserve">S09; S10</t>
        </is>
      </c>
      <c r="R659" s="11" t="inlineStr">
        <is>
          <t xml:space="preserve">Needs editorial decision</t>
        </is>
      </c>
      <c r="S659" s="15" t="inlineStr">
        <is>
          <t xml:space="preserve">Placement is literary/canonical, not asserted chronology.</t>
        </is>
      </c>
    </row>
    <row r="660" ht="34" customHeight="1">
      <c r="A660" s="15" t="inlineStr">
        <is>
          <t xml:space="preserve">v0.9</t>
        </is>
      </c>
      <c r="B660" s="15" t="inlineStr">
        <is>
          <t xml:space="preserve">Bible_Journey_Canon_Map_v0_9_General_Letters_Revelation.xlsx</t>
        </is>
      </c>
      <c r="C660" s="15" t="inlineStr">
        <is>
          <t xml:space="preserve">BLK-014</t>
        </is>
      </c>
      <c r="D660" s="15" t="inlineStr">
        <is>
          <t xml:space="preserve">CRS-GEN-014</t>
        </is>
      </c>
      <c r="E660" s="15"/>
      <c r="F660" s="15" t="inlineStr">
        <is>
          <t xml:space="preserve">3 John</t>
        </is>
      </c>
      <c r="G660" s="15" t="inlineStr">
        <is>
          <t xml:space="preserve">3 John</t>
        </is>
      </c>
      <c r="H660" s="15" t="inlineStr">
        <is>
          <t xml:space="preserve">Johannine correspondence</t>
        </is>
      </c>
      <c r="I660" s="15"/>
      <c r="J660" s="15"/>
      <c r="K660" s="15" t="inlineStr">
        <is>
          <t xml:space="preserve">Read as an intact canonical passage</t>
        </is>
      </c>
      <c r="L660" s="15"/>
      <c r="M660" s="15" t="inlineStr">
        <is>
          <t xml:space="preserve">Debated</t>
        </is>
      </c>
      <c r="N660" s="15" t="inlineStr">
        <is>
          <t xml:space="preserve">Yes</t>
        </is>
      </c>
      <c r="O660" s="15" t="inlineStr">
        <is>
          <t xml:space="preserve">CMP-JOHANNINE</t>
        </is>
      </c>
      <c r="P660" s="15"/>
      <c r="Q660" s="15" t="inlineStr">
        <is>
          <t xml:space="preserve">S09; S10</t>
        </is>
      </c>
      <c r="R660" s="11" t="inlineStr">
        <is>
          <t xml:space="preserve">Needs editorial decision</t>
        </is>
      </c>
      <c r="S660" s="15" t="inlineStr">
        <is>
          <t xml:space="preserve">Read as an intact short letter with localized setting; no direct Acts anchor.</t>
        </is>
      </c>
    </row>
    <row r="661" ht="34" customHeight="1">
      <c r="A661" s="15" t="inlineStr">
        <is>
          <t xml:space="preserve">v0.9</t>
        </is>
      </c>
      <c r="B661" s="15" t="inlineStr">
        <is>
          <t xml:space="preserve">Bible_Journey_Canon_Map_v0_9_General_Letters_Revelation.xlsx</t>
        </is>
      </c>
      <c r="C661" s="15" t="inlineStr">
        <is>
          <t xml:space="preserve">BLK-015</t>
        </is>
      </c>
      <c r="D661" s="15" t="inlineStr">
        <is>
          <t xml:space="preserve">CRS-GEN-015</t>
        </is>
      </c>
      <c r="E661" s="15"/>
      <c r="F661" s="15" t="inlineStr">
        <is>
          <t xml:space="preserve">Jude</t>
        </is>
      </c>
      <c r="G661" s="15" t="inlineStr">
        <is>
          <t xml:space="preserve">Jude</t>
        </is>
      </c>
      <c r="H661" s="15" t="inlineStr">
        <is>
          <t xml:space="preserve">General correspondence</t>
        </is>
      </c>
      <c r="I661" s="15"/>
      <c r="J661" s="15"/>
      <c r="K661" s="15" t="inlineStr">
        <is>
          <t xml:space="preserve">Read as an intact canonical passage</t>
        </is>
      </c>
      <c r="L661" s="15"/>
      <c r="M661" s="15" t="inlineStr">
        <is>
          <t xml:space="preserve">Debated</t>
        </is>
      </c>
      <c r="N661" s="15" t="inlineStr">
        <is>
          <t xml:space="preserve">Yes</t>
        </is>
      </c>
      <c r="O661" s="15" t="inlineStr">
        <is>
          <t xml:space="preserve">CMP-JUDE-2PET</t>
        </is>
      </c>
      <c r="P661" s="15"/>
      <c r="Q661" s="15" t="inlineStr">
        <is>
          <t xml:space="preserve">S08; S11</t>
        </is>
      </c>
      <c r="R661" s="11" t="inlineStr">
        <is>
          <t xml:space="preserve">Needs editorial decision</t>
        </is>
      </c>
      <c r="S661" s="15" t="inlineStr">
        <is>
          <t xml:space="preserve">Jude and 2 Peter share significant material, but the direction and date of dependence are not treated as settled.</t>
        </is>
      </c>
    </row>
    <row r="662" ht="34" customHeight="1">
      <c r="A662" s="15" t="inlineStr">
        <is>
          <t xml:space="preserve">v0.9</t>
        </is>
      </c>
      <c r="B662" s="15" t="inlineStr">
        <is>
          <t xml:space="preserve">Bible_Journey_Canon_Map_v0_9_General_Letters_Revelation.xlsx</t>
        </is>
      </c>
      <c r="C662" s="15" t="inlineStr">
        <is>
          <t xml:space="preserve">BLK-016</t>
        </is>
      </c>
      <c r="D662" s="15" t="inlineStr">
        <is>
          <t xml:space="preserve">CRS-REV-001</t>
        </is>
      </c>
      <c r="E662" s="15"/>
      <c r="F662" s="15" t="inlineStr">
        <is>
          <t xml:space="preserve">Revelation</t>
        </is>
      </c>
      <c r="G662" s="15" t="inlineStr">
        <is>
          <t xml:space="preserve">Revelation 1</t>
        </is>
      </c>
      <c r="H662" s="15" t="inlineStr">
        <is>
          <t xml:space="preserve">Apocalyptic literary sequence</t>
        </is>
      </c>
      <c r="I662" s="15"/>
      <c r="J662" s="15"/>
      <c r="K662" s="15" t="inlineStr">
        <is>
          <t xml:space="preserve">Read as an intact canonical passage</t>
        </is>
      </c>
      <c r="L662" s="15"/>
      <c r="M662" s="15" t="inlineStr">
        <is>
          <t xml:space="preserve">Probable</t>
        </is>
      </c>
      <c r="N662" s="15" t="inlineStr">
        <is>
          <t xml:space="preserve">Yes</t>
        </is>
      </c>
      <c r="O662" s="15" t="inlineStr">
        <is>
          <t xml:space="preserve">CMP-REV-OT</t>
        </is>
      </c>
      <c r="P662" s="15"/>
      <c r="Q662" s="15" t="inlineStr">
        <is>
          <t xml:space="preserve">S12; S13</t>
        </is>
      </c>
      <c r="R662" s="11" t="inlineStr">
        <is>
          <t xml:space="preserve">Ready for editorial review</t>
        </is>
      </c>
      <c r="S662" s="15" t="inlineStr">
        <is>
          <t xml:space="preserve">The default product mode is a literary vision sequence with historical context for the seven congregations.</t>
        </is>
      </c>
    </row>
    <row r="663" ht="34" customHeight="1">
      <c r="A663" s="15" t="inlineStr">
        <is>
          <t xml:space="preserve">v0.9</t>
        </is>
      </c>
      <c r="B663" s="15" t="inlineStr">
        <is>
          <t xml:space="preserve">Bible_Journey_Canon_Map_v0_9_General_Letters_Revelation.xlsx</t>
        </is>
      </c>
      <c r="C663" s="15" t="inlineStr">
        <is>
          <t xml:space="preserve">BLK-017</t>
        </is>
      </c>
      <c r="D663" s="15" t="inlineStr">
        <is>
          <t xml:space="preserve">CRS-REV-002</t>
        </is>
      </c>
      <c r="E663" s="15"/>
      <c r="F663" s="15" t="inlineStr">
        <is>
          <t xml:space="preserve">Revelation</t>
        </is>
      </c>
      <c r="G663" s="15" t="inlineStr">
        <is>
          <t xml:space="preserve">Revelation 2–3</t>
        </is>
      </c>
      <c r="H663" s="15" t="inlineStr">
        <is>
          <t xml:space="preserve">Apocalyptic literary sequence</t>
        </is>
      </c>
      <c r="I663" s="15"/>
      <c r="J663" s="15"/>
      <c r="K663" s="15" t="inlineStr">
        <is>
          <t xml:space="preserve">Read as an intact canonical passage</t>
        </is>
      </c>
      <c r="L663" s="15"/>
      <c r="M663" s="15" t="inlineStr">
        <is>
          <t xml:space="preserve">Probable</t>
        </is>
      </c>
      <c r="N663" s="15" t="inlineStr">
        <is>
          <t xml:space="preserve">Yes</t>
        </is>
      </c>
      <c r="O663" s="15" t="inlineStr">
        <is>
          <t xml:space="preserve">CMP-REV-SEVEN-CITIES</t>
        </is>
      </c>
      <c r="P663" s="15"/>
      <c r="Q663" s="15" t="inlineStr">
        <is>
          <t xml:space="preserve">S13; S14</t>
        </is>
      </c>
      <c r="R663" s="11" t="inlineStr">
        <is>
          <t xml:space="preserve">Ready for editorial review</t>
        </is>
      </c>
      <c r="S663" s="15" t="inlineStr">
        <is>
          <t xml:space="preserve">The seven cities are historical locations; the app must not claim a single prophecy-fulfillment timeline as default.</t>
        </is>
      </c>
    </row>
    <row r="664" ht="34" customHeight="1">
      <c r="A664" s="15" t="inlineStr">
        <is>
          <t xml:space="preserve">v0.9</t>
        </is>
      </c>
      <c r="B664" s="15" t="inlineStr">
        <is>
          <t xml:space="preserve">Bible_Journey_Canon_Map_v0_9_General_Letters_Revelation.xlsx</t>
        </is>
      </c>
      <c r="C664" s="15" t="inlineStr">
        <is>
          <t xml:space="preserve">BLK-018</t>
        </is>
      </c>
      <c r="D664" s="15" t="inlineStr">
        <is>
          <t xml:space="preserve">CRS-REV-003</t>
        </is>
      </c>
      <c r="E664" s="15"/>
      <c r="F664" s="15" t="inlineStr">
        <is>
          <t xml:space="preserve">Revelation</t>
        </is>
      </c>
      <c r="G664" s="15" t="inlineStr">
        <is>
          <t xml:space="preserve">Revelation 4–5</t>
        </is>
      </c>
      <c r="H664" s="15" t="inlineStr">
        <is>
          <t xml:space="preserve">Apocalyptic literary sequence</t>
        </is>
      </c>
      <c r="I664" s="15"/>
      <c r="J664" s="15"/>
      <c r="K664" s="15" t="inlineStr">
        <is>
          <t xml:space="preserve">Read as an intact canonical passage</t>
        </is>
      </c>
      <c r="L664" s="15"/>
      <c r="M664" s="15" t="inlineStr">
        <is>
          <t xml:space="preserve">Probable</t>
        </is>
      </c>
      <c r="N664" s="15" t="inlineStr">
        <is>
          <t xml:space="preserve">Yes</t>
        </is>
      </c>
      <c r="O664" s="15" t="inlineStr">
        <is>
          <t xml:space="preserve">CMP-REV-OT</t>
        </is>
      </c>
      <c r="P664" s="15"/>
      <c r="Q664" s="15" t="inlineStr">
        <is>
          <t xml:space="preserve">S12; S13</t>
        </is>
      </c>
      <c r="R664" s="15" t="inlineStr">
        <is>
          <t xml:space="preserve">Needs source check</t>
        </is>
      </c>
      <c r="S664" s="15" t="inlineStr">
        <is>
          <t xml:space="preserve">Use intertext cards for throne imagery and worship language; Scripture remains intact.</t>
        </is>
      </c>
    </row>
    <row r="665" ht="34" customHeight="1">
      <c r="A665" s="15" t="inlineStr">
        <is>
          <t xml:space="preserve">v0.9</t>
        </is>
      </c>
      <c r="B665" s="15" t="inlineStr">
        <is>
          <t xml:space="preserve">Bible_Journey_Canon_Map_v0_9_General_Letters_Revelation.xlsx</t>
        </is>
      </c>
      <c r="C665" s="15" t="inlineStr">
        <is>
          <t xml:space="preserve">BLK-019</t>
        </is>
      </c>
      <c r="D665" s="15" t="inlineStr">
        <is>
          <t xml:space="preserve">CRS-REV-004</t>
        </is>
      </c>
      <c r="E665" s="15"/>
      <c r="F665" s="15" t="inlineStr">
        <is>
          <t xml:space="preserve">Revelation</t>
        </is>
      </c>
      <c r="G665" s="15" t="inlineStr">
        <is>
          <t xml:space="preserve">Revelation 6–8:1</t>
        </is>
      </c>
      <c r="H665" s="15" t="inlineStr">
        <is>
          <t xml:space="preserve">Apocalyptic literary sequence</t>
        </is>
      </c>
      <c r="I665" s="15"/>
      <c r="J665" s="15"/>
      <c r="K665" s="15" t="inlineStr">
        <is>
          <t xml:space="preserve">Read as an intact canonical passage</t>
        </is>
      </c>
      <c r="L665" s="15"/>
      <c r="M665" s="15" t="inlineStr">
        <is>
          <t xml:space="preserve">Debated</t>
        </is>
      </c>
      <c r="N665" s="15" t="inlineStr">
        <is>
          <t xml:space="preserve">Yes</t>
        </is>
      </c>
      <c r="O665" s="15" t="inlineStr">
        <is>
          <t xml:space="preserve">CMP-REV-OT</t>
        </is>
      </c>
      <c r="P665" s="15"/>
      <c r="Q665" s="15" t="inlineStr">
        <is>
          <t xml:space="preserve">S12; S15</t>
        </is>
      </c>
      <c r="R665" s="11" t="inlineStr">
        <is>
          <t xml:space="preserve">Needs editorial decision</t>
        </is>
      </c>
      <c r="S665" s="15" t="inlineStr">
        <is>
          <t xml:space="preserve">Do not predefine the seals as successive future world events. Display interpretive lenses only in opted-in Study Mode.</t>
        </is>
      </c>
    </row>
    <row r="666" ht="34" customHeight="1">
      <c r="A666" s="15" t="inlineStr">
        <is>
          <t xml:space="preserve">v0.9</t>
        </is>
      </c>
      <c r="B666" s="15" t="inlineStr">
        <is>
          <t xml:space="preserve">Bible_Journey_Canon_Map_v0_9_General_Letters_Revelation.xlsx</t>
        </is>
      </c>
      <c r="C666" s="15" t="inlineStr">
        <is>
          <t xml:space="preserve">BLK-020</t>
        </is>
      </c>
      <c r="D666" s="15" t="inlineStr">
        <is>
          <t xml:space="preserve">CRS-REV-005</t>
        </is>
      </c>
      <c r="E666" s="15"/>
      <c r="F666" s="15" t="inlineStr">
        <is>
          <t xml:space="preserve">Revelation</t>
        </is>
      </c>
      <c r="G666" s="15" t="inlineStr">
        <is>
          <t xml:space="preserve">Revelation 8:2–11</t>
        </is>
      </c>
      <c r="H666" s="15" t="inlineStr">
        <is>
          <t xml:space="preserve">Apocalyptic literary sequence</t>
        </is>
      </c>
      <c r="I666" s="15"/>
      <c r="J666" s="15"/>
      <c r="K666" s="15" t="inlineStr">
        <is>
          <t xml:space="preserve">Read as an intact canonical passage</t>
        </is>
      </c>
      <c r="L666" s="15"/>
      <c r="M666" s="15" t="inlineStr">
        <is>
          <t xml:space="preserve">Debated</t>
        </is>
      </c>
      <c r="N666" s="15" t="inlineStr">
        <is>
          <t xml:space="preserve">Yes</t>
        </is>
      </c>
      <c r="O666" s="15" t="inlineStr">
        <is>
          <t xml:space="preserve">CMP-REV-OT</t>
        </is>
      </c>
      <c r="P666" s="15"/>
      <c r="Q666" s="15" t="inlineStr">
        <is>
          <t xml:space="preserve">S12; S15</t>
        </is>
      </c>
      <c r="R666" s="11" t="inlineStr">
        <is>
          <t xml:space="preserve">Needs editorial decision</t>
        </is>
      </c>
      <c r="S666" s="15" t="inlineStr">
        <is>
          <t xml:space="preserve">Keep the trumpet cycle intact and distinguish literary sequence from historical chronology.</t>
        </is>
      </c>
    </row>
    <row r="667" ht="34" customHeight="1">
      <c r="A667" s="15" t="inlineStr">
        <is>
          <t xml:space="preserve">v0.9</t>
        </is>
      </c>
      <c r="B667" s="15" t="inlineStr">
        <is>
          <t xml:space="preserve">Bible_Journey_Canon_Map_v0_9_General_Letters_Revelation.xlsx</t>
        </is>
      </c>
      <c r="C667" s="15" t="inlineStr">
        <is>
          <t xml:space="preserve">BLK-021</t>
        </is>
      </c>
      <c r="D667" s="15" t="inlineStr">
        <is>
          <t xml:space="preserve">CRS-REV-006</t>
        </is>
      </c>
      <c r="E667" s="15"/>
      <c r="F667" s="15" t="inlineStr">
        <is>
          <t xml:space="preserve">Revelation</t>
        </is>
      </c>
      <c r="G667" s="15" t="inlineStr">
        <is>
          <t xml:space="preserve">Revelation 12–14</t>
        </is>
      </c>
      <c r="H667" s="15" t="inlineStr">
        <is>
          <t xml:space="preserve">Apocalyptic literary sequence</t>
        </is>
      </c>
      <c r="I667" s="15"/>
      <c r="J667" s="15"/>
      <c r="K667" s="15" t="inlineStr">
        <is>
          <t xml:space="preserve">Read as an intact canonical passage</t>
        </is>
      </c>
      <c r="L667" s="15"/>
      <c r="M667" s="15" t="inlineStr">
        <is>
          <t xml:space="preserve">Debated</t>
        </is>
      </c>
      <c r="N667" s="15" t="inlineStr">
        <is>
          <t xml:space="preserve">Yes</t>
        </is>
      </c>
      <c r="O667" s="15" t="inlineStr">
        <is>
          <t xml:space="preserve">CMP-REV-OT</t>
        </is>
      </c>
      <c r="P667" s="15"/>
      <c r="Q667" s="15" t="inlineStr">
        <is>
          <t xml:space="preserve">S12; S15</t>
        </is>
      </c>
      <c r="R667" s="11" t="inlineStr">
        <is>
          <t xml:space="preserve">Needs editorial decision</t>
        </is>
      </c>
      <c r="S667" s="15" t="inlineStr">
        <is>
          <t xml:space="preserve">Visions should not be forcibly mapped to one denomination's historical scheme in default mode.</t>
        </is>
      </c>
    </row>
    <row r="668" ht="34" customHeight="1">
      <c r="A668" s="15" t="inlineStr">
        <is>
          <t xml:space="preserve">v0.9</t>
        </is>
      </c>
      <c r="B668" s="15" t="inlineStr">
        <is>
          <t xml:space="preserve">Bible_Journey_Canon_Map_v0_9_General_Letters_Revelation.xlsx</t>
        </is>
      </c>
      <c r="C668" s="15" t="inlineStr">
        <is>
          <t xml:space="preserve">BLK-022</t>
        </is>
      </c>
      <c r="D668" s="15" t="inlineStr">
        <is>
          <t xml:space="preserve">CRS-REV-007</t>
        </is>
      </c>
      <c r="E668" s="15"/>
      <c r="F668" s="15" t="inlineStr">
        <is>
          <t xml:space="preserve">Revelation</t>
        </is>
      </c>
      <c r="G668" s="15" t="inlineStr">
        <is>
          <t xml:space="preserve">Revelation 15–16</t>
        </is>
      </c>
      <c r="H668" s="15" t="inlineStr">
        <is>
          <t xml:space="preserve">Apocalyptic literary sequence</t>
        </is>
      </c>
      <c r="I668" s="15"/>
      <c r="J668" s="15"/>
      <c r="K668" s="15" t="inlineStr">
        <is>
          <t xml:space="preserve">Read as an intact canonical passage</t>
        </is>
      </c>
      <c r="L668" s="15"/>
      <c r="M668" s="15" t="inlineStr">
        <is>
          <t xml:space="preserve">Debated</t>
        </is>
      </c>
      <c r="N668" s="15" t="inlineStr">
        <is>
          <t xml:space="preserve">Yes</t>
        </is>
      </c>
      <c r="O668" s="15" t="inlineStr">
        <is>
          <t xml:space="preserve">CMP-REV-OT</t>
        </is>
      </c>
      <c r="P668" s="15"/>
      <c r="Q668" s="15" t="inlineStr">
        <is>
          <t xml:space="preserve">S12; S15</t>
        </is>
      </c>
      <c r="R668" s="11" t="inlineStr">
        <is>
          <t xml:space="preserve">Needs editorial decision</t>
        </is>
      </c>
      <c r="S668" s="15" t="inlineStr">
        <is>
          <t xml:space="preserve">No default assumption that bowls follow seals/trumpets as a single strict temporal chain.</t>
        </is>
      </c>
    </row>
    <row r="669" ht="34" customHeight="1">
      <c r="A669" s="15" t="inlineStr">
        <is>
          <t xml:space="preserve">v0.9</t>
        </is>
      </c>
      <c r="B669" s="15" t="inlineStr">
        <is>
          <t xml:space="preserve">Bible_Journey_Canon_Map_v0_9_General_Letters_Revelation.xlsx</t>
        </is>
      </c>
      <c r="C669" s="15" t="inlineStr">
        <is>
          <t xml:space="preserve">BLK-023</t>
        </is>
      </c>
      <c r="D669" s="15" t="inlineStr">
        <is>
          <t xml:space="preserve">CRS-REV-008</t>
        </is>
      </c>
      <c r="E669" s="15"/>
      <c r="F669" s="15" t="inlineStr">
        <is>
          <t xml:space="preserve">Revelation</t>
        </is>
      </c>
      <c r="G669" s="15" t="inlineStr">
        <is>
          <t xml:space="preserve">Revelation 17–18</t>
        </is>
      </c>
      <c r="H669" s="15" t="inlineStr">
        <is>
          <t xml:space="preserve">Apocalyptic literary sequence</t>
        </is>
      </c>
      <c r="I669" s="15"/>
      <c r="J669" s="15"/>
      <c r="K669" s="15" t="inlineStr">
        <is>
          <t xml:space="preserve">Read as an intact canonical passage</t>
        </is>
      </c>
      <c r="L669" s="15"/>
      <c r="M669" s="15" t="inlineStr">
        <is>
          <t xml:space="preserve">Debated</t>
        </is>
      </c>
      <c r="N669" s="15" t="inlineStr">
        <is>
          <t xml:space="preserve">Yes</t>
        </is>
      </c>
      <c r="O669" s="15" t="inlineStr">
        <is>
          <t xml:space="preserve">CMP-REV-OT</t>
        </is>
      </c>
      <c r="P669" s="15"/>
      <c r="Q669" s="15" t="inlineStr">
        <is>
          <t xml:space="preserve">S12; S15</t>
        </is>
      </c>
      <c r="R669" s="15" t="inlineStr">
        <is>
          <t xml:space="preserve">Needs source check</t>
        </is>
      </c>
      <c r="S669" s="15" t="inlineStr">
        <is>
          <t xml:space="preserve">Historical and literary context may be shown without collapsing imagery into one asserted referent.</t>
        </is>
      </c>
    </row>
    <row r="670" ht="34" customHeight="1">
      <c r="A670" s="15" t="inlineStr">
        <is>
          <t xml:space="preserve">v0.9</t>
        </is>
      </c>
      <c r="B670" s="15" t="inlineStr">
        <is>
          <t xml:space="preserve">Bible_Journey_Canon_Map_v0_9_General_Letters_Revelation.xlsx</t>
        </is>
      </c>
      <c r="C670" s="15" t="inlineStr">
        <is>
          <t xml:space="preserve">BLK-024</t>
        </is>
      </c>
      <c r="D670" s="15" t="inlineStr">
        <is>
          <t xml:space="preserve">CRS-REV-009</t>
        </is>
      </c>
      <c r="E670" s="15"/>
      <c r="F670" s="15" t="inlineStr">
        <is>
          <t xml:space="preserve">Revelation</t>
        </is>
      </c>
      <c r="G670" s="15" t="inlineStr">
        <is>
          <t xml:space="preserve">Revelation 19–20</t>
        </is>
      </c>
      <c r="H670" s="15" t="inlineStr">
        <is>
          <t xml:space="preserve">Apocalyptic literary sequence</t>
        </is>
      </c>
      <c r="I670" s="15"/>
      <c r="J670" s="15"/>
      <c r="K670" s="15" t="inlineStr">
        <is>
          <t xml:space="preserve">Read as an intact canonical passage</t>
        </is>
      </c>
      <c r="L670" s="15"/>
      <c r="M670" s="15" t="inlineStr">
        <is>
          <t xml:space="preserve">Debated</t>
        </is>
      </c>
      <c r="N670" s="15" t="inlineStr">
        <is>
          <t xml:space="preserve">Yes</t>
        </is>
      </c>
      <c r="O670" s="15" t="inlineStr">
        <is>
          <t xml:space="preserve">CMP-REV-OT</t>
        </is>
      </c>
      <c r="P670" s="15"/>
      <c r="Q670" s="15" t="inlineStr">
        <is>
          <t xml:space="preserve">S12; S15</t>
        </is>
      </c>
      <c r="R670" s="11" t="inlineStr">
        <is>
          <t xml:space="preserve">Needs editorial decision</t>
        </is>
      </c>
      <c r="S670" s="15" t="inlineStr">
        <is>
          <t xml:space="preserve">The product must distinguish literary sequence, theological interpretation, and eschatological system.</t>
        </is>
      </c>
    </row>
    <row r="671" ht="34" customHeight="1">
      <c r="A671" s="15" t="inlineStr">
        <is>
          <t xml:space="preserve">v0.9</t>
        </is>
      </c>
      <c r="B671" s="15" t="inlineStr">
        <is>
          <t xml:space="preserve">Bible_Journey_Canon_Map_v0_9_General_Letters_Revelation.xlsx</t>
        </is>
      </c>
      <c r="C671" s="15" t="inlineStr">
        <is>
          <t xml:space="preserve">BLK-025</t>
        </is>
      </c>
      <c r="D671" s="15" t="inlineStr">
        <is>
          <t xml:space="preserve">CRS-REV-010</t>
        </is>
      </c>
      <c r="E671" s="15"/>
      <c r="F671" s="15" t="inlineStr">
        <is>
          <t xml:space="preserve">Revelation</t>
        </is>
      </c>
      <c r="G671" s="15" t="inlineStr">
        <is>
          <t xml:space="preserve">Revelation 21–22</t>
        </is>
      </c>
      <c r="H671" s="15" t="inlineStr">
        <is>
          <t xml:space="preserve">Apocalyptic literary sequence</t>
        </is>
      </c>
      <c r="I671" s="15"/>
      <c r="J671" s="15"/>
      <c r="K671" s="15" t="inlineStr">
        <is>
          <t xml:space="preserve">Read as an intact canonical passage</t>
        </is>
      </c>
      <c r="L671" s="15"/>
      <c r="M671" s="15" t="inlineStr">
        <is>
          <t xml:space="preserve">Probable</t>
        </is>
      </c>
      <c r="N671" s="15" t="inlineStr">
        <is>
          <t xml:space="preserve">Yes</t>
        </is>
      </c>
      <c r="O671" s="15" t="inlineStr">
        <is>
          <t xml:space="preserve">CMP-REV-OT</t>
        </is>
      </c>
      <c r="P671" s="15"/>
      <c r="Q671" s="15" t="inlineStr">
        <is>
          <t xml:space="preserve">S12; S13</t>
        </is>
      </c>
      <c r="R671" s="11" t="inlineStr">
        <is>
          <t xml:space="preserve">Ready for editorial review</t>
        </is>
      </c>
      <c r="S671" s="15" t="inlineStr">
        <is>
          <t xml:space="preserve">End the canonical stream with the book's own closure, not a product-generated prophecy timeline.</t>
        </is>
      </c>
    </row>
  </sheetData>
  <autoFilter ref="A4:S671"/>
  <mergeCells count="2">
    <mergeCell ref="A1:S1"/>
    <mergeCell ref="A2:S2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P1193"/>
  <sheetViews>
    <sheetView workbookViewId="0">
      <pane ySplit="4" topLeftCell="A5" activePane="bottomLeft" state="frozen"/>
      <selection pane="bottomLeft" activeCell="A5" sqref="A5"/>
    </sheetView>
  </sheetViews>
  <cols>
    <col min="1" max="1" width="24" customWidth="1"/>
    <col min="2" max="2" width="18" customWidth="1"/>
    <col min="3" max="3" width="16" customWidth="1"/>
    <col min="4" max="4" width="12" customWidth="1"/>
    <col min="5" max="5" width="20" customWidth="1"/>
    <col min="6" max="6" width="10" customWidth="1"/>
    <col min="7" max="7" width="12" customWidth="1"/>
    <col min="8" max="8" width="50" customWidth="1"/>
    <col min="9" max="9" width="25" customWidth="1"/>
    <col min="10" max="10" width="22" customWidth="1"/>
    <col min="11" max="11" width="32" customWidth="1"/>
    <col min="12" max="12" width="22" customWidth="1"/>
    <col min="13" max="13" width="58" customWidth="1"/>
    <col min="14" max="14" width="24" customWidth="1"/>
    <col min="15" max="15" width="16" customWidth="1"/>
    <col min="16" max="16" width="14" customWidth="1"/>
  </cols>
  <sheetData>
    <row r="1" ht="30" customHeight="1">
      <c r="A1" s="1" t="inlineStr">
        <is>
          <t xml:space="preserve">MASTER CHAPTER COVERAGE</t>
        </is>
      </c>
    </row>
    <row r="2" ht="30" customHeight="1">
      <c r="A2" s="2" t="inlineStr">
        <is>
          <t xml:space="preserve">Canonical audit spine across all 66 books. Each chapter has one master record; split chapters require verse-level QA before release.</t>
        </is>
      </c>
    </row>
    <row r="4">
      <c r="A4" s="3" t="inlineStr">
        <is>
          <t xml:space="preserve">Canonical Key</t>
        </is>
      </c>
      <c r="B4" s="3" t="inlineStr">
        <is>
          <t xml:space="preserve">Canonical Chapter Order</t>
        </is>
      </c>
      <c r="C4" s="3" t="inlineStr">
        <is>
          <t xml:space="preserve">Testament</t>
        </is>
      </c>
      <c r="D4" s="3" t="inlineStr">
        <is>
          <t xml:space="preserve">Book Order</t>
        </is>
      </c>
      <c r="E4" s="3" t="inlineStr">
        <is>
          <t xml:space="preserve">Book</t>
        </is>
      </c>
      <c r="F4" s="3" t="inlineStr">
        <is>
          <t xml:space="preserve">Chapter</t>
        </is>
      </c>
      <c r="G4" s="3" t="inlineStr">
        <is>
          <t xml:space="preserve">Map Version</t>
        </is>
      </c>
      <c r="H4" s="3" t="inlineStr">
        <is>
          <t xml:space="preserve">Source Workbook</t>
        </is>
      </c>
      <c r="I4" s="3" t="inlineStr">
        <is>
          <t xml:space="preserve">Source Coverage Sheet</t>
        </is>
      </c>
      <c r="J4" s="3" t="inlineStr">
        <is>
          <t xml:space="preserve">Local CRS ID</t>
        </is>
      </c>
      <c r="K4" s="3" t="inlineStr">
        <is>
          <t xml:space="preserve">Local Block ID(s)</t>
        </is>
      </c>
      <c r="L4" s="3" t="inlineStr">
        <is>
          <t xml:space="preserve">Source Coverage Status</t>
        </is>
      </c>
      <c r="M4" s="3" t="inlineStr">
        <is>
          <t xml:space="preserve">Source Note / QA</t>
        </is>
      </c>
      <c r="N4" s="3" t="inlineStr">
        <is>
          <t xml:space="preserve">Source Key(s)</t>
        </is>
      </c>
      <c r="O4" s="3" t="inlineStr">
        <is>
          <t xml:space="preserve">Source Row Count</t>
        </is>
      </c>
      <c r="P4" s="3" t="inlineStr">
        <is>
          <t xml:space="preserve">Master QA</t>
        </is>
      </c>
    </row>
    <row r="5" ht="22" customHeight="1">
      <c r="A5" s="15" t="inlineStr">
        <is>
          <t xml:space="preserve">Genesis 1</t>
        </is>
      </c>
      <c r="B5" s="15">
        <v>1</v>
      </c>
      <c r="C5" s="15" t="inlineStr">
        <is>
          <t xml:space="preserve">Old Testament</t>
        </is>
      </c>
      <c r="D5" s="15">
        <v>1</v>
      </c>
      <c r="E5" s="15" t="inlineStr">
        <is>
          <t xml:space="preserve">Genesis</t>
        </is>
      </c>
      <c r="F5" s="15">
        <v>1</v>
      </c>
      <c r="G5" s="15" t="inlineStr">
        <is>
          <t xml:space="preserve">v0.1</t>
        </is>
      </c>
      <c r="H5" s="15" t="inlineStr">
        <is>
          <t xml:space="preserve">Bible_Journey_Canon_Map_v0_1_Genesis_to_2Samuel.xlsx</t>
        </is>
      </c>
      <c r="I5" s="15" t="inlineStr">
        <is>
          <t xml:space="preserve">Chapter Map</t>
        </is>
      </c>
      <c r="J5" s="15" t="inlineStr">
        <is>
          <t xml:space="preserve">CRS-GEN-001</t>
        </is>
      </c>
      <c r="K5" s="15"/>
      <c r="L5" s="10" t="inlineStr">
        <is>
          <t xml:space="preserve">Mapped</t>
        </is>
      </c>
      <c r="M5" s="15"/>
      <c r="N5" s="15"/>
      <c r="O5" s="15">
        <v>1</v>
      </c>
      <c r="P5" s="10" t="str">
        <f>IF(L5="MISSING","MISSING",IF(O5=1,"PASS","DUPLICATE"))</f>
        <v>PASS</v>
      </c>
    </row>
    <row r="6" ht="22" customHeight="1">
      <c r="A6" s="15" t="inlineStr">
        <is>
          <t xml:space="preserve">Genesis 2</t>
        </is>
      </c>
      <c r="B6" s="15">
        <v>2</v>
      </c>
      <c r="C6" s="15" t="inlineStr">
        <is>
          <t xml:space="preserve">Old Testament</t>
        </is>
      </c>
      <c r="D6" s="15">
        <v>1</v>
      </c>
      <c r="E6" s="15" t="inlineStr">
        <is>
          <t xml:space="preserve">Genesis</t>
        </is>
      </c>
      <c r="F6" s="15">
        <v>2</v>
      </c>
      <c r="G6" s="15" t="inlineStr">
        <is>
          <t xml:space="preserve">v0.1</t>
        </is>
      </c>
      <c r="H6" s="15" t="inlineStr">
        <is>
          <t xml:space="preserve">Bible_Journey_Canon_Map_v0_1_Genesis_to_2Samuel.xlsx</t>
        </is>
      </c>
      <c r="I6" s="15" t="inlineStr">
        <is>
          <t xml:space="preserve">Chapter Map</t>
        </is>
      </c>
      <c r="J6" s="15" t="inlineStr">
        <is>
          <t xml:space="preserve">CRS-GEN-001</t>
        </is>
      </c>
      <c r="K6" s="15"/>
      <c r="L6" s="10" t="inlineStr">
        <is>
          <t xml:space="preserve">Mapped</t>
        </is>
      </c>
      <c r="M6" s="15"/>
      <c r="N6" s="15"/>
      <c r="O6" s="15">
        <v>1</v>
      </c>
      <c r="P6" s="10" t="str">
        <f>IF(L6="MISSING","MISSING",IF(O6=1,"PASS","DUPLICATE"))</f>
        <v>PASS</v>
      </c>
    </row>
    <row r="7" ht="22" customHeight="1">
      <c r="A7" s="15" t="inlineStr">
        <is>
          <t xml:space="preserve">Genesis 3</t>
        </is>
      </c>
      <c r="B7" s="15">
        <v>3</v>
      </c>
      <c r="C7" s="15" t="inlineStr">
        <is>
          <t xml:space="preserve">Old Testament</t>
        </is>
      </c>
      <c r="D7" s="15">
        <v>1</v>
      </c>
      <c r="E7" s="15" t="inlineStr">
        <is>
          <t xml:space="preserve">Genesis</t>
        </is>
      </c>
      <c r="F7" s="15">
        <v>3</v>
      </c>
      <c r="G7" s="15" t="inlineStr">
        <is>
          <t xml:space="preserve">v0.1</t>
        </is>
      </c>
      <c r="H7" s="15" t="inlineStr">
        <is>
          <t xml:space="preserve">Bible_Journey_Canon_Map_v0_1_Genesis_to_2Samuel.xlsx</t>
        </is>
      </c>
      <c r="I7" s="15" t="inlineStr">
        <is>
          <t xml:space="preserve">Chapter Map</t>
        </is>
      </c>
      <c r="J7" s="15" t="inlineStr">
        <is>
          <t xml:space="preserve">CRS-GEN-001</t>
        </is>
      </c>
      <c r="K7" s="15"/>
      <c r="L7" s="10" t="inlineStr">
        <is>
          <t xml:space="preserve">Mapped</t>
        </is>
      </c>
      <c r="M7" s="15"/>
      <c r="N7" s="15"/>
      <c r="O7" s="15">
        <v>1</v>
      </c>
      <c r="P7" s="10" t="str">
        <f>IF(L7="MISSING","MISSING",IF(O7=1,"PASS","DUPLICATE"))</f>
        <v>PASS</v>
      </c>
    </row>
    <row r="8" ht="22" customHeight="1">
      <c r="A8" s="15" t="inlineStr">
        <is>
          <t xml:space="preserve">Genesis 4</t>
        </is>
      </c>
      <c r="B8" s="15">
        <v>4</v>
      </c>
      <c r="C8" s="15" t="inlineStr">
        <is>
          <t xml:space="preserve">Old Testament</t>
        </is>
      </c>
      <c r="D8" s="15">
        <v>1</v>
      </c>
      <c r="E8" s="15" t="inlineStr">
        <is>
          <t xml:space="preserve">Genesis</t>
        </is>
      </c>
      <c r="F8" s="15">
        <v>4</v>
      </c>
      <c r="G8" s="15" t="inlineStr">
        <is>
          <t xml:space="preserve">v0.1</t>
        </is>
      </c>
      <c r="H8" s="15" t="inlineStr">
        <is>
          <t xml:space="preserve">Bible_Journey_Canon_Map_v0_1_Genesis_to_2Samuel.xlsx</t>
        </is>
      </c>
      <c r="I8" s="15" t="inlineStr">
        <is>
          <t xml:space="preserve">Chapter Map</t>
        </is>
      </c>
      <c r="J8" s="15" t="inlineStr">
        <is>
          <t xml:space="preserve">CRS-GEN-002</t>
        </is>
      </c>
      <c r="K8" s="15"/>
      <c r="L8" s="10" t="inlineStr">
        <is>
          <t xml:space="preserve">Mapped</t>
        </is>
      </c>
      <c r="M8" s="15"/>
      <c r="N8" s="15"/>
      <c r="O8" s="15">
        <v>1</v>
      </c>
      <c r="P8" s="10" t="str">
        <f>IF(L8="MISSING","MISSING",IF(O8=1,"PASS","DUPLICATE"))</f>
        <v>PASS</v>
      </c>
    </row>
    <row r="9" ht="22" customHeight="1">
      <c r="A9" s="15" t="inlineStr">
        <is>
          <t xml:space="preserve">Genesis 5</t>
        </is>
      </c>
      <c r="B9" s="15">
        <v>5</v>
      </c>
      <c r="C9" s="15" t="inlineStr">
        <is>
          <t xml:space="preserve">Old Testament</t>
        </is>
      </c>
      <c r="D9" s="15">
        <v>1</v>
      </c>
      <c r="E9" s="15" t="inlineStr">
        <is>
          <t xml:space="preserve">Genesis</t>
        </is>
      </c>
      <c r="F9" s="15">
        <v>5</v>
      </c>
      <c r="G9" s="15" t="inlineStr">
        <is>
          <t xml:space="preserve">v0.1</t>
        </is>
      </c>
      <c r="H9" s="15" t="inlineStr">
        <is>
          <t xml:space="preserve">Bible_Journey_Canon_Map_v0_1_Genesis_to_2Samuel.xlsx</t>
        </is>
      </c>
      <c r="I9" s="15" t="inlineStr">
        <is>
          <t xml:space="preserve">Chapter Map</t>
        </is>
      </c>
      <c r="J9" s="15" t="inlineStr">
        <is>
          <t xml:space="preserve">CRS-GEN-002</t>
        </is>
      </c>
      <c r="K9" s="15"/>
      <c r="L9" s="10" t="inlineStr">
        <is>
          <t xml:space="preserve">Mapped</t>
        </is>
      </c>
      <c r="M9" s="15"/>
      <c r="N9" s="15"/>
      <c r="O9" s="15">
        <v>1</v>
      </c>
      <c r="P9" s="10" t="str">
        <f>IF(L9="MISSING","MISSING",IF(O9=1,"PASS","DUPLICATE"))</f>
        <v>PASS</v>
      </c>
    </row>
    <row r="10" ht="22" customHeight="1">
      <c r="A10" s="15" t="inlineStr">
        <is>
          <t xml:space="preserve">Genesis 6</t>
        </is>
      </c>
      <c r="B10" s="15">
        <v>6</v>
      </c>
      <c r="C10" s="15" t="inlineStr">
        <is>
          <t xml:space="preserve">Old Testament</t>
        </is>
      </c>
      <c r="D10" s="15">
        <v>1</v>
      </c>
      <c r="E10" s="15" t="inlineStr">
        <is>
          <t xml:space="preserve">Genesis</t>
        </is>
      </c>
      <c r="F10" s="15">
        <v>6</v>
      </c>
      <c r="G10" s="15" t="inlineStr">
        <is>
          <t xml:space="preserve">v0.1</t>
        </is>
      </c>
      <c r="H10" s="15" t="inlineStr">
        <is>
          <t xml:space="preserve">Bible_Journey_Canon_Map_v0_1_Genesis_to_2Samuel.xlsx</t>
        </is>
      </c>
      <c r="I10" s="15" t="inlineStr">
        <is>
          <t xml:space="preserve">Chapter Map</t>
        </is>
      </c>
      <c r="J10" s="15" t="inlineStr">
        <is>
          <t xml:space="preserve">CRS-GEN-003</t>
        </is>
      </c>
      <c r="K10" s="15"/>
      <c r="L10" s="10" t="inlineStr">
        <is>
          <t xml:space="preserve">Mapped</t>
        </is>
      </c>
      <c r="M10" s="15"/>
      <c r="N10" s="15"/>
      <c r="O10" s="15">
        <v>1</v>
      </c>
      <c r="P10" s="10" t="str">
        <f>IF(L10="MISSING","MISSING",IF(O10=1,"PASS","DUPLICATE"))</f>
        <v>PASS</v>
      </c>
    </row>
    <row r="11" ht="22" customHeight="1">
      <c r="A11" s="15" t="inlineStr">
        <is>
          <t xml:space="preserve">Genesis 7</t>
        </is>
      </c>
      <c r="B11" s="15">
        <v>7</v>
      </c>
      <c r="C11" s="15" t="inlineStr">
        <is>
          <t xml:space="preserve">Old Testament</t>
        </is>
      </c>
      <c r="D11" s="15">
        <v>1</v>
      </c>
      <c r="E11" s="15" t="inlineStr">
        <is>
          <t xml:space="preserve">Genesis</t>
        </is>
      </c>
      <c r="F11" s="15">
        <v>7</v>
      </c>
      <c r="G11" s="15" t="inlineStr">
        <is>
          <t xml:space="preserve">v0.1</t>
        </is>
      </c>
      <c r="H11" s="15" t="inlineStr">
        <is>
          <t xml:space="preserve">Bible_Journey_Canon_Map_v0_1_Genesis_to_2Samuel.xlsx</t>
        </is>
      </c>
      <c r="I11" s="15" t="inlineStr">
        <is>
          <t xml:space="preserve">Chapter Map</t>
        </is>
      </c>
      <c r="J11" s="15" t="inlineStr">
        <is>
          <t xml:space="preserve">CRS-GEN-003</t>
        </is>
      </c>
      <c r="K11" s="15"/>
      <c r="L11" s="10" t="inlineStr">
        <is>
          <t xml:space="preserve">Mapped</t>
        </is>
      </c>
      <c r="M11" s="15"/>
      <c r="N11" s="15"/>
      <c r="O11" s="15">
        <v>1</v>
      </c>
      <c r="P11" s="10" t="str">
        <f>IF(L11="MISSING","MISSING",IF(O11=1,"PASS","DUPLICATE"))</f>
        <v>PASS</v>
      </c>
    </row>
    <row r="12" ht="22" customHeight="1">
      <c r="A12" s="15" t="inlineStr">
        <is>
          <t xml:space="preserve">Genesis 8</t>
        </is>
      </c>
      <c r="B12" s="15">
        <v>8</v>
      </c>
      <c r="C12" s="15" t="inlineStr">
        <is>
          <t xml:space="preserve">Old Testament</t>
        </is>
      </c>
      <c r="D12" s="15">
        <v>1</v>
      </c>
      <c r="E12" s="15" t="inlineStr">
        <is>
          <t xml:space="preserve">Genesis</t>
        </is>
      </c>
      <c r="F12" s="15">
        <v>8</v>
      </c>
      <c r="G12" s="15" t="inlineStr">
        <is>
          <t xml:space="preserve">v0.1</t>
        </is>
      </c>
      <c r="H12" s="15" t="inlineStr">
        <is>
          <t xml:space="preserve">Bible_Journey_Canon_Map_v0_1_Genesis_to_2Samuel.xlsx</t>
        </is>
      </c>
      <c r="I12" s="15" t="inlineStr">
        <is>
          <t xml:space="preserve">Chapter Map</t>
        </is>
      </c>
      <c r="J12" s="15" t="inlineStr">
        <is>
          <t xml:space="preserve">CRS-GEN-003</t>
        </is>
      </c>
      <c r="K12" s="15"/>
      <c r="L12" s="10" t="inlineStr">
        <is>
          <t xml:space="preserve">Mapped</t>
        </is>
      </c>
      <c r="M12" s="15"/>
      <c r="N12" s="15"/>
      <c r="O12" s="15">
        <v>1</v>
      </c>
      <c r="P12" s="10" t="str">
        <f>IF(L12="MISSING","MISSING",IF(O12=1,"PASS","DUPLICATE"))</f>
        <v>PASS</v>
      </c>
    </row>
    <row r="13" ht="22" customHeight="1">
      <c r="A13" s="15" t="inlineStr">
        <is>
          <t xml:space="preserve">Genesis 9</t>
        </is>
      </c>
      <c r="B13" s="15">
        <v>9</v>
      </c>
      <c r="C13" s="15" t="inlineStr">
        <is>
          <t xml:space="preserve">Old Testament</t>
        </is>
      </c>
      <c r="D13" s="15">
        <v>1</v>
      </c>
      <c r="E13" s="15" t="inlineStr">
        <is>
          <t xml:space="preserve">Genesis</t>
        </is>
      </c>
      <c r="F13" s="15">
        <v>9</v>
      </c>
      <c r="G13" s="15" t="inlineStr">
        <is>
          <t xml:space="preserve">v0.1</t>
        </is>
      </c>
      <c r="H13" s="15" t="inlineStr">
        <is>
          <t xml:space="preserve">Bible_Journey_Canon_Map_v0_1_Genesis_to_2Samuel.xlsx</t>
        </is>
      </c>
      <c r="I13" s="15" t="inlineStr">
        <is>
          <t xml:space="preserve">Chapter Map</t>
        </is>
      </c>
      <c r="J13" s="15" t="inlineStr">
        <is>
          <t xml:space="preserve">CRS-GEN-003</t>
        </is>
      </c>
      <c r="K13" s="15"/>
      <c r="L13" s="10" t="inlineStr">
        <is>
          <t xml:space="preserve">Mapped</t>
        </is>
      </c>
      <c r="M13" s="15"/>
      <c r="N13" s="15"/>
      <c r="O13" s="15">
        <v>1</v>
      </c>
      <c r="P13" s="10" t="str">
        <f>IF(L13="MISSING","MISSING",IF(O13=1,"PASS","DUPLICATE"))</f>
        <v>PASS</v>
      </c>
    </row>
    <row r="14" ht="22" customHeight="1">
      <c r="A14" s="15" t="inlineStr">
        <is>
          <t xml:space="preserve">Genesis 10</t>
        </is>
      </c>
      <c r="B14" s="15">
        <v>10</v>
      </c>
      <c r="C14" s="15" t="inlineStr">
        <is>
          <t xml:space="preserve">Old Testament</t>
        </is>
      </c>
      <c r="D14" s="15">
        <v>1</v>
      </c>
      <c r="E14" s="15" t="inlineStr">
        <is>
          <t xml:space="preserve">Genesis</t>
        </is>
      </c>
      <c r="F14" s="15">
        <v>10</v>
      </c>
      <c r="G14" s="15" t="inlineStr">
        <is>
          <t xml:space="preserve">v0.1</t>
        </is>
      </c>
      <c r="H14" s="15" t="inlineStr">
        <is>
          <t xml:space="preserve">Bible_Journey_Canon_Map_v0_1_Genesis_to_2Samuel.xlsx</t>
        </is>
      </c>
      <c r="I14" s="15" t="inlineStr">
        <is>
          <t xml:space="preserve">Chapter Map</t>
        </is>
      </c>
      <c r="J14" s="15" t="inlineStr">
        <is>
          <t xml:space="preserve">CRS-GEN-004</t>
        </is>
      </c>
      <c r="K14" s="15"/>
      <c r="L14" s="10" t="inlineStr">
        <is>
          <t xml:space="preserve">Mapped</t>
        </is>
      </c>
      <c r="M14" s="15"/>
      <c r="N14" s="15"/>
      <c r="O14" s="15">
        <v>1</v>
      </c>
      <c r="P14" s="10" t="str">
        <f>IF(L14="MISSING","MISSING",IF(O14=1,"PASS","DUPLICATE"))</f>
        <v>PASS</v>
      </c>
    </row>
    <row r="15" ht="22" customHeight="1">
      <c r="A15" s="15" t="inlineStr">
        <is>
          <t xml:space="preserve">Genesis 11</t>
        </is>
      </c>
      <c r="B15" s="15">
        <v>11</v>
      </c>
      <c r="C15" s="15" t="inlineStr">
        <is>
          <t xml:space="preserve">Old Testament</t>
        </is>
      </c>
      <c r="D15" s="15">
        <v>1</v>
      </c>
      <c r="E15" s="15" t="inlineStr">
        <is>
          <t xml:space="preserve">Genesis</t>
        </is>
      </c>
      <c r="F15" s="15">
        <v>11</v>
      </c>
      <c r="G15" s="15" t="inlineStr">
        <is>
          <t xml:space="preserve">v0.1</t>
        </is>
      </c>
      <c r="H15" s="15" t="inlineStr">
        <is>
          <t xml:space="preserve">Bible_Journey_Canon_Map_v0_1_Genesis_to_2Samuel.xlsx</t>
        </is>
      </c>
      <c r="I15" s="15" t="inlineStr">
        <is>
          <t xml:space="preserve">Chapter Map</t>
        </is>
      </c>
      <c r="J15" s="15" t="inlineStr">
        <is>
          <t xml:space="preserve">CRS-GEN-004</t>
        </is>
      </c>
      <c r="K15" s="15"/>
      <c r="L15" s="10" t="inlineStr">
        <is>
          <t xml:space="preserve">Mapped</t>
        </is>
      </c>
      <c r="M15" s="15"/>
      <c r="N15" s="15"/>
      <c r="O15" s="15">
        <v>1</v>
      </c>
      <c r="P15" s="10" t="str">
        <f>IF(L15="MISSING","MISSING",IF(O15=1,"PASS","DUPLICATE"))</f>
        <v>PASS</v>
      </c>
    </row>
    <row r="16" ht="22" customHeight="1">
      <c r="A16" s="15" t="inlineStr">
        <is>
          <t xml:space="preserve">Genesis 12</t>
        </is>
      </c>
      <c r="B16" s="15">
        <v>12</v>
      </c>
      <c r="C16" s="15" t="inlineStr">
        <is>
          <t xml:space="preserve">Old Testament</t>
        </is>
      </c>
      <c r="D16" s="15">
        <v>1</v>
      </c>
      <c r="E16" s="15" t="inlineStr">
        <is>
          <t xml:space="preserve">Genesis</t>
        </is>
      </c>
      <c r="F16" s="15">
        <v>12</v>
      </c>
      <c r="G16" s="15" t="inlineStr">
        <is>
          <t xml:space="preserve">v0.1</t>
        </is>
      </c>
      <c r="H16" s="15" t="inlineStr">
        <is>
          <t xml:space="preserve">Bible_Journey_Canon_Map_v0_1_Genesis_to_2Samuel.xlsx</t>
        </is>
      </c>
      <c r="I16" s="15" t="inlineStr">
        <is>
          <t xml:space="preserve">Chapter Map</t>
        </is>
      </c>
      <c r="J16" s="15" t="inlineStr">
        <is>
          <t xml:space="preserve">CRS-GEN-005</t>
        </is>
      </c>
      <c r="K16" s="15"/>
      <c r="L16" s="10" t="inlineStr">
        <is>
          <t xml:space="preserve">Mapped</t>
        </is>
      </c>
      <c r="M16" s="15"/>
      <c r="N16" s="15"/>
      <c r="O16" s="15">
        <v>1</v>
      </c>
      <c r="P16" s="10" t="str">
        <f>IF(L16="MISSING","MISSING",IF(O16=1,"PASS","DUPLICATE"))</f>
        <v>PASS</v>
      </c>
    </row>
    <row r="17" ht="22" customHeight="1">
      <c r="A17" s="15" t="inlineStr">
        <is>
          <t xml:space="preserve">Genesis 13</t>
        </is>
      </c>
      <c r="B17" s="15">
        <v>13</v>
      </c>
      <c r="C17" s="15" t="inlineStr">
        <is>
          <t xml:space="preserve">Old Testament</t>
        </is>
      </c>
      <c r="D17" s="15">
        <v>1</v>
      </c>
      <c r="E17" s="15" t="inlineStr">
        <is>
          <t xml:space="preserve">Genesis</t>
        </is>
      </c>
      <c r="F17" s="15">
        <v>13</v>
      </c>
      <c r="G17" s="15" t="inlineStr">
        <is>
          <t xml:space="preserve">v0.1</t>
        </is>
      </c>
      <c r="H17" s="15" t="inlineStr">
        <is>
          <t xml:space="preserve">Bible_Journey_Canon_Map_v0_1_Genesis_to_2Samuel.xlsx</t>
        </is>
      </c>
      <c r="I17" s="15" t="inlineStr">
        <is>
          <t xml:space="preserve">Chapter Map</t>
        </is>
      </c>
      <c r="J17" s="15" t="inlineStr">
        <is>
          <t xml:space="preserve">CRS-GEN-005</t>
        </is>
      </c>
      <c r="K17" s="15"/>
      <c r="L17" s="10" t="inlineStr">
        <is>
          <t xml:space="preserve">Mapped</t>
        </is>
      </c>
      <c r="M17" s="15"/>
      <c r="N17" s="15"/>
      <c r="O17" s="15">
        <v>1</v>
      </c>
      <c r="P17" s="10" t="str">
        <f>IF(L17="MISSING","MISSING",IF(O17=1,"PASS","DUPLICATE"))</f>
        <v>PASS</v>
      </c>
    </row>
    <row r="18" ht="22" customHeight="1">
      <c r="A18" s="15" t="inlineStr">
        <is>
          <t xml:space="preserve">Genesis 14</t>
        </is>
      </c>
      <c r="B18" s="15">
        <v>14</v>
      </c>
      <c r="C18" s="15" t="inlineStr">
        <is>
          <t xml:space="preserve">Old Testament</t>
        </is>
      </c>
      <c r="D18" s="15">
        <v>1</v>
      </c>
      <c r="E18" s="15" t="inlineStr">
        <is>
          <t xml:space="preserve">Genesis</t>
        </is>
      </c>
      <c r="F18" s="15">
        <v>14</v>
      </c>
      <c r="G18" s="15" t="inlineStr">
        <is>
          <t xml:space="preserve">v0.1</t>
        </is>
      </c>
      <c r="H18" s="15" t="inlineStr">
        <is>
          <t xml:space="preserve">Bible_Journey_Canon_Map_v0_1_Genesis_to_2Samuel.xlsx</t>
        </is>
      </c>
      <c r="I18" s="15" t="inlineStr">
        <is>
          <t xml:space="preserve">Chapter Map</t>
        </is>
      </c>
      <c r="J18" s="15" t="inlineStr">
        <is>
          <t xml:space="preserve">CRS-GEN-005</t>
        </is>
      </c>
      <c r="K18" s="15"/>
      <c r="L18" s="10" t="inlineStr">
        <is>
          <t xml:space="preserve">Mapped</t>
        </is>
      </c>
      <c r="M18" s="15"/>
      <c r="N18" s="15"/>
      <c r="O18" s="15">
        <v>1</v>
      </c>
      <c r="P18" s="10" t="str">
        <f>IF(L18="MISSING","MISSING",IF(O18=1,"PASS","DUPLICATE"))</f>
        <v>PASS</v>
      </c>
    </row>
    <row r="19" ht="22" customHeight="1">
      <c r="A19" s="15" t="inlineStr">
        <is>
          <t xml:space="preserve">Genesis 15</t>
        </is>
      </c>
      <c r="B19" s="15">
        <v>15</v>
      </c>
      <c r="C19" s="15" t="inlineStr">
        <is>
          <t xml:space="preserve">Old Testament</t>
        </is>
      </c>
      <c r="D19" s="15">
        <v>1</v>
      </c>
      <c r="E19" s="15" t="inlineStr">
        <is>
          <t xml:space="preserve">Genesis</t>
        </is>
      </c>
      <c r="F19" s="15">
        <v>15</v>
      </c>
      <c r="G19" s="15" t="inlineStr">
        <is>
          <t xml:space="preserve">v0.1</t>
        </is>
      </c>
      <c r="H19" s="15" t="inlineStr">
        <is>
          <t xml:space="preserve">Bible_Journey_Canon_Map_v0_1_Genesis_to_2Samuel.xlsx</t>
        </is>
      </c>
      <c r="I19" s="15" t="inlineStr">
        <is>
          <t xml:space="preserve">Chapter Map</t>
        </is>
      </c>
      <c r="J19" s="15" t="inlineStr">
        <is>
          <t xml:space="preserve">CRS-GEN-006</t>
        </is>
      </c>
      <c r="K19" s="15"/>
      <c r="L19" s="10" t="inlineStr">
        <is>
          <t xml:space="preserve">Mapped</t>
        </is>
      </c>
      <c r="M19" s="15"/>
      <c r="N19" s="15"/>
      <c r="O19" s="15">
        <v>1</v>
      </c>
      <c r="P19" s="10" t="str">
        <f>IF(L19="MISSING","MISSING",IF(O19=1,"PASS","DUPLICATE"))</f>
        <v>PASS</v>
      </c>
    </row>
    <row r="20" ht="22" customHeight="1">
      <c r="A20" s="15" t="inlineStr">
        <is>
          <t xml:space="preserve">Genesis 16</t>
        </is>
      </c>
      <c r="B20" s="15">
        <v>16</v>
      </c>
      <c r="C20" s="15" t="inlineStr">
        <is>
          <t xml:space="preserve">Old Testament</t>
        </is>
      </c>
      <c r="D20" s="15">
        <v>1</v>
      </c>
      <c r="E20" s="15" t="inlineStr">
        <is>
          <t xml:space="preserve">Genesis</t>
        </is>
      </c>
      <c r="F20" s="15">
        <v>16</v>
      </c>
      <c r="G20" s="15" t="inlineStr">
        <is>
          <t xml:space="preserve">v0.1</t>
        </is>
      </c>
      <c r="H20" s="15" t="inlineStr">
        <is>
          <t xml:space="preserve">Bible_Journey_Canon_Map_v0_1_Genesis_to_2Samuel.xlsx</t>
        </is>
      </c>
      <c r="I20" s="15" t="inlineStr">
        <is>
          <t xml:space="preserve">Chapter Map</t>
        </is>
      </c>
      <c r="J20" s="15" t="inlineStr">
        <is>
          <t xml:space="preserve">CRS-GEN-006</t>
        </is>
      </c>
      <c r="K20" s="15"/>
      <c r="L20" s="10" t="inlineStr">
        <is>
          <t xml:space="preserve">Mapped</t>
        </is>
      </c>
      <c r="M20" s="15"/>
      <c r="N20" s="15"/>
      <c r="O20" s="15">
        <v>1</v>
      </c>
      <c r="P20" s="10" t="str">
        <f>IF(L20="MISSING","MISSING",IF(O20=1,"PASS","DUPLICATE"))</f>
        <v>PASS</v>
      </c>
    </row>
    <row r="21" ht="22" customHeight="1">
      <c r="A21" s="15" t="inlineStr">
        <is>
          <t xml:space="preserve">Genesis 17</t>
        </is>
      </c>
      <c r="B21" s="15">
        <v>17</v>
      </c>
      <c r="C21" s="15" t="inlineStr">
        <is>
          <t xml:space="preserve">Old Testament</t>
        </is>
      </c>
      <c r="D21" s="15">
        <v>1</v>
      </c>
      <c r="E21" s="15" t="inlineStr">
        <is>
          <t xml:space="preserve">Genesis</t>
        </is>
      </c>
      <c r="F21" s="15">
        <v>17</v>
      </c>
      <c r="G21" s="15" t="inlineStr">
        <is>
          <t xml:space="preserve">v0.1</t>
        </is>
      </c>
      <c r="H21" s="15" t="inlineStr">
        <is>
          <t xml:space="preserve">Bible_Journey_Canon_Map_v0_1_Genesis_to_2Samuel.xlsx</t>
        </is>
      </c>
      <c r="I21" s="15" t="inlineStr">
        <is>
          <t xml:space="preserve">Chapter Map</t>
        </is>
      </c>
      <c r="J21" s="15" t="inlineStr">
        <is>
          <t xml:space="preserve">CRS-GEN-006</t>
        </is>
      </c>
      <c r="K21" s="15"/>
      <c r="L21" s="10" t="inlineStr">
        <is>
          <t xml:space="preserve">Mapped</t>
        </is>
      </c>
      <c r="M21" s="15"/>
      <c r="N21" s="15"/>
      <c r="O21" s="15">
        <v>1</v>
      </c>
      <c r="P21" s="10" t="str">
        <f>IF(L21="MISSING","MISSING",IF(O21=1,"PASS","DUPLICATE"))</f>
        <v>PASS</v>
      </c>
    </row>
    <row r="22" ht="22" customHeight="1">
      <c r="A22" s="15" t="inlineStr">
        <is>
          <t xml:space="preserve">Genesis 18</t>
        </is>
      </c>
      <c r="B22" s="15">
        <v>18</v>
      </c>
      <c r="C22" s="15" t="inlineStr">
        <is>
          <t xml:space="preserve">Old Testament</t>
        </is>
      </c>
      <c r="D22" s="15">
        <v>1</v>
      </c>
      <c r="E22" s="15" t="inlineStr">
        <is>
          <t xml:space="preserve">Genesis</t>
        </is>
      </c>
      <c r="F22" s="15">
        <v>18</v>
      </c>
      <c r="G22" s="15" t="inlineStr">
        <is>
          <t xml:space="preserve">v0.1</t>
        </is>
      </c>
      <c r="H22" s="15" t="inlineStr">
        <is>
          <t xml:space="preserve">Bible_Journey_Canon_Map_v0_1_Genesis_to_2Samuel.xlsx</t>
        </is>
      </c>
      <c r="I22" s="15" t="inlineStr">
        <is>
          <t xml:space="preserve">Chapter Map</t>
        </is>
      </c>
      <c r="J22" s="15" t="inlineStr">
        <is>
          <t xml:space="preserve">CRS-GEN-007</t>
        </is>
      </c>
      <c r="K22" s="15"/>
      <c r="L22" s="10" t="inlineStr">
        <is>
          <t xml:space="preserve">Mapped</t>
        </is>
      </c>
      <c r="M22" s="15"/>
      <c r="N22" s="15"/>
      <c r="O22" s="15">
        <v>1</v>
      </c>
      <c r="P22" s="10" t="str">
        <f>IF(L22="MISSING","MISSING",IF(O22=1,"PASS","DUPLICATE"))</f>
        <v>PASS</v>
      </c>
    </row>
    <row r="23" ht="22" customHeight="1">
      <c r="A23" s="15" t="inlineStr">
        <is>
          <t xml:space="preserve">Genesis 19</t>
        </is>
      </c>
      <c r="B23" s="15">
        <v>19</v>
      </c>
      <c r="C23" s="15" t="inlineStr">
        <is>
          <t xml:space="preserve">Old Testament</t>
        </is>
      </c>
      <c r="D23" s="15">
        <v>1</v>
      </c>
      <c r="E23" s="15" t="inlineStr">
        <is>
          <t xml:space="preserve">Genesis</t>
        </is>
      </c>
      <c r="F23" s="15">
        <v>19</v>
      </c>
      <c r="G23" s="15" t="inlineStr">
        <is>
          <t xml:space="preserve">v0.1</t>
        </is>
      </c>
      <c r="H23" s="15" t="inlineStr">
        <is>
          <t xml:space="preserve">Bible_Journey_Canon_Map_v0_1_Genesis_to_2Samuel.xlsx</t>
        </is>
      </c>
      <c r="I23" s="15" t="inlineStr">
        <is>
          <t xml:space="preserve">Chapter Map</t>
        </is>
      </c>
      <c r="J23" s="15" t="inlineStr">
        <is>
          <t xml:space="preserve">CRS-GEN-007</t>
        </is>
      </c>
      <c r="K23" s="15"/>
      <c r="L23" s="10" t="inlineStr">
        <is>
          <t xml:space="preserve">Mapped</t>
        </is>
      </c>
      <c r="M23" s="15"/>
      <c r="N23" s="15"/>
      <c r="O23" s="15">
        <v>1</v>
      </c>
      <c r="P23" s="10" t="str">
        <f>IF(L23="MISSING","MISSING",IF(O23=1,"PASS","DUPLICATE"))</f>
        <v>PASS</v>
      </c>
    </row>
    <row r="24" ht="22" customHeight="1">
      <c r="A24" s="15" t="inlineStr">
        <is>
          <t xml:space="preserve">Genesis 20</t>
        </is>
      </c>
      <c r="B24" s="15">
        <v>20</v>
      </c>
      <c r="C24" s="15" t="inlineStr">
        <is>
          <t xml:space="preserve">Old Testament</t>
        </is>
      </c>
      <c r="D24" s="15">
        <v>1</v>
      </c>
      <c r="E24" s="15" t="inlineStr">
        <is>
          <t xml:space="preserve">Genesis</t>
        </is>
      </c>
      <c r="F24" s="15">
        <v>20</v>
      </c>
      <c r="G24" s="15" t="inlineStr">
        <is>
          <t xml:space="preserve">v0.1</t>
        </is>
      </c>
      <c r="H24" s="15" t="inlineStr">
        <is>
          <t xml:space="preserve">Bible_Journey_Canon_Map_v0_1_Genesis_to_2Samuel.xlsx</t>
        </is>
      </c>
      <c r="I24" s="15" t="inlineStr">
        <is>
          <t xml:space="preserve">Chapter Map</t>
        </is>
      </c>
      <c r="J24" s="15" t="inlineStr">
        <is>
          <t xml:space="preserve">CRS-GEN-008</t>
        </is>
      </c>
      <c r="K24" s="15"/>
      <c r="L24" s="10" t="inlineStr">
        <is>
          <t xml:space="preserve">Mapped</t>
        </is>
      </c>
      <c r="M24" s="15"/>
      <c r="N24" s="15"/>
      <c r="O24" s="15">
        <v>1</v>
      </c>
      <c r="P24" s="10" t="str">
        <f>IF(L24="MISSING","MISSING",IF(O24=1,"PASS","DUPLICATE"))</f>
        <v>PASS</v>
      </c>
    </row>
    <row r="25" ht="22" customHeight="1">
      <c r="A25" s="15" t="inlineStr">
        <is>
          <t xml:space="preserve">Genesis 21</t>
        </is>
      </c>
      <c r="B25" s="15">
        <v>21</v>
      </c>
      <c r="C25" s="15" t="inlineStr">
        <is>
          <t xml:space="preserve">Old Testament</t>
        </is>
      </c>
      <c r="D25" s="15">
        <v>1</v>
      </c>
      <c r="E25" s="15" t="inlineStr">
        <is>
          <t xml:space="preserve">Genesis</t>
        </is>
      </c>
      <c r="F25" s="15">
        <v>21</v>
      </c>
      <c r="G25" s="15" t="inlineStr">
        <is>
          <t xml:space="preserve">v0.1</t>
        </is>
      </c>
      <c r="H25" s="15" t="inlineStr">
        <is>
          <t xml:space="preserve">Bible_Journey_Canon_Map_v0_1_Genesis_to_2Samuel.xlsx</t>
        </is>
      </c>
      <c r="I25" s="15" t="inlineStr">
        <is>
          <t xml:space="preserve">Chapter Map</t>
        </is>
      </c>
      <c r="J25" s="15" t="inlineStr">
        <is>
          <t xml:space="preserve">CRS-GEN-008</t>
        </is>
      </c>
      <c r="K25" s="15"/>
      <c r="L25" s="10" t="inlineStr">
        <is>
          <t xml:space="preserve">Mapped</t>
        </is>
      </c>
      <c r="M25" s="15"/>
      <c r="N25" s="15"/>
      <c r="O25" s="15">
        <v>1</v>
      </c>
      <c r="P25" s="10" t="str">
        <f>IF(L25="MISSING","MISSING",IF(O25=1,"PASS","DUPLICATE"))</f>
        <v>PASS</v>
      </c>
    </row>
    <row r="26" ht="22" customHeight="1">
      <c r="A26" s="15" t="inlineStr">
        <is>
          <t xml:space="preserve">Genesis 22</t>
        </is>
      </c>
      <c r="B26" s="15">
        <v>22</v>
      </c>
      <c r="C26" s="15" t="inlineStr">
        <is>
          <t xml:space="preserve">Old Testament</t>
        </is>
      </c>
      <c r="D26" s="15">
        <v>1</v>
      </c>
      <c r="E26" s="15" t="inlineStr">
        <is>
          <t xml:space="preserve">Genesis</t>
        </is>
      </c>
      <c r="F26" s="15">
        <v>22</v>
      </c>
      <c r="G26" s="15" t="inlineStr">
        <is>
          <t xml:space="preserve">v0.1</t>
        </is>
      </c>
      <c r="H26" s="15" t="inlineStr">
        <is>
          <t xml:space="preserve">Bible_Journey_Canon_Map_v0_1_Genesis_to_2Samuel.xlsx</t>
        </is>
      </c>
      <c r="I26" s="15" t="inlineStr">
        <is>
          <t xml:space="preserve">Chapter Map</t>
        </is>
      </c>
      <c r="J26" s="15" t="inlineStr">
        <is>
          <t xml:space="preserve">CRS-GEN-008</t>
        </is>
      </c>
      <c r="K26" s="15"/>
      <c r="L26" s="10" t="inlineStr">
        <is>
          <t xml:space="preserve">Mapped</t>
        </is>
      </c>
      <c r="M26" s="15"/>
      <c r="N26" s="15"/>
      <c r="O26" s="15">
        <v>1</v>
      </c>
      <c r="P26" s="10" t="str">
        <f>IF(L26="MISSING","MISSING",IF(O26=1,"PASS","DUPLICATE"))</f>
        <v>PASS</v>
      </c>
    </row>
    <row r="27" ht="22" customHeight="1">
      <c r="A27" s="15" t="inlineStr">
        <is>
          <t xml:space="preserve">Genesis 23</t>
        </is>
      </c>
      <c r="B27" s="15">
        <v>23</v>
      </c>
      <c r="C27" s="15" t="inlineStr">
        <is>
          <t xml:space="preserve">Old Testament</t>
        </is>
      </c>
      <c r="D27" s="15">
        <v>1</v>
      </c>
      <c r="E27" s="15" t="inlineStr">
        <is>
          <t xml:space="preserve">Genesis</t>
        </is>
      </c>
      <c r="F27" s="15">
        <v>23</v>
      </c>
      <c r="G27" s="15" t="inlineStr">
        <is>
          <t xml:space="preserve">v0.1</t>
        </is>
      </c>
      <c r="H27" s="15" t="inlineStr">
        <is>
          <t xml:space="preserve">Bible_Journey_Canon_Map_v0_1_Genesis_to_2Samuel.xlsx</t>
        </is>
      </c>
      <c r="I27" s="15" t="inlineStr">
        <is>
          <t xml:space="preserve">Chapter Map</t>
        </is>
      </c>
      <c r="J27" s="15" t="inlineStr">
        <is>
          <t xml:space="preserve">CRS-GEN-009</t>
        </is>
      </c>
      <c r="K27" s="15"/>
      <c r="L27" s="10" t="inlineStr">
        <is>
          <t xml:space="preserve">Mapped</t>
        </is>
      </c>
      <c r="M27" s="15"/>
      <c r="N27" s="15"/>
      <c r="O27" s="15">
        <v>1</v>
      </c>
      <c r="P27" s="10" t="str">
        <f>IF(L27="MISSING","MISSING",IF(O27=1,"PASS","DUPLICATE"))</f>
        <v>PASS</v>
      </c>
    </row>
    <row r="28" ht="22" customHeight="1">
      <c r="A28" s="15" t="inlineStr">
        <is>
          <t xml:space="preserve">Genesis 24</t>
        </is>
      </c>
      <c r="B28" s="15">
        <v>24</v>
      </c>
      <c r="C28" s="15" t="inlineStr">
        <is>
          <t xml:space="preserve">Old Testament</t>
        </is>
      </c>
      <c r="D28" s="15">
        <v>1</v>
      </c>
      <c r="E28" s="15" t="inlineStr">
        <is>
          <t xml:space="preserve">Genesis</t>
        </is>
      </c>
      <c r="F28" s="15">
        <v>24</v>
      </c>
      <c r="G28" s="15" t="inlineStr">
        <is>
          <t xml:space="preserve">v0.1</t>
        </is>
      </c>
      <c r="H28" s="15" t="inlineStr">
        <is>
          <t xml:space="preserve">Bible_Journey_Canon_Map_v0_1_Genesis_to_2Samuel.xlsx</t>
        </is>
      </c>
      <c r="I28" s="15" t="inlineStr">
        <is>
          <t xml:space="preserve">Chapter Map</t>
        </is>
      </c>
      <c r="J28" s="15" t="inlineStr">
        <is>
          <t xml:space="preserve">CRS-GEN-009</t>
        </is>
      </c>
      <c r="K28" s="15"/>
      <c r="L28" s="10" t="inlineStr">
        <is>
          <t xml:space="preserve">Mapped</t>
        </is>
      </c>
      <c r="M28" s="15"/>
      <c r="N28" s="15"/>
      <c r="O28" s="15">
        <v>1</v>
      </c>
      <c r="P28" s="10" t="str">
        <f>IF(L28="MISSING","MISSING",IF(O28=1,"PASS","DUPLICATE"))</f>
        <v>PASS</v>
      </c>
    </row>
    <row r="29" ht="22" customHeight="1">
      <c r="A29" s="15" t="inlineStr">
        <is>
          <t xml:space="preserve">Genesis 25</t>
        </is>
      </c>
      <c r="B29" s="15">
        <v>25</v>
      </c>
      <c r="C29" s="15" t="inlineStr">
        <is>
          <t xml:space="preserve">Old Testament</t>
        </is>
      </c>
      <c r="D29" s="15">
        <v>1</v>
      </c>
      <c r="E29" s="15" t="inlineStr">
        <is>
          <t xml:space="preserve">Genesis</t>
        </is>
      </c>
      <c r="F29" s="15">
        <v>25</v>
      </c>
      <c r="G29" s="15" t="inlineStr">
        <is>
          <t xml:space="preserve">v0.1</t>
        </is>
      </c>
      <c r="H29" s="15" t="inlineStr">
        <is>
          <t xml:space="preserve">Bible_Journey_Canon_Map_v0_1_Genesis_to_2Samuel.xlsx</t>
        </is>
      </c>
      <c r="I29" s="15" t="inlineStr">
        <is>
          <t xml:space="preserve">Chapter Map</t>
        </is>
      </c>
      <c r="J29" s="15" t="inlineStr">
        <is>
          <t xml:space="preserve">CRS-GEN-009</t>
        </is>
      </c>
      <c r="K29" s="15"/>
      <c r="L29" s="10" t="inlineStr">
        <is>
          <t xml:space="preserve">Mapped</t>
        </is>
      </c>
      <c r="M29" s="15"/>
      <c r="N29" s="15"/>
      <c r="O29" s="15">
        <v>1</v>
      </c>
      <c r="P29" s="10" t="str">
        <f>IF(L29="MISSING","MISSING",IF(O29=1,"PASS","DUPLICATE"))</f>
        <v>PASS</v>
      </c>
    </row>
    <row r="30" ht="22" customHeight="1">
      <c r="A30" s="15" t="inlineStr">
        <is>
          <t xml:space="preserve">Genesis 26</t>
        </is>
      </c>
      <c r="B30" s="15">
        <v>26</v>
      </c>
      <c r="C30" s="15" t="inlineStr">
        <is>
          <t xml:space="preserve">Old Testament</t>
        </is>
      </c>
      <c r="D30" s="15">
        <v>1</v>
      </c>
      <c r="E30" s="15" t="inlineStr">
        <is>
          <t xml:space="preserve">Genesis</t>
        </is>
      </c>
      <c r="F30" s="15">
        <v>26</v>
      </c>
      <c r="G30" s="15" t="inlineStr">
        <is>
          <t xml:space="preserve">v0.1</t>
        </is>
      </c>
      <c r="H30" s="15" t="inlineStr">
        <is>
          <t xml:space="preserve">Bible_Journey_Canon_Map_v0_1_Genesis_to_2Samuel.xlsx</t>
        </is>
      </c>
      <c r="I30" s="15" t="inlineStr">
        <is>
          <t xml:space="preserve">Chapter Map</t>
        </is>
      </c>
      <c r="J30" s="15" t="inlineStr">
        <is>
          <t xml:space="preserve">CRS-GEN-010</t>
        </is>
      </c>
      <c r="K30" s="15"/>
      <c r="L30" s="10" t="inlineStr">
        <is>
          <t xml:space="preserve">Mapped</t>
        </is>
      </c>
      <c r="M30" s="15"/>
      <c r="N30" s="15"/>
      <c r="O30" s="15">
        <v>1</v>
      </c>
      <c r="P30" s="10" t="str">
        <f>IF(L30="MISSING","MISSING",IF(O30=1,"PASS","DUPLICATE"))</f>
        <v>PASS</v>
      </c>
    </row>
    <row r="31" ht="22" customHeight="1">
      <c r="A31" s="15" t="inlineStr">
        <is>
          <t xml:space="preserve">Genesis 27</t>
        </is>
      </c>
      <c r="B31" s="15">
        <v>27</v>
      </c>
      <c r="C31" s="15" t="inlineStr">
        <is>
          <t xml:space="preserve">Old Testament</t>
        </is>
      </c>
      <c r="D31" s="15">
        <v>1</v>
      </c>
      <c r="E31" s="15" t="inlineStr">
        <is>
          <t xml:space="preserve">Genesis</t>
        </is>
      </c>
      <c r="F31" s="15">
        <v>27</v>
      </c>
      <c r="G31" s="15" t="inlineStr">
        <is>
          <t xml:space="preserve">v0.1</t>
        </is>
      </c>
      <c r="H31" s="15" t="inlineStr">
        <is>
          <t xml:space="preserve">Bible_Journey_Canon_Map_v0_1_Genesis_to_2Samuel.xlsx</t>
        </is>
      </c>
      <c r="I31" s="15" t="inlineStr">
        <is>
          <t xml:space="preserve">Chapter Map</t>
        </is>
      </c>
      <c r="J31" s="15" t="inlineStr">
        <is>
          <t xml:space="preserve">CRS-GEN-010</t>
        </is>
      </c>
      <c r="K31" s="15"/>
      <c r="L31" s="10" t="inlineStr">
        <is>
          <t xml:space="preserve">Mapped</t>
        </is>
      </c>
      <c r="M31" s="15"/>
      <c r="N31" s="15"/>
      <c r="O31" s="15">
        <v>1</v>
      </c>
      <c r="P31" s="10" t="str">
        <f>IF(L31="MISSING","MISSING",IF(O31=1,"PASS","DUPLICATE"))</f>
        <v>PASS</v>
      </c>
    </row>
    <row r="32" ht="22" customHeight="1">
      <c r="A32" s="15" t="inlineStr">
        <is>
          <t xml:space="preserve">Genesis 28</t>
        </is>
      </c>
      <c r="B32" s="15">
        <v>28</v>
      </c>
      <c r="C32" s="15" t="inlineStr">
        <is>
          <t xml:space="preserve">Old Testament</t>
        </is>
      </c>
      <c r="D32" s="15">
        <v>1</v>
      </c>
      <c r="E32" s="15" t="inlineStr">
        <is>
          <t xml:space="preserve">Genesis</t>
        </is>
      </c>
      <c r="F32" s="15">
        <v>28</v>
      </c>
      <c r="G32" s="15" t="inlineStr">
        <is>
          <t xml:space="preserve">v0.1</t>
        </is>
      </c>
      <c r="H32" s="15" t="inlineStr">
        <is>
          <t xml:space="preserve">Bible_Journey_Canon_Map_v0_1_Genesis_to_2Samuel.xlsx</t>
        </is>
      </c>
      <c r="I32" s="15" t="inlineStr">
        <is>
          <t xml:space="preserve">Chapter Map</t>
        </is>
      </c>
      <c r="J32" s="15" t="inlineStr">
        <is>
          <t xml:space="preserve">CRS-GEN-010</t>
        </is>
      </c>
      <c r="K32" s="15"/>
      <c r="L32" s="10" t="inlineStr">
        <is>
          <t xml:space="preserve">Mapped</t>
        </is>
      </c>
      <c r="M32" s="15"/>
      <c r="N32" s="15"/>
      <c r="O32" s="15">
        <v>1</v>
      </c>
      <c r="P32" s="10" t="str">
        <f>IF(L32="MISSING","MISSING",IF(O32=1,"PASS","DUPLICATE"))</f>
        <v>PASS</v>
      </c>
    </row>
    <row r="33" ht="22" customHeight="1">
      <c r="A33" s="15" t="inlineStr">
        <is>
          <t xml:space="preserve">Genesis 29</t>
        </is>
      </c>
      <c r="B33" s="15">
        <v>29</v>
      </c>
      <c r="C33" s="15" t="inlineStr">
        <is>
          <t xml:space="preserve">Old Testament</t>
        </is>
      </c>
      <c r="D33" s="15">
        <v>1</v>
      </c>
      <c r="E33" s="15" t="inlineStr">
        <is>
          <t xml:space="preserve">Genesis</t>
        </is>
      </c>
      <c r="F33" s="15">
        <v>29</v>
      </c>
      <c r="G33" s="15" t="inlineStr">
        <is>
          <t xml:space="preserve">v0.1</t>
        </is>
      </c>
      <c r="H33" s="15" t="inlineStr">
        <is>
          <t xml:space="preserve">Bible_Journey_Canon_Map_v0_1_Genesis_to_2Samuel.xlsx</t>
        </is>
      </c>
      <c r="I33" s="15" t="inlineStr">
        <is>
          <t xml:space="preserve">Chapter Map</t>
        </is>
      </c>
      <c r="J33" s="15" t="inlineStr">
        <is>
          <t xml:space="preserve">CRS-GEN-011</t>
        </is>
      </c>
      <c r="K33" s="15"/>
      <c r="L33" s="10" t="inlineStr">
        <is>
          <t xml:space="preserve">Mapped</t>
        </is>
      </c>
      <c r="M33" s="15"/>
      <c r="N33" s="15"/>
      <c r="O33" s="15">
        <v>1</v>
      </c>
      <c r="P33" s="10" t="str">
        <f>IF(L33="MISSING","MISSING",IF(O33=1,"PASS","DUPLICATE"))</f>
        <v>PASS</v>
      </c>
    </row>
    <row r="34" ht="22" customHeight="1">
      <c r="A34" s="15" t="inlineStr">
        <is>
          <t xml:space="preserve">Genesis 30</t>
        </is>
      </c>
      <c r="B34" s="15">
        <v>30</v>
      </c>
      <c r="C34" s="15" t="inlineStr">
        <is>
          <t xml:space="preserve">Old Testament</t>
        </is>
      </c>
      <c r="D34" s="15">
        <v>1</v>
      </c>
      <c r="E34" s="15" t="inlineStr">
        <is>
          <t xml:space="preserve">Genesis</t>
        </is>
      </c>
      <c r="F34" s="15">
        <v>30</v>
      </c>
      <c r="G34" s="15" t="inlineStr">
        <is>
          <t xml:space="preserve">v0.1</t>
        </is>
      </c>
      <c r="H34" s="15" t="inlineStr">
        <is>
          <t xml:space="preserve">Bible_Journey_Canon_Map_v0_1_Genesis_to_2Samuel.xlsx</t>
        </is>
      </c>
      <c r="I34" s="15" t="inlineStr">
        <is>
          <t xml:space="preserve">Chapter Map</t>
        </is>
      </c>
      <c r="J34" s="15" t="inlineStr">
        <is>
          <t xml:space="preserve">CRS-GEN-011</t>
        </is>
      </c>
      <c r="K34" s="15"/>
      <c r="L34" s="10" t="inlineStr">
        <is>
          <t xml:space="preserve">Mapped</t>
        </is>
      </c>
      <c r="M34" s="15"/>
      <c r="N34" s="15"/>
      <c r="O34" s="15">
        <v>1</v>
      </c>
      <c r="P34" s="10" t="str">
        <f>IF(L34="MISSING","MISSING",IF(O34=1,"PASS","DUPLICATE"))</f>
        <v>PASS</v>
      </c>
    </row>
    <row r="35" ht="22" customHeight="1">
      <c r="A35" s="15" t="inlineStr">
        <is>
          <t xml:space="preserve">Genesis 31</t>
        </is>
      </c>
      <c r="B35" s="15">
        <v>31</v>
      </c>
      <c r="C35" s="15" t="inlineStr">
        <is>
          <t xml:space="preserve">Old Testament</t>
        </is>
      </c>
      <c r="D35" s="15">
        <v>1</v>
      </c>
      <c r="E35" s="15" t="inlineStr">
        <is>
          <t xml:space="preserve">Genesis</t>
        </is>
      </c>
      <c r="F35" s="15">
        <v>31</v>
      </c>
      <c r="G35" s="15" t="inlineStr">
        <is>
          <t xml:space="preserve">v0.1</t>
        </is>
      </c>
      <c r="H35" s="15" t="inlineStr">
        <is>
          <t xml:space="preserve">Bible_Journey_Canon_Map_v0_1_Genesis_to_2Samuel.xlsx</t>
        </is>
      </c>
      <c r="I35" s="15" t="inlineStr">
        <is>
          <t xml:space="preserve">Chapter Map</t>
        </is>
      </c>
      <c r="J35" s="15" t="inlineStr">
        <is>
          <t xml:space="preserve">CRS-GEN-011</t>
        </is>
      </c>
      <c r="K35" s="15"/>
      <c r="L35" s="10" t="inlineStr">
        <is>
          <t xml:space="preserve">Mapped</t>
        </is>
      </c>
      <c r="M35" s="15"/>
      <c r="N35" s="15"/>
      <c r="O35" s="15">
        <v>1</v>
      </c>
      <c r="P35" s="10" t="str">
        <f>IF(L35="MISSING","MISSING",IF(O35=1,"PASS","DUPLICATE"))</f>
        <v>PASS</v>
      </c>
    </row>
    <row r="36" ht="22" customHeight="1">
      <c r="A36" s="15" t="inlineStr">
        <is>
          <t xml:space="preserve">Genesis 32</t>
        </is>
      </c>
      <c r="B36" s="15">
        <v>32</v>
      </c>
      <c r="C36" s="15" t="inlineStr">
        <is>
          <t xml:space="preserve">Old Testament</t>
        </is>
      </c>
      <c r="D36" s="15">
        <v>1</v>
      </c>
      <c r="E36" s="15" t="inlineStr">
        <is>
          <t xml:space="preserve">Genesis</t>
        </is>
      </c>
      <c r="F36" s="15">
        <v>32</v>
      </c>
      <c r="G36" s="15" t="inlineStr">
        <is>
          <t xml:space="preserve">v0.1</t>
        </is>
      </c>
      <c r="H36" s="15" t="inlineStr">
        <is>
          <t xml:space="preserve">Bible_Journey_Canon_Map_v0_1_Genesis_to_2Samuel.xlsx</t>
        </is>
      </c>
      <c r="I36" s="15" t="inlineStr">
        <is>
          <t xml:space="preserve">Chapter Map</t>
        </is>
      </c>
      <c r="J36" s="15" t="inlineStr">
        <is>
          <t xml:space="preserve">CRS-GEN-012</t>
        </is>
      </c>
      <c r="K36" s="15"/>
      <c r="L36" s="10" t="inlineStr">
        <is>
          <t xml:space="preserve">Mapped</t>
        </is>
      </c>
      <c r="M36" s="15"/>
      <c r="N36" s="15"/>
      <c r="O36" s="15">
        <v>1</v>
      </c>
      <c r="P36" s="10" t="str">
        <f>IF(L36="MISSING","MISSING",IF(O36=1,"PASS","DUPLICATE"))</f>
        <v>PASS</v>
      </c>
    </row>
    <row r="37" ht="22" customHeight="1">
      <c r="A37" s="15" t="inlineStr">
        <is>
          <t xml:space="preserve">Genesis 33</t>
        </is>
      </c>
      <c r="B37" s="15">
        <v>33</v>
      </c>
      <c r="C37" s="15" t="inlineStr">
        <is>
          <t xml:space="preserve">Old Testament</t>
        </is>
      </c>
      <c r="D37" s="15">
        <v>1</v>
      </c>
      <c r="E37" s="15" t="inlineStr">
        <is>
          <t xml:space="preserve">Genesis</t>
        </is>
      </c>
      <c r="F37" s="15">
        <v>33</v>
      </c>
      <c r="G37" s="15" t="inlineStr">
        <is>
          <t xml:space="preserve">v0.1</t>
        </is>
      </c>
      <c r="H37" s="15" t="inlineStr">
        <is>
          <t xml:space="preserve">Bible_Journey_Canon_Map_v0_1_Genesis_to_2Samuel.xlsx</t>
        </is>
      </c>
      <c r="I37" s="15" t="inlineStr">
        <is>
          <t xml:space="preserve">Chapter Map</t>
        </is>
      </c>
      <c r="J37" s="15" t="inlineStr">
        <is>
          <t xml:space="preserve">CRS-GEN-012</t>
        </is>
      </c>
      <c r="K37" s="15"/>
      <c r="L37" s="10" t="inlineStr">
        <is>
          <t xml:space="preserve">Mapped</t>
        </is>
      </c>
      <c r="M37" s="15"/>
      <c r="N37" s="15"/>
      <c r="O37" s="15">
        <v>1</v>
      </c>
      <c r="P37" s="10" t="str">
        <f>IF(L37="MISSING","MISSING",IF(O37=1,"PASS","DUPLICATE"))</f>
        <v>PASS</v>
      </c>
    </row>
    <row r="38" ht="22" customHeight="1">
      <c r="A38" s="15" t="inlineStr">
        <is>
          <t xml:space="preserve">Genesis 34</t>
        </is>
      </c>
      <c r="B38" s="15">
        <v>34</v>
      </c>
      <c r="C38" s="15" t="inlineStr">
        <is>
          <t xml:space="preserve">Old Testament</t>
        </is>
      </c>
      <c r="D38" s="15">
        <v>1</v>
      </c>
      <c r="E38" s="15" t="inlineStr">
        <is>
          <t xml:space="preserve">Genesis</t>
        </is>
      </c>
      <c r="F38" s="15">
        <v>34</v>
      </c>
      <c r="G38" s="15" t="inlineStr">
        <is>
          <t xml:space="preserve">v0.1</t>
        </is>
      </c>
      <c r="H38" s="15" t="inlineStr">
        <is>
          <t xml:space="preserve">Bible_Journey_Canon_Map_v0_1_Genesis_to_2Samuel.xlsx</t>
        </is>
      </c>
      <c r="I38" s="15" t="inlineStr">
        <is>
          <t xml:space="preserve">Chapter Map</t>
        </is>
      </c>
      <c r="J38" s="15" t="inlineStr">
        <is>
          <t xml:space="preserve">CRS-GEN-013</t>
        </is>
      </c>
      <c r="K38" s="15"/>
      <c r="L38" s="10" t="inlineStr">
        <is>
          <t xml:space="preserve">Mapped</t>
        </is>
      </c>
      <c r="M38" s="15"/>
      <c r="N38" s="15"/>
      <c r="O38" s="15">
        <v>1</v>
      </c>
      <c r="P38" s="10" t="str">
        <f>IF(L38="MISSING","MISSING",IF(O38=1,"PASS","DUPLICATE"))</f>
        <v>PASS</v>
      </c>
    </row>
    <row r="39" ht="22" customHeight="1">
      <c r="A39" s="15" t="inlineStr">
        <is>
          <t xml:space="preserve">Genesis 35</t>
        </is>
      </c>
      <c r="B39" s="15">
        <v>35</v>
      </c>
      <c r="C39" s="15" t="inlineStr">
        <is>
          <t xml:space="preserve">Old Testament</t>
        </is>
      </c>
      <c r="D39" s="15">
        <v>1</v>
      </c>
      <c r="E39" s="15" t="inlineStr">
        <is>
          <t xml:space="preserve">Genesis</t>
        </is>
      </c>
      <c r="F39" s="15">
        <v>35</v>
      </c>
      <c r="G39" s="15" t="inlineStr">
        <is>
          <t xml:space="preserve">v0.1</t>
        </is>
      </c>
      <c r="H39" s="15" t="inlineStr">
        <is>
          <t xml:space="preserve">Bible_Journey_Canon_Map_v0_1_Genesis_to_2Samuel.xlsx</t>
        </is>
      </c>
      <c r="I39" s="15" t="inlineStr">
        <is>
          <t xml:space="preserve">Chapter Map</t>
        </is>
      </c>
      <c r="J39" s="15" t="inlineStr">
        <is>
          <t xml:space="preserve">CRS-GEN-013</t>
        </is>
      </c>
      <c r="K39" s="15"/>
      <c r="L39" s="10" t="inlineStr">
        <is>
          <t xml:space="preserve">Mapped</t>
        </is>
      </c>
      <c r="M39" s="15"/>
      <c r="N39" s="15"/>
      <c r="O39" s="15">
        <v>1</v>
      </c>
      <c r="P39" s="10" t="str">
        <f>IF(L39="MISSING","MISSING",IF(O39=1,"PASS","DUPLICATE"))</f>
        <v>PASS</v>
      </c>
    </row>
    <row r="40" ht="22" customHeight="1">
      <c r="A40" s="15" t="inlineStr">
        <is>
          <t xml:space="preserve">Genesis 36</t>
        </is>
      </c>
      <c r="B40" s="15">
        <v>36</v>
      </c>
      <c r="C40" s="15" t="inlineStr">
        <is>
          <t xml:space="preserve">Old Testament</t>
        </is>
      </c>
      <c r="D40" s="15">
        <v>1</v>
      </c>
      <c r="E40" s="15" t="inlineStr">
        <is>
          <t xml:space="preserve">Genesis</t>
        </is>
      </c>
      <c r="F40" s="15">
        <v>36</v>
      </c>
      <c r="G40" s="15" t="inlineStr">
        <is>
          <t xml:space="preserve">v0.1</t>
        </is>
      </c>
      <c r="H40" s="15" t="inlineStr">
        <is>
          <t xml:space="preserve">Bible_Journey_Canon_Map_v0_1_Genesis_to_2Samuel.xlsx</t>
        </is>
      </c>
      <c r="I40" s="15" t="inlineStr">
        <is>
          <t xml:space="preserve">Chapter Map</t>
        </is>
      </c>
      <c r="J40" s="15" t="inlineStr">
        <is>
          <t xml:space="preserve">CRS-GEN-013</t>
        </is>
      </c>
      <c r="K40" s="15"/>
      <c r="L40" s="10" t="inlineStr">
        <is>
          <t xml:space="preserve">Mapped</t>
        </is>
      </c>
      <c r="M40" s="15"/>
      <c r="N40" s="15"/>
      <c r="O40" s="15">
        <v>1</v>
      </c>
      <c r="P40" s="10" t="str">
        <f>IF(L40="MISSING","MISSING",IF(O40=1,"PASS","DUPLICATE"))</f>
        <v>PASS</v>
      </c>
    </row>
    <row r="41" ht="22" customHeight="1">
      <c r="A41" s="15" t="inlineStr">
        <is>
          <t xml:space="preserve">Genesis 37</t>
        </is>
      </c>
      <c r="B41" s="15">
        <v>37</v>
      </c>
      <c r="C41" s="15" t="inlineStr">
        <is>
          <t xml:space="preserve">Old Testament</t>
        </is>
      </c>
      <c r="D41" s="15">
        <v>1</v>
      </c>
      <c r="E41" s="15" t="inlineStr">
        <is>
          <t xml:space="preserve">Genesis</t>
        </is>
      </c>
      <c r="F41" s="15">
        <v>37</v>
      </c>
      <c r="G41" s="15" t="inlineStr">
        <is>
          <t xml:space="preserve">v0.1</t>
        </is>
      </c>
      <c r="H41" s="15" t="inlineStr">
        <is>
          <t xml:space="preserve">Bible_Journey_Canon_Map_v0_1_Genesis_to_2Samuel.xlsx</t>
        </is>
      </c>
      <c r="I41" s="15" t="inlineStr">
        <is>
          <t xml:space="preserve">Chapter Map</t>
        </is>
      </c>
      <c r="J41" s="15" t="inlineStr">
        <is>
          <t xml:space="preserve">CRS-GEN-014</t>
        </is>
      </c>
      <c r="K41" s="15"/>
      <c r="L41" s="10" t="inlineStr">
        <is>
          <t xml:space="preserve">Mapped</t>
        </is>
      </c>
      <c r="M41" s="15"/>
      <c r="N41" s="15"/>
      <c r="O41" s="15">
        <v>1</v>
      </c>
      <c r="P41" s="10" t="str">
        <f>IF(L41="MISSING","MISSING",IF(O41=1,"PASS","DUPLICATE"))</f>
        <v>PASS</v>
      </c>
    </row>
    <row r="42" ht="22" customHeight="1">
      <c r="A42" s="15" t="inlineStr">
        <is>
          <t xml:space="preserve">Genesis 38</t>
        </is>
      </c>
      <c r="B42" s="15">
        <v>38</v>
      </c>
      <c r="C42" s="15" t="inlineStr">
        <is>
          <t xml:space="preserve">Old Testament</t>
        </is>
      </c>
      <c r="D42" s="15">
        <v>1</v>
      </c>
      <c r="E42" s="15" t="inlineStr">
        <is>
          <t xml:space="preserve">Genesis</t>
        </is>
      </c>
      <c r="F42" s="15">
        <v>38</v>
      </c>
      <c r="G42" s="15" t="inlineStr">
        <is>
          <t xml:space="preserve">v0.1</t>
        </is>
      </c>
      <c r="H42" s="15" t="inlineStr">
        <is>
          <t xml:space="preserve">Bible_Journey_Canon_Map_v0_1_Genesis_to_2Samuel.xlsx</t>
        </is>
      </c>
      <c r="I42" s="15" t="inlineStr">
        <is>
          <t xml:space="preserve">Chapter Map</t>
        </is>
      </c>
      <c r="J42" s="15" t="inlineStr">
        <is>
          <t xml:space="preserve">CRS-GEN-014</t>
        </is>
      </c>
      <c r="K42" s="15"/>
      <c r="L42" s="10" t="inlineStr">
        <is>
          <t xml:space="preserve">Mapped</t>
        </is>
      </c>
      <c r="M42" s="15"/>
      <c r="N42" s="15"/>
      <c r="O42" s="15">
        <v>1</v>
      </c>
      <c r="P42" s="10" t="str">
        <f>IF(L42="MISSING","MISSING",IF(O42=1,"PASS","DUPLICATE"))</f>
        <v>PASS</v>
      </c>
    </row>
    <row r="43" ht="22" customHeight="1">
      <c r="A43" s="15" t="inlineStr">
        <is>
          <t xml:space="preserve">Genesis 39</t>
        </is>
      </c>
      <c r="B43" s="15">
        <v>39</v>
      </c>
      <c r="C43" s="15" t="inlineStr">
        <is>
          <t xml:space="preserve">Old Testament</t>
        </is>
      </c>
      <c r="D43" s="15">
        <v>1</v>
      </c>
      <c r="E43" s="15" t="inlineStr">
        <is>
          <t xml:space="preserve">Genesis</t>
        </is>
      </c>
      <c r="F43" s="15">
        <v>39</v>
      </c>
      <c r="G43" s="15" t="inlineStr">
        <is>
          <t xml:space="preserve">v0.1</t>
        </is>
      </c>
      <c r="H43" s="15" t="inlineStr">
        <is>
          <t xml:space="preserve">Bible_Journey_Canon_Map_v0_1_Genesis_to_2Samuel.xlsx</t>
        </is>
      </c>
      <c r="I43" s="15" t="inlineStr">
        <is>
          <t xml:space="preserve">Chapter Map</t>
        </is>
      </c>
      <c r="J43" s="15" t="inlineStr">
        <is>
          <t xml:space="preserve">CRS-GEN-015</t>
        </is>
      </c>
      <c r="K43" s="15"/>
      <c r="L43" s="10" t="inlineStr">
        <is>
          <t xml:space="preserve">Mapped</t>
        </is>
      </c>
      <c r="M43" s="15"/>
      <c r="N43" s="15"/>
      <c r="O43" s="15">
        <v>1</v>
      </c>
      <c r="P43" s="10" t="str">
        <f>IF(L43="MISSING","MISSING",IF(O43=1,"PASS","DUPLICATE"))</f>
        <v>PASS</v>
      </c>
    </row>
    <row r="44" ht="22" customHeight="1">
      <c r="A44" s="15" t="inlineStr">
        <is>
          <t xml:space="preserve">Genesis 40</t>
        </is>
      </c>
      <c r="B44" s="15">
        <v>40</v>
      </c>
      <c r="C44" s="15" t="inlineStr">
        <is>
          <t xml:space="preserve">Old Testament</t>
        </is>
      </c>
      <c r="D44" s="15">
        <v>1</v>
      </c>
      <c r="E44" s="15" t="inlineStr">
        <is>
          <t xml:space="preserve">Genesis</t>
        </is>
      </c>
      <c r="F44" s="15">
        <v>40</v>
      </c>
      <c r="G44" s="15" t="inlineStr">
        <is>
          <t xml:space="preserve">v0.1</t>
        </is>
      </c>
      <c r="H44" s="15" t="inlineStr">
        <is>
          <t xml:space="preserve">Bible_Journey_Canon_Map_v0_1_Genesis_to_2Samuel.xlsx</t>
        </is>
      </c>
      <c r="I44" s="15" t="inlineStr">
        <is>
          <t xml:space="preserve">Chapter Map</t>
        </is>
      </c>
      <c r="J44" s="15" t="inlineStr">
        <is>
          <t xml:space="preserve">CRS-GEN-015</t>
        </is>
      </c>
      <c r="K44" s="15"/>
      <c r="L44" s="10" t="inlineStr">
        <is>
          <t xml:space="preserve">Mapped</t>
        </is>
      </c>
      <c r="M44" s="15"/>
      <c r="N44" s="15"/>
      <c r="O44" s="15">
        <v>1</v>
      </c>
      <c r="P44" s="10" t="str">
        <f>IF(L44="MISSING","MISSING",IF(O44=1,"PASS","DUPLICATE"))</f>
        <v>PASS</v>
      </c>
    </row>
    <row r="45" ht="22" customHeight="1">
      <c r="A45" s="15" t="inlineStr">
        <is>
          <t xml:space="preserve">Genesis 41</t>
        </is>
      </c>
      <c r="B45" s="15">
        <v>41</v>
      </c>
      <c r="C45" s="15" t="inlineStr">
        <is>
          <t xml:space="preserve">Old Testament</t>
        </is>
      </c>
      <c r="D45" s="15">
        <v>1</v>
      </c>
      <c r="E45" s="15" t="inlineStr">
        <is>
          <t xml:space="preserve">Genesis</t>
        </is>
      </c>
      <c r="F45" s="15">
        <v>41</v>
      </c>
      <c r="G45" s="15" t="inlineStr">
        <is>
          <t xml:space="preserve">v0.1</t>
        </is>
      </c>
      <c r="H45" s="15" t="inlineStr">
        <is>
          <t xml:space="preserve">Bible_Journey_Canon_Map_v0_1_Genesis_to_2Samuel.xlsx</t>
        </is>
      </c>
      <c r="I45" s="15" t="inlineStr">
        <is>
          <t xml:space="preserve">Chapter Map</t>
        </is>
      </c>
      <c r="J45" s="15" t="inlineStr">
        <is>
          <t xml:space="preserve">CRS-GEN-015</t>
        </is>
      </c>
      <c r="K45" s="15"/>
      <c r="L45" s="10" t="inlineStr">
        <is>
          <t xml:space="preserve">Mapped</t>
        </is>
      </c>
      <c r="M45" s="15"/>
      <c r="N45" s="15"/>
      <c r="O45" s="15">
        <v>1</v>
      </c>
      <c r="P45" s="10" t="str">
        <f>IF(L45="MISSING","MISSING",IF(O45=1,"PASS","DUPLICATE"))</f>
        <v>PASS</v>
      </c>
    </row>
    <row r="46" ht="22" customHeight="1">
      <c r="A46" s="15" t="inlineStr">
        <is>
          <t xml:space="preserve">Genesis 42</t>
        </is>
      </c>
      <c r="B46" s="15">
        <v>42</v>
      </c>
      <c r="C46" s="15" t="inlineStr">
        <is>
          <t xml:space="preserve">Old Testament</t>
        </is>
      </c>
      <c r="D46" s="15">
        <v>1</v>
      </c>
      <c r="E46" s="15" t="inlineStr">
        <is>
          <t xml:space="preserve">Genesis</t>
        </is>
      </c>
      <c r="F46" s="15">
        <v>42</v>
      </c>
      <c r="G46" s="15" t="inlineStr">
        <is>
          <t xml:space="preserve">v0.1</t>
        </is>
      </c>
      <c r="H46" s="15" t="inlineStr">
        <is>
          <t xml:space="preserve">Bible_Journey_Canon_Map_v0_1_Genesis_to_2Samuel.xlsx</t>
        </is>
      </c>
      <c r="I46" s="15" t="inlineStr">
        <is>
          <t xml:space="preserve">Chapter Map</t>
        </is>
      </c>
      <c r="J46" s="15" t="inlineStr">
        <is>
          <t xml:space="preserve">CRS-GEN-016</t>
        </is>
      </c>
      <c r="K46" s="15"/>
      <c r="L46" s="10" t="inlineStr">
        <is>
          <t xml:space="preserve">Mapped</t>
        </is>
      </c>
      <c r="M46" s="15"/>
      <c r="N46" s="15"/>
      <c r="O46" s="15">
        <v>1</v>
      </c>
      <c r="P46" s="10" t="str">
        <f>IF(L46="MISSING","MISSING",IF(O46=1,"PASS","DUPLICATE"))</f>
        <v>PASS</v>
      </c>
    </row>
    <row r="47" ht="22" customHeight="1">
      <c r="A47" s="15" t="inlineStr">
        <is>
          <t xml:space="preserve">Genesis 43</t>
        </is>
      </c>
      <c r="B47" s="15">
        <v>43</v>
      </c>
      <c r="C47" s="15" t="inlineStr">
        <is>
          <t xml:space="preserve">Old Testament</t>
        </is>
      </c>
      <c r="D47" s="15">
        <v>1</v>
      </c>
      <c r="E47" s="15" t="inlineStr">
        <is>
          <t xml:space="preserve">Genesis</t>
        </is>
      </c>
      <c r="F47" s="15">
        <v>43</v>
      </c>
      <c r="G47" s="15" t="inlineStr">
        <is>
          <t xml:space="preserve">v0.1</t>
        </is>
      </c>
      <c r="H47" s="15" t="inlineStr">
        <is>
          <t xml:space="preserve">Bible_Journey_Canon_Map_v0_1_Genesis_to_2Samuel.xlsx</t>
        </is>
      </c>
      <c r="I47" s="15" t="inlineStr">
        <is>
          <t xml:space="preserve">Chapter Map</t>
        </is>
      </c>
      <c r="J47" s="15" t="inlineStr">
        <is>
          <t xml:space="preserve">CRS-GEN-016</t>
        </is>
      </c>
      <c r="K47" s="15"/>
      <c r="L47" s="10" t="inlineStr">
        <is>
          <t xml:space="preserve">Mapped</t>
        </is>
      </c>
      <c r="M47" s="15"/>
      <c r="N47" s="15"/>
      <c r="O47" s="15">
        <v>1</v>
      </c>
      <c r="P47" s="10" t="str">
        <f>IF(L47="MISSING","MISSING",IF(O47=1,"PASS","DUPLICATE"))</f>
        <v>PASS</v>
      </c>
    </row>
    <row r="48" ht="22" customHeight="1">
      <c r="A48" s="15" t="inlineStr">
        <is>
          <t xml:space="preserve">Genesis 44</t>
        </is>
      </c>
      <c r="B48" s="15">
        <v>44</v>
      </c>
      <c r="C48" s="15" t="inlineStr">
        <is>
          <t xml:space="preserve">Old Testament</t>
        </is>
      </c>
      <c r="D48" s="15">
        <v>1</v>
      </c>
      <c r="E48" s="15" t="inlineStr">
        <is>
          <t xml:space="preserve">Genesis</t>
        </is>
      </c>
      <c r="F48" s="15">
        <v>44</v>
      </c>
      <c r="G48" s="15" t="inlineStr">
        <is>
          <t xml:space="preserve">v0.1</t>
        </is>
      </c>
      <c r="H48" s="15" t="inlineStr">
        <is>
          <t xml:space="preserve">Bible_Journey_Canon_Map_v0_1_Genesis_to_2Samuel.xlsx</t>
        </is>
      </c>
      <c r="I48" s="15" t="inlineStr">
        <is>
          <t xml:space="preserve">Chapter Map</t>
        </is>
      </c>
      <c r="J48" s="15" t="inlineStr">
        <is>
          <t xml:space="preserve">CRS-GEN-016</t>
        </is>
      </c>
      <c r="K48" s="15"/>
      <c r="L48" s="10" t="inlineStr">
        <is>
          <t xml:space="preserve">Mapped</t>
        </is>
      </c>
      <c r="M48" s="15"/>
      <c r="N48" s="15"/>
      <c r="O48" s="15">
        <v>1</v>
      </c>
      <c r="P48" s="10" t="str">
        <f>IF(L48="MISSING","MISSING",IF(O48=1,"PASS","DUPLICATE"))</f>
        <v>PASS</v>
      </c>
    </row>
    <row r="49" ht="22" customHeight="1">
      <c r="A49" s="15" t="inlineStr">
        <is>
          <t xml:space="preserve">Genesis 45</t>
        </is>
      </c>
      <c r="B49" s="15">
        <v>45</v>
      </c>
      <c r="C49" s="15" t="inlineStr">
        <is>
          <t xml:space="preserve">Old Testament</t>
        </is>
      </c>
      <c r="D49" s="15">
        <v>1</v>
      </c>
      <c r="E49" s="15" t="inlineStr">
        <is>
          <t xml:space="preserve">Genesis</t>
        </is>
      </c>
      <c r="F49" s="15">
        <v>45</v>
      </c>
      <c r="G49" s="15" t="inlineStr">
        <is>
          <t xml:space="preserve">v0.1</t>
        </is>
      </c>
      <c r="H49" s="15" t="inlineStr">
        <is>
          <t xml:space="preserve">Bible_Journey_Canon_Map_v0_1_Genesis_to_2Samuel.xlsx</t>
        </is>
      </c>
      <c r="I49" s="15" t="inlineStr">
        <is>
          <t xml:space="preserve">Chapter Map</t>
        </is>
      </c>
      <c r="J49" s="15" t="inlineStr">
        <is>
          <t xml:space="preserve">CRS-GEN-016</t>
        </is>
      </c>
      <c r="K49" s="15"/>
      <c r="L49" s="10" t="inlineStr">
        <is>
          <t xml:space="preserve">Mapped</t>
        </is>
      </c>
      <c r="M49" s="15"/>
      <c r="N49" s="15"/>
      <c r="O49" s="15">
        <v>1</v>
      </c>
      <c r="P49" s="10" t="str">
        <f>IF(L49="MISSING","MISSING",IF(O49=1,"PASS","DUPLICATE"))</f>
        <v>PASS</v>
      </c>
    </row>
    <row r="50" ht="22" customHeight="1">
      <c r="A50" s="15" t="inlineStr">
        <is>
          <t xml:space="preserve">Genesis 46</t>
        </is>
      </c>
      <c r="B50" s="15">
        <v>46</v>
      </c>
      <c r="C50" s="15" t="inlineStr">
        <is>
          <t xml:space="preserve">Old Testament</t>
        </is>
      </c>
      <c r="D50" s="15">
        <v>1</v>
      </c>
      <c r="E50" s="15" t="inlineStr">
        <is>
          <t xml:space="preserve">Genesis</t>
        </is>
      </c>
      <c r="F50" s="15">
        <v>46</v>
      </c>
      <c r="G50" s="15" t="inlineStr">
        <is>
          <t xml:space="preserve">v0.1</t>
        </is>
      </c>
      <c r="H50" s="15" t="inlineStr">
        <is>
          <t xml:space="preserve">Bible_Journey_Canon_Map_v0_1_Genesis_to_2Samuel.xlsx</t>
        </is>
      </c>
      <c r="I50" s="15" t="inlineStr">
        <is>
          <t xml:space="preserve">Chapter Map</t>
        </is>
      </c>
      <c r="J50" s="15" t="inlineStr">
        <is>
          <t xml:space="preserve">CRS-GEN-017</t>
        </is>
      </c>
      <c r="K50" s="15"/>
      <c r="L50" s="10" t="inlineStr">
        <is>
          <t xml:space="preserve">Mapped</t>
        </is>
      </c>
      <c r="M50" s="15"/>
      <c r="N50" s="15"/>
      <c r="O50" s="15">
        <v>1</v>
      </c>
      <c r="P50" s="10" t="str">
        <f>IF(L50="MISSING","MISSING",IF(O50=1,"PASS","DUPLICATE"))</f>
        <v>PASS</v>
      </c>
    </row>
    <row r="51" ht="22" customHeight="1">
      <c r="A51" s="15" t="inlineStr">
        <is>
          <t xml:space="preserve">Genesis 47</t>
        </is>
      </c>
      <c r="B51" s="15">
        <v>47</v>
      </c>
      <c r="C51" s="15" t="inlineStr">
        <is>
          <t xml:space="preserve">Old Testament</t>
        </is>
      </c>
      <c r="D51" s="15">
        <v>1</v>
      </c>
      <c r="E51" s="15" t="inlineStr">
        <is>
          <t xml:space="preserve">Genesis</t>
        </is>
      </c>
      <c r="F51" s="15">
        <v>47</v>
      </c>
      <c r="G51" s="15" t="inlineStr">
        <is>
          <t xml:space="preserve">v0.1</t>
        </is>
      </c>
      <c r="H51" s="15" t="inlineStr">
        <is>
          <t xml:space="preserve">Bible_Journey_Canon_Map_v0_1_Genesis_to_2Samuel.xlsx</t>
        </is>
      </c>
      <c r="I51" s="15" t="inlineStr">
        <is>
          <t xml:space="preserve">Chapter Map</t>
        </is>
      </c>
      <c r="J51" s="15" t="inlineStr">
        <is>
          <t xml:space="preserve">CRS-GEN-017</t>
        </is>
      </c>
      <c r="K51" s="15"/>
      <c r="L51" s="10" t="inlineStr">
        <is>
          <t xml:space="preserve">Mapped</t>
        </is>
      </c>
      <c r="M51" s="15"/>
      <c r="N51" s="15"/>
      <c r="O51" s="15">
        <v>1</v>
      </c>
      <c r="P51" s="10" t="str">
        <f>IF(L51="MISSING","MISSING",IF(O51=1,"PASS","DUPLICATE"))</f>
        <v>PASS</v>
      </c>
    </row>
    <row r="52" ht="22" customHeight="1">
      <c r="A52" s="15" t="inlineStr">
        <is>
          <t xml:space="preserve">Genesis 48</t>
        </is>
      </c>
      <c r="B52" s="15">
        <v>48</v>
      </c>
      <c r="C52" s="15" t="inlineStr">
        <is>
          <t xml:space="preserve">Old Testament</t>
        </is>
      </c>
      <c r="D52" s="15">
        <v>1</v>
      </c>
      <c r="E52" s="15" t="inlineStr">
        <is>
          <t xml:space="preserve">Genesis</t>
        </is>
      </c>
      <c r="F52" s="15">
        <v>48</v>
      </c>
      <c r="G52" s="15" t="inlineStr">
        <is>
          <t xml:space="preserve">v0.1</t>
        </is>
      </c>
      <c r="H52" s="15" t="inlineStr">
        <is>
          <t xml:space="preserve">Bible_Journey_Canon_Map_v0_1_Genesis_to_2Samuel.xlsx</t>
        </is>
      </c>
      <c r="I52" s="15" t="inlineStr">
        <is>
          <t xml:space="preserve">Chapter Map</t>
        </is>
      </c>
      <c r="J52" s="15" t="inlineStr">
        <is>
          <t xml:space="preserve">CRS-GEN-018</t>
        </is>
      </c>
      <c r="K52" s="15"/>
      <c r="L52" s="10" t="inlineStr">
        <is>
          <t xml:space="preserve">Mapped</t>
        </is>
      </c>
      <c r="M52" s="15"/>
      <c r="N52" s="15"/>
      <c r="O52" s="15">
        <v>1</v>
      </c>
      <c r="P52" s="10" t="str">
        <f>IF(L52="MISSING","MISSING",IF(O52=1,"PASS","DUPLICATE"))</f>
        <v>PASS</v>
      </c>
    </row>
    <row r="53" ht="22" customHeight="1">
      <c r="A53" s="15" t="inlineStr">
        <is>
          <t xml:space="preserve">Genesis 49</t>
        </is>
      </c>
      <c r="B53" s="15">
        <v>49</v>
      </c>
      <c r="C53" s="15" t="inlineStr">
        <is>
          <t xml:space="preserve">Old Testament</t>
        </is>
      </c>
      <c r="D53" s="15">
        <v>1</v>
      </c>
      <c r="E53" s="15" t="inlineStr">
        <is>
          <t xml:space="preserve">Genesis</t>
        </is>
      </c>
      <c r="F53" s="15">
        <v>49</v>
      </c>
      <c r="G53" s="15" t="inlineStr">
        <is>
          <t xml:space="preserve">v0.1</t>
        </is>
      </c>
      <c r="H53" s="15" t="inlineStr">
        <is>
          <t xml:space="preserve">Bible_Journey_Canon_Map_v0_1_Genesis_to_2Samuel.xlsx</t>
        </is>
      </c>
      <c r="I53" s="15" t="inlineStr">
        <is>
          <t xml:space="preserve">Chapter Map</t>
        </is>
      </c>
      <c r="J53" s="15" t="inlineStr">
        <is>
          <t xml:space="preserve">CRS-GEN-018</t>
        </is>
      </c>
      <c r="K53" s="15"/>
      <c r="L53" s="10" t="inlineStr">
        <is>
          <t xml:space="preserve">Mapped</t>
        </is>
      </c>
      <c r="M53" s="15"/>
      <c r="N53" s="15"/>
      <c r="O53" s="15">
        <v>1</v>
      </c>
      <c r="P53" s="10" t="str">
        <f>IF(L53="MISSING","MISSING",IF(O53=1,"PASS","DUPLICATE"))</f>
        <v>PASS</v>
      </c>
    </row>
    <row r="54" ht="22" customHeight="1">
      <c r="A54" s="15" t="inlineStr">
        <is>
          <t xml:space="preserve">Genesis 50</t>
        </is>
      </c>
      <c r="B54" s="15">
        <v>50</v>
      </c>
      <c r="C54" s="15" t="inlineStr">
        <is>
          <t xml:space="preserve">Old Testament</t>
        </is>
      </c>
      <c r="D54" s="15">
        <v>1</v>
      </c>
      <c r="E54" s="15" t="inlineStr">
        <is>
          <t xml:space="preserve">Genesis</t>
        </is>
      </c>
      <c r="F54" s="15">
        <v>50</v>
      </c>
      <c r="G54" s="15" t="inlineStr">
        <is>
          <t xml:space="preserve">v0.1</t>
        </is>
      </c>
      <c r="H54" s="15" t="inlineStr">
        <is>
          <t xml:space="preserve">Bible_Journey_Canon_Map_v0_1_Genesis_to_2Samuel.xlsx</t>
        </is>
      </c>
      <c r="I54" s="15" t="inlineStr">
        <is>
          <t xml:space="preserve">Chapter Map</t>
        </is>
      </c>
      <c r="J54" s="15" t="inlineStr">
        <is>
          <t xml:space="preserve">CRS-GEN-018</t>
        </is>
      </c>
      <c r="K54" s="15"/>
      <c r="L54" s="10" t="inlineStr">
        <is>
          <t xml:space="preserve">Mapped</t>
        </is>
      </c>
      <c r="M54" s="15"/>
      <c r="N54" s="15"/>
      <c r="O54" s="15">
        <v>1</v>
      </c>
      <c r="P54" s="10" t="str">
        <f>IF(L54="MISSING","MISSING",IF(O54=1,"PASS","DUPLICATE"))</f>
        <v>PASS</v>
      </c>
    </row>
    <row r="55" ht="22" customHeight="1">
      <c r="A55" s="15" t="inlineStr">
        <is>
          <t xml:space="preserve">Exodus 1</t>
        </is>
      </c>
      <c r="B55" s="15">
        <v>51</v>
      </c>
      <c r="C55" s="15" t="inlineStr">
        <is>
          <t xml:space="preserve">Old Testament</t>
        </is>
      </c>
      <c r="D55" s="15">
        <v>2</v>
      </c>
      <c r="E55" s="15" t="inlineStr">
        <is>
          <t xml:space="preserve">Exodus</t>
        </is>
      </c>
      <c r="F55" s="15">
        <v>1</v>
      </c>
      <c r="G55" s="15" t="inlineStr">
        <is>
          <t xml:space="preserve">v0.1</t>
        </is>
      </c>
      <c r="H55" s="15" t="inlineStr">
        <is>
          <t xml:space="preserve">Bible_Journey_Canon_Map_v0_1_Genesis_to_2Samuel.xlsx</t>
        </is>
      </c>
      <c r="I55" s="15" t="inlineStr">
        <is>
          <t xml:space="preserve">Chapter Map</t>
        </is>
      </c>
      <c r="J55" s="15" t="inlineStr">
        <is>
          <t xml:space="preserve">CRS-EXO-001</t>
        </is>
      </c>
      <c r="K55" s="15"/>
      <c r="L55" s="10" t="inlineStr">
        <is>
          <t xml:space="preserve">Mapped</t>
        </is>
      </c>
      <c r="M55" s="15"/>
      <c r="N55" s="15"/>
      <c r="O55" s="15">
        <v>1</v>
      </c>
      <c r="P55" s="10" t="str">
        <f>IF(L55="MISSING","MISSING",IF(O55=1,"PASS","DUPLICATE"))</f>
        <v>PASS</v>
      </c>
    </row>
    <row r="56" ht="22" customHeight="1">
      <c r="A56" s="15" t="inlineStr">
        <is>
          <t xml:space="preserve">Exodus 2</t>
        </is>
      </c>
      <c r="B56" s="15">
        <v>52</v>
      </c>
      <c r="C56" s="15" t="inlineStr">
        <is>
          <t xml:space="preserve">Old Testament</t>
        </is>
      </c>
      <c r="D56" s="15">
        <v>2</v>
      </c>
      <c r="E56" s="15" t="inlineStr">
        <is>
          <t xml:space="preserve">Exodus</t>
        </is>
      </c>
      <c r="F56" s="15">
        <v>2</v>
      </c>
      <c r="G56" s="15" t="inlineStr">
        <is>
          <t xml:space="preserve">v0.1</t>
        </is>
      </c>
      <c r="H56" s="15" t="inlineStr">
        <is>
          <t xml:space="preserve">Bible_Journey_Canon_Map_v0_1_Genesis_to_2Samuel.xlsx</t>
        </is>
      </c>
      <c r="I56" s="15" t="inlineStr">
        <is>
          <t xml:space="preserve">Chapter Map</t>
        </is>
      </c>
      <c r="J56" s="15" t="inlineStr">
        <is>
          <t xml:space="preserve">CRS-EXO-001</t>
        </is>
      </c>
      <c r="K56" s="15"/>
      <c r="L56" s="10" t="inlineStr">
        <is>
          <t xml:space="preserve">Mapped</t>
        </is>
      </c>
      <c r="M56" s="15"/>
      <c r="N56" s="15"/>
      <c r="O56" s="15">
        <v>1</v>
      </c>
      <c r="P56" s="10" t="str">
        <f>IF(L56="MISSING","MISSING",IF(O56=1,"PASS","DUPLICATE"))</f>
        <v>PASS</v>
      </c>
    </row>
    <row r="57" ht="22" customHeight="1">
      <c r="A57" s="15" t="inlineStr">
        <is>
          <t xml:space="preserve">Exodus 3</t>
        </is>
      </c>
      <c r="B57" s="15">
        <v>53</v>
      </c>
      <c r="C57" s="15" t="inlineStr">
        <is>
          <t xml:space="preserve">Old Testament</t>
        </is>
      </c>
      <c r="D57" s="15">
        <v>2</v>
      </c>
      <c r="E57" s="15" t="inlineStr">
        <is>
          <t xml:space="preserve">Exodus</t>
        </is>
      </c>
      <c r="F57" s="15">
        <v>3</v>
      </c>
      <c r="G57" s="15" t="inlineStr">
        <is>
          <t xml:space="preserve">v0.1</t>
        </is>
      </c>
      <c r="H57" s="15" t="inlineStr">
        <is>
          <t xml:space="preserve">Bible_Journey_Canon_Map_v0_1_Genesis_to_2Samuel.xlsx</t>
        </is>
      </c>
      <c r="I57" s="15" t="inlineStr">
        <is>
          <t xml:space="preserve">Chapter Map</t>
        </is>
      </c>
      <c r="J57" s="15" t="inlineStr">
        <is>
          <t xml:space="preserve">CRS-EXO-002</t>
        </is>
      </c>
      <c r="K57" s="15"/>
      <c r="L57" s="10" t="inlineStr">
        <is>
          <t xml:space="preserve">Mapped</t>
        </is>
      </c>
      <c r="M57" s="15"/>
      <c r="N57" s="15"/>
      <c r="O57" s="15">
        <v>1</v>
      </c>
      <c r="P57" s="10" t="str">
        <f>IF(L57="MISSING","MISSING",IF(O57=1,"PASS","DUPLICATE"))</f>
        <v>PASS</v>
      </c>
    </row>
    <row r="58" ht="22" customHeight="1">
      <c r="A58" s="15" t="inlineStr">
        <is>
          <t xml:space="preserve">Exodus 4</t>
        </is>
      </c>
      <c r="B58" s="15">
        <v>54</v>
      </c>
      <c r="C58" s="15" t="inlineStr">
        <is>
          <t xml:space="preserve">Old Testament</t>
        </is>
      </c>
      <c r="D58" s="15">
        <v>2</v>
      </c>
      <c r="E58" s="15" t="inlineStr">
        <is>
          <t xml:space="preserve">Exodus</t>
        </is>
      </c>
      <c r="F58" s="15">
        <v>4</v>
      </c>
      <c r="G58" s="15" t="inlineStr">
        <is>
          <t xml:space="preserve">v0.1</t>
        </is>
      </c>
      <c r="H58" s="15" t="inlineStr">
        <is>
          <t xml:space="preserve">Bible_Journey_Canon_Map_v0_1_Genesis_to_2Samuel.xlsx</t>
        </is>
      </c>
      <c r="I58" s="15" t="inlineStr">
        <is>
          <t xml:space="preserve">Chapter Map</t>
        </is>
      </c>
      <c r="J58" s="15" t="inlineStr">
        <is>
          <t xml:space="preserve">CRS-EXO-002</t>
        </is>
      </c>
      <c r="K58" s="15"/>
      <c r="L58" s="10" t="inlineStr">
        <is>
          <t xml:space="preserve">Mapped</t>
        </is>
      </c>
      <c r="M58" s="15"/>
      <c r="N58" s="15"/>
      <c r="O58" s="15">
        <v>1</v>
      </c>
      <c r="P58" s="10" t="str">
        <f>IF(L58="MISSING","MISSING",IF(O58=1,"PASS","DUPLICATE"))</f>
        <v>PASS</v>
      </c>
    </row>
    <row r="59" ht="22" customHeight="1">
      <c r="A59" s="15" t="inlineStr">
        <is>
          <t xml:space="preserve">Exodus 5</t>
        </is>
      </c>
      <c r="B59" s="15">
        <v>55</v>
      </c>
      <c r="C59" s="15" t="inlineStr">
        <is>
          <t xml:space="preserve">Old Testament</t>
        </is>
      </c>
      <c r="D59" s="15">
        <v>2</v>
      </c>
      <c r="E59" s="15" t="inlineStr">
        <is>
          <t xml:space="preserve">Exodus</t>
        </is>
      </c>
      <c r="F59" s="15">
        <v>5</v>
      </c>
      <c r="G59" s="15" t="inlineStr">
        <is>
          <t xml:space="preserve">v0.1</t>
        </is>
      </c>
      <c r="H59" s="15" t="inlineStr">
        <is>
          <t xml:space="preserve">Bible_Journey_Canon_Map_v0_1_Genesis_to_2Samuel.xlsx</t>
        </is>
      </c>
      <c r="I59" s="15" t="inlineStr">
        <is>
          <t xml:space="preserve">Chapter Map</t>
        </is>
      </c>
      <c r="J59" s="15" t="inlineStr">
        <is>
          <t xml:space="preserve">CRS-EXO-003</t>
        </is>
      </c>
      <c r="K59" s="15"/>
      <c r="L59" s="10" t="inlineStr">
        <is>
          <t xml:space="preserve">Mapped</t>
        </is>
      </c>
      <c r="M59" s="15"/>
      <c r="N59" s="15"/>
      <c r="O59" s="15">
        <v>1</v>
      </c>
      <c r="P59" s="10" t="str">
        <f>IF(L59="MISSING","MISSING",IF(O59=1,"PASS","DUPLICATE"))</f>
        <v>PASS</v>
      </c>
    </row>
    <row r="60" ht="22" customHeight="1">
      <c r="A60" s="15" t="inlineStr">
        <is>
          <t xml:space="preserve">Exodus 6</t>
        </is>
      </c>
      <c r="B60" s="15">
        <v>56</v>
      </c>
      <c r="C60" s="15" t="inlineStr">
        <is>
          <t xml:space="preserve">Old Testament</t>
        </is>
      </c>
      <c r="D60" s="15">
        <v>2</v>
      </c>
      <c r="E60" s="15" t="inlineStr">
        <is>
          <t xml:space="preserve">Exodus</t>
        </is>
      </c>
      <c r="F60" s="15">
        <v>6</v>
      </c>
      <c r="G60" s="15" t="inlineStr">
        <is>
          <t xml:space="preserve">v0.1</t>
        </is>
      </c>
      <c r="H60" s="15" t="inlineStr">
        <is>
          <t xml:space="preserve">Bible_Journey_Canon_Map_v0_1_Genesis_to_2Samuel.xlsx</t>
        </is>
      </c>
      <c r="I60" s="15" t="inlineStr">
        <is>
          <t xml:space="preserve">Chapter Map</t>
        </is>
      </c>
      <c r="J60" s="15" t="inlineStr">
        <is>
          <t xml:space="preserve">CRS-EXO-003</t>
        </is>
      </c>
      <c r="K60" s="15"/>
      <c r="L60" s="10" t="inlineStr">
        <is>
          <t xml:space="preserve">Mapped</t>
        </is>
      </c>
      <c r="M60" s="15"/>
      <c r="N60" s="15"/>
      <c r="O60" s="15">
        <v>1</v>
      </c>
      <c r="P60" s="10" t="str">
        <f>IF(L60="MISSING","MISSING",IF(O60=1,"PASS","DUPLICATE"))</f>
        <v>PASS</v>
      </c>
    </row>
    <row r="61" ht="22" customHeight="1">
      <c r="A61" s="15" t="inlineStr">
        <is>
          <t xml:space="preserve">Exodus 7</t>
        </is>
      </c>
      <c r="B61" s="15">
        <v>57</v>
      </c>
      <c r="C61" s="15" t="inlineStr">
        <is>
          <t xml:space="preserve">Old Testament</t>
        </is>
      </c>
      <c r="D61" s="15">
        <v>2</v>
      </c>
      <c r="E61" s="15" t="inlineStr">
        <is>
          <t xml:space="preserve">Exodus</t>
        </is>
      </c>
      <c r="F61" s="15">
        <v>7</v>
      </c>
      <c r="G61" s="15" t="inlineStr">
        <is>
          <t xml:space="preserve">v0.1</t>
        </is>
      </c>
      <c r="H61" s="15" t="inlineStr">
        <is>
          <t xml:space="preserve">Bible_Journey_Canon_Map_v0_1_Genesis_to_2Samuel.xlsx</t>
        </is>
      </c>
      <c r="I61" s="15" t="inlineStr">
        <is>
          <t xml:space="preserve">Chapter Map</t>
        </is>
      </c>
      <c r="J61" s="15" t="inlineStr">
        <is>
          <t xml:space="preserve">CRS-EXO-004</t>
        </is>
      </c>
      <c r="K61" s="15"/>
      <c r="L61" s="10" t="inlineStr">
        <is>
          <t xml:space="preserve">Mapped</t>
        </is>
      </c>
      <c r="M61" s="15"/>
      <c r="N61" s="15"/>
      <c r="O61" s="15">
        <v>1</v>
      </c>
      <c r="P61" s="10" t="str">
        <f>IF(L61="MISSING","MISSING",IF(O61=1,"PASS","DUPLICATE"))</f>
        <v>PASS</v>
      </c>
    </row>
    <row r="62" ht="22" customHeight="1">
      <c r="A62" s="15" t="inlineStr">
        <is>
          <t xml:space="preserve">Exodus 8</t>
        </is>
      </c>
      <c r="B62" s="15">
        <v>58</v>
      </c>
      <c r="C62" s="15" t="inlineStr">
        <is>
          <t xml:space="preserve">Old Testament</t>
        </is>
      </c>
      <c r="D62" s="15">
        <v>2</v>
      </c>
      <c r="E62" s="15" t="inlineStr">
        <is>
          <t xml:space="preserve">Exodus</t>
        </is>
      </c>
      <c r="F62" s="15">
        <v>8</v>
      </c>
      <c r="G62" s="15" t="inlineStr">
        <is>
          <t xml:space="preserve">v0.1</t>
        </is>
      </c>
      <c r="H62" s="15" t="inlineStr">
        <is>
          <t xml:space="preserve">Bible_Journey_Canon_Map_v0_1_Genesis_to_2Samuel.xlsx</t>
        </is>
      </c>
      <c r="I62" s="15" t="inlineStr">
        <is>
          <t xml:space="preserve">Chapter Map</t>
        </is>
      </c>
      <c r="J62" s="15" t="inlineStr">
        <is>
          <t xml:space="preserve">CRS-EXO-004</t>
        </is>
      </c>
      <c r="K62" s="15"/>
      <c r="L62" s="10" t="inlineStr">
        <is>
          <t xml:space="preserve">Mapped</t>
        </is>
      </c>
      <c r="M62" s="15"/>
      <c r="N62" s="15"/>
      <c r="O62" s="15">
        <v>1</v>
      </c>
      <c r="P62" s="10" t="str">
        <f>IF(L62="MISSING","MISSING",IF(O62=1,"PASS","DUPLICATE"))</f>
        <v>PASS</v>
      </c>
    </row>
    <row r="63" ht="22" customHeight="1">
      <c r="A63" s="15" t="inlineStr">
        <is>
          <t xml:space="preserve">Exodus 9</t>
        </is>
      </c>
      <c r="B63" s="15">
        <v>59</v>
      </c>
      <c r="C63" s="15" t="inlineStr">
        <is>
          <t xml:space="preserve">Old Testament</t>
        </is>
      </c>
      <c r="D63" s="15">
        <v>2</v>
      </c>
      <c r="E63" s="15" t="inlineStr">
        <is>
          <t xml:space="preserve">Exodus</t>
        </is>
      </c>
      <c r="F63" s="15">
        <v>9</v>
      </c>
      <c r="G63" s="15" t="inlineStr">
        <is>
          <t xml:space="preserve">v0.1</t>
        </is>
      </c>
      <c r="H63" s="15" t="inlineStr">
        <is>
          <t xml:space="preserve">Bible_Journey_Canon_Map_v0_1_Genesis_to_2Samuel.xlsx</t>
        </is>
      </c>
      <c r="I63" s="15" t="inlineStr">
        <is>
          <t xml:space="preserve">Chapter Map</t>
        </is>
      </c>
      <c r="J63" s="15" t="inlineStr">
        <is>
          <t xml:space="preserve">CRS-EXO-004</t>
        </is>
      </c>
      <c r="K63" s="15"/>
      <c r="L63" s="10" t="inlineStr">
        <is>
          <t xml:space="preserve">Mapped</t>
        </is>
      </c>
      <c r="M63" s="15"/>
      <c r="N63" s="15"/>
      <c r="O63" s="15">
        <v>1</v>
      </c>
      <c r="P63" s="10" t="str">
        <f>IF(L63="MISSING","MISSING",IF(O63=1,"PASS","DUPLICATE"))</f>
        <v>PASS</v>
      </c>
    </row>
    <row r="64" ht="22" customHeight="1">
      <c r="A64" s="15" t="inlineStr">
        <is>
          <t xml:space="preserve">Exodus 10</t>
        </is>
      </c>
      <c r="B64" s="15">
        <v>60</v>
      </c>
      <c r="C64" s="15" t="inlineStr">
        <is>
          <t xml:space="preserve">Old Testament</t>
        </is>
      </c>
      <c r="D64" s="15">
        <v>2</v>
      </c>
      <c r="E64" s="15" t="inlineStr">
        <is>
          <t xml:space="preserve">Exodus</t>
        </is>
      </c>
      <c r="F64" s="15">
        <v>10</v>
      </c>
      <c r="G64" s="15" t="inlineStr">
        <is>
          <t xml:space="preserve">v0.1</t>
        </is>
      </c>
      <c r="H64" s="15" t="inlineStr">
        <is>
          <t xml:space="preserve">Bible_Journey_Canon_Map_v0_1_Genesis_to_2Samuel.xlsx</t>
        </is>
      </c>
      <c r="I64" s="15" t="inlineStr">
        <is>
          <t xml:space="preserve">Chapter Map</t>
        </is>
      </c>
      <c r="J64" s="15" t="inlineStr">
        <is>
          <t xml:space="preserve">CRS-EXO-004</t>
        </is>
      </c>
      <c r="K64" s="15"/>
      <c r="L64" s="10" t="inlineStr">
        <is>
          <t xml:space="preserve">Mapped</t>
        </is>
      </c>
      <c r="M64" s="15"/>
      <c r="N64" s="15"/>
      <c r="O64" s="15">
        <v>1</v>
      </c>
      <c r="P64" s="10" t="str">
        <f>IF(L64="MISSING","MISSING",IF(O64=1,"PASS","DUPLICATE"))</f>
        <v>PASS</v>
      </c>
    </row>
    <row r="65" ht="22" customHeight="1">
      <c r="A65" s="15" t="inlineStr">
        <is>
          <t xml:space="preserve">Exodus 11</t>
        </is>
      </c>
      <c r="B65" s="15">
        <v>61</v>
      </c>
      <c r="C65" s="15" t="inlineStr">
        <is>
          <t xml:space="preserve">Old Testament</t>
        </is>
      </c>
      <c r="D65" s="15">
        <v>2</v>
      </c>
      <c r="E65" s="15" t="inlineStr">
        <is>
          <t xml:space="preserve">Exodus</t>
        </is>
      </c>
      <c r="F65" s="15">
        <v>11</v>
      </c>
      <c r="G65" s="15" t="inlineStr">
        <is>
          <t xml:space="preserve">v0.1</t>
        </is>
      </c>
      <c r="H65" s="15" t="inlineStr">
        <is>
          <t xml:space="preserve">Bible_Journey_Canon_Map_v0_1_Genesis_to_2Samuel.xlsx</t>
        </is>
      </c>
      <c r="I65" s="15" t="inlineStr">
        <is>
          <t xml:space="preserve">Chapter Map</t>
        </is>
      </c>
      <c r="J65" s="15" t="inlineStr">
        <is>
          <t xml:space="preserve">CRS-EXO-004</t>
        </is>
      </c>
      <c r="K65" s="15"/>
      <c r="L65" s="10" t="inlineStr">
        <is>
          <t xml:space="preserve">Mapped</t>
        </is>
      </c>
      <c r="M65" s="15"/>
      <c r="N65" s="15"/>
      <c r="O65" s="15">
        <v>1</v>
      </c>
      <c r="P65" s="10" t="str">
        <f>IF(L65="MISSING","MISSING",IF(O65=1,"PASS","DUPLICATE"))</f>
        <v>PASS</v>
      </c>
    </row>
    <row r="66" ht="22" customHeight="1">
      <c r="A66" s="15" t="inlineStr">
        <is>
          <t xml:space="preserve">Exodus 12</t>
        </is>
      </c>
      <c r="B66" s="15">
        <v>62</v>
      </c>
      <c r="C66" s="15" t="inlineStr">
        <is>
          <t xml:space="preserve">Old Testament</t>
        </is>
      </c>
      <c r="D66" s="15">
        <v>2</v>
      </c>
      <c r="E66" s="15" t="inlineStr">
        <is>
          <t xml:space="preserve">Exodus</t>
        </is>
      </c>
      <c r="F66" s="15">
        <v>12</v>
      </c>
      <c r="G66" s="15" t="inlineStr">
        <is>
          <t xml:space="preserve">v0.1</t>
        </is>
      </c>
      <c r="H66" s="15" t="inlineStr">
        <is>
          <t xml:space="preserve">Bible_Journey_Canon_Map_v0_1_Genesis_to_2Samuel.xlsx</t>
        </is>
      </c>
      <c r="I66" s="15" t="inlineStr">
        <is>
          <t xml:space="preserve">Chapter Map</t>
        </is>
      </c>
      <c r="J66" s="15" t="inlineStr">
        <is>
          <t xml:space="preserve">CRS-EXO-005</t>
        </is>
      </c>
      <c r="K66" s="15"/>
      <c r="L66" s="10" t="inlineStr">
        <is>
          <t xml:space="preserve">Mapped</t>
        </is>
      </c>
      <c r="M66" s="15"/>
      <c r="N66" s="15"/>
      <c r="O66" s="15">
        <v>1</v>
      </c>
      <c r="P66" s="10" t="str">
        <f>IF(L66="MISSING","MISSING",IF(O66=1,"PASS","DUPLICATE"))</f>
        <v>PASS</v>
      </c>
    </row>
    <row r="67" ht="22" customHeight="1">
      <c r="A67" s="15" t="inlineStr">
        <is>
          <t xml:space="preserve">Exodus 13</t>
        </is>
      </c>
      <c r="B67" s="15">
        <v>63</v>
      </c>
      <c r="C67" s="15" t="inlineStr">
        <is>
          <t xml:space="preserve">Old Testament</t>
        </is>
      </c>
      <c r="D67" s="15">
        <v>2</v>
      </c>
      <c r="E67" s="15" t="inlineStr">
        <is>
          <t xml:space="preserve">Exodus</t>
        </is>
      </c>
      <c r="F67" s="15">
        <v>13</v>
      </c>
      <c r="G67" s="15" t="inlineStr">
        <is>
          <t xml:space="preserve">v0.1</t>
        </is>
      </c>
      <c r="H67" s="15" t="inlineStr">
        <is>
          <t xml:space="preserve">Bible_Journey_Canon_Map_v0_1_Genesis_to_2Samuel.xlsx</t>
        </is>
      </c>
      <c r="I67" s="15" t="inlineStr">
        <is>
          <t xml:space="preserve">Chapter Map</t>
        </is>
      </c>
      <c r="J67" s="15" t="inlineStr">
        <is>
          <t xml:space="preserve">CRS-EXO-005</t>
        </is>
      </c>
      <c r="K67" s="15"/>
      <c r="L67" s="10" t="inlineStr">
        <is>
          <t xml:space="preserve">Mapped</t>
        </is>
      </c>
      <c r="M67" s="15"/>
      <c r="N67" s="15"/>
      <c r="O67" s="15">
        <v>1</v>
      </c>
      <c r="P67" s="10" t="str">
        <f>IF(L67="MISSING","MISSING",IF(O67=1,"PASS","DUPLICATE"))</f>
        <v>PASS</v>
      </c>
    </row>
    <row r="68" ht="22" customHeight="1">
      <c r="A68" s="15" t="inlineStr">
        <is>
          <t xml:space="preserve">Exodus 14</t>
        </is>
      </c>
      <c r="B68" s="15">
        <v>64</v>
      </c>
      <c r="C68" s="15" t="inlineStr">
        <is>
          <t xml:space="preserve">Old Testament</t>
        </is>
      </c>
      <c r="D68" s="15">
        <v>2</v>
      </c>
      <c r="E68" s="15" t="inlineStr">
        <is>
          <t xml:space="preserve">Exodus</t>
        </is>
      </c>
      <c r="F68" s="15">
        <v>14</v>
      </c>
      <c r="G68" s="15" t="inlineStr">
        <is>
          <t xml:space="preserve">v0.1</t>
        </is>
      </c>
      <c r="H68" s="15" t="inlineStr">
        <is>
          <t xml:space="preserve">Bible_Journey_Canon_Map_v0_1_Genesis_to_2Samuel.xlsx</t>
        </is>
      </c>
      <c r="I68" s="15" t="inlineStr">
        <is>
          <t xml:space="preserve">Chapter Map</t>
        </is>
      </c>
      <c r="J68" s="15" t="inlineStr">
        <is>
          <t xml:space="preserve">CRS-EXO-005</t>
        </is>
      </c>
      <c r="K68" s="15"/>
      <c r="L68" s="10" t="inlineStr">
        <is>
          <t xml:space="preserve">Mapped</t>
        </is>
      </c>
      <c r="M68" s="15"/>
      <c r="N68" s="15"/>
      <c r="O68" s="15">
        <v>1</v>
      </c>
      <c r="P68" s="10" t="str">
        <f>IF(L68="MISSING","MISSING",IF(O68=1,"PASS","DUPLICATE"))</f>
        <v>PASS</v>
      </c>
    </row>
    <row r="69" ht="22" customHeight="1">
      <c r="A69" s="15" t="inlineStr">
        <is>
          <t xml:space="preserve">Exodus 15</t>
        </is>
      </c>
      <c r="B69" s="15">
        <v>65</v>
      </c>
      <c r="C69" s="15" t="inlineStr">
        <is>
          <t xml:space="preserve">Old Testament</t>
        </is>
      </c>
      <c r="D69" s="15">
        <v>2</v>
      </c>
      <c r="E69" s="15" t="inlineStr">
        <is>
          <t xml:space="preserve">Exodus</t>
        </is>
      </c>
      <c r="F69" s="15">
        <v>15</v>
      </c>
      <c r="G69" s="15" t="inlineStr">
        <is>
          <t xml:space="preserve">v0.1</t>
        </is>
      </c>
      <c r="H69" s="15" t="inlineStr">
        <is>
          <t xml:space="preserve">Bible_Journey_Canon_Map_v0_1_Genesis_to_2Samuel.xlsx</t>
        </is>
      </c>
      <c r="I69" s="15" t="inlineStr">
        <is>
          <t xml:space="preserve">Chapter Map</t>
        </is>
      </c>
      <c r="J69" s="15" t="inlineStr">
        <is>
          <t xml:space="preserve">CRS-EXO-005</t>
        </is>
      </c>
      <c r="K69" s="15"/>
      <c r="L69" s="10" t="inlineStr">
        <is>
          <t xml:space="preserve">Mapped</t>
        </is>
      </c>
      <c r="M69" s="15"/>
      <c r="N69" s="15"/>
      <c r="O69" s="15">
        <v>1</v>
      </c>
      <c r="P69" s="10" t="str">
        <f>IF(L69="MISSING","MISSING",IF(O69=1,"PASS","DUPLICATE"))</f>
        <v>PASS</v>
      </c>
    </row>
    <row r="70" ht="22" customHeight="1">
      <c r="A70" s="15" t="inlineStr">
        <is>
          <t xml:space="preserve">Exodus 16</t>
        </is>
      </c>
      <c r="B70" s="15">
        <v>66</v>
      </c>
      <c r="C70" s="15" t="inlineStr">
        <is>
          <t xml:space="preserve">Old Testament</t>
        </is>
      </c>
      <c r="D70" s="15">
        <v>2</v>
      </c>
      <c r="E70" s="15" t="inlineStr">
        <is>
          <t xml:space="preserve">Exodus</t>
        </is>
      </c>
      <c r="F70" s="15">
        <v>16</v>
      </c>
      <c r="G70" s="15" t="inlineStr">
        <is>
          <t xml:space="preserve">v0.1</t>
        </is>
      </c>
      <c r="H70" s="15" t="inlineStr">
        <is>
          <t xml:space="preserve">Bible_Journey_Canon_Map_v0_1_Genesis_to_2Samuel.xlsx</t>
        </is>
      </c>
      <c r="I70" s="15" t="inlineStr">
        <is>
          <t xml:space="preserve">Chapter Map</t>
        </is>
      </c>
      <c r="J70" s="15" t="inlineStr">
        <is>
          <t xml:space="preserve">CRS-EXO-006</t>
        </is>
      </c>
      <c r="K70" s="15"/>
      <c r="L70" s="10" t="inlineStr">
        <is>
          <t xml:space="preserve">Mapped</t>
        </is>
      </c>
      <c r="M70" s="15"/>
      <c r="N70" s="15"/>
      <c r="O70" s="15">
        <v>1</v>
      </c>
      <c r="P70" s="10" t="str">
        <f>IF(L70="MISSING","MISSING",IF(O70=1,"PASS","DUPLICATE"))</f>
        <v>PASS</v>
      </c>
    </row>
    <row r="71" ht="22" customHeight="1">
      <c r="A71" s="15" t="inlineStr">
        <is>
          <t xml:space="preserve">Exodus 17</t>
        </is>
      </c>
      <c r="B71" s="15">
        <v>67</v>
      </c>
      <c r="C71" s="15" t="inlineStr">
        <is>
          <t xml:space="preserve">Old Testament</t>
        </is>
      </c>
      <c r="D71" s="15">
        <v>2</v>
      </c>
      <c r="E71" s="15" t="inlineStr">
        <is>
          <t xml:space="preserve">Exodus</t>
        </is>
      </c>
      <c r="F71" s="15">
        <v>17</v>
      </c>
      <c r="G71" s="15" t="inlineStr">
        <is>
          <t xml:space="preserve">v0.1</t>
        </is>
      </c>
      <c r="H71" s="15" t="inlineStr">
        <is>
          <t xml:space="preserve">Bible_Journey_Canon_Map_v0_1_Genesis_to_2Samuel.xlsx</t>
        </is>
      </c>
      <c r="I71" s="15" t="inlineStr">
        <is>
          <t xml:space="preserve">Chapter Map</t>
        </is>
      </c>
      <c r="J71" s="15" t="inlineStr">
        <is>
          <t xml:space="preserve">CRS-EXO-006</t>
        </is>
      </c>
      <c r="K71" s="15"/>
      <c r="L71" s="10" t="inlineStr">
        <is>
          <t xml:space="preserve">Mapped</t>
        </is>
      </c>
      <c r="M71" s="15"/>
      <c r="N71" s="15"/>
      <c r="O71" s="15">
        <v>1</v>
      </c>
      <c r="P71" s="10" t="str">
        <f>IF(L71="MISSING","MISSING",IF(O71=1,"PASS","DUPLICATE"))</f>
        <v>PASS</v>
      </c>
    </row>
    <row r="72" ht="22" customHeight="1">
      <c r="A72" s="15" t="inlineStr">
        <is>
          <t xml:space="preserve">Exodus 18</t>
        </is>
      </c>
      <c r="B72" s="15">
        <v>68</v>
      </c>
      <c r="C72" s="15" t="inlineStr">
        <is>
          <t xml:space="preserve">Old Testament</t>
        </is>
      </c>
      <c r="D72" s="15">
        <v>2</v>
      </c>
      <c r="E72" s="15" t="inlineStr">
        <is>
          <t xml:space="preserve">Exodus</t>
        </is>
      </c>
      <c r="F72" s="15">
        <v>18</v>
      </c>
      <c r="G72" s="15" t="inlineStr">
        <is>
          <t xml:space="preserve">v0.1</t>
        </is>
      </c>
      <c r="H72" s="15" t="inlineStr">
        <is>
          <t xml:space="preserve">Bible_Journey_Canon_Map_v0_1_Genesis_to_2Samuel.xlsx</t>
        </is>
      </c>
      <c r="I72" s="15" t="inlineStr">
        <is>
          <t xml:space="preserve">Chapter Map</t>
        </is>
      </c>
      <c r="J72" s="15" t="inlineStr">
        <is>
          <t xml:space="preserve">CRS-EXO-006</t>
        </is>
      </c>
      <c r="K72" s="15"/>
      <c r="L72" s="10" t="inlineStr">
        <is>
          <t xml:space="preserve">Mapped</t>
        </is>
      </c>
      <c r="M72" s="15"/>
      <c r="N72" s="15"/>
      <c r="O72" s="15">
        <v>1</v>
      </c>
      <c r="P72" s="10" t="str">
        <f>IF(L72="MISSING","MISSING",IF(O72=1,"PASS","DUPLICATE"))</f>
        <v>PASS</v>
      </c>
    </row>
    <row r="73" ht="22" customHeight="1">
      <c r="A73" s="15" t="inlineStr">
        <is>
          <t xml:space="preserve">Exodus 19</t>
        </is>
      </c>
      <c r="B73" s="15">
        <v>69</v>
      </c>
      <c r="C73" s="15" t="inlineStr">
        <is>
          <t xml:space="preserve">Old Testament</t>
        </is>
      </c>
      <c r="D73" s="15">
        <v>2</v>
      </c>
      <c r="E73" s="15" t="inlineStr">
        <is>
          <t xml:space="preserve">Exodus</t>
        </is>
      </c>
      <c r="F73" s="15">
        <v>19</v>
      </c>
      <c r="G73" s="15" t="inlineStr">
        <is>
          <t xml:space="preserve">v0.1</t>
        </is>
      </c>
      <c r="H73" s="15" t="inlineStr">
        <is>
          <t xml:space="preserve">Bible_Journey_Canon_Map_v0_1_Genesis_to_2Samuel.xlsx</t>
        </is>
      </c>
      <c r="I73" s="15" t="inlineStr">
        <is>
          <t xml:space="preserve">Chapter Map</t>
        </is>
      </c>
      <c r="J73" s="15" t="inlineStr">
        <is>
          <t xml:space="preserve">CRS-EXO-007</t>
        </is>
      </c>
      <c r="K73" s="15"/>
      <c r="L73" s="10" t="inlineStr">
        <is>
          <t xml:space="preserve">Mapped</t>
        </is>
      </c>
      <c r="M73" s="15"/>
      <c r="N73" s="15"/>
      <c r="O73" s="15">
        <v>1</v>
      </c>
      <c r="P73" s="10" t="str">
        <f>IF(L73="MISSING","MISSING",IF(O73=1,"PASS","DUPLICATE"))</f>
        <v>PASS</v>
      </c>
    </row>
    <row r="74" ht="22" customHeight="1">
      <c r="A74" s="15" t="inlineStr">
        <is>
          <t xml:space="preserve">Exodus 20</t>
        </is>
      </c>
      <c r="B74" s="15">
        <v>70</v>
      </c>
      <c r="C74" s="15" t="inlineStr">
        <is>
          <t xml:space="preserve">Old Testament</t>
        </is>
      </c>
      <c r="D74" s="15">
        <v>2</v>
      </c>
      <c r="E74" s="15" t="inlineStr">
        <is>
          <t xml:space="preserve">Exodus</t>
        </is>
      </c>
      <c r="F74" s="15">
        <v>20</v>
      </c>
      <c r="G74" s="15" t="inlineStr">
        <is>
          <t xml:space="preserve">v0.1</t>
        </is>
      </c>
      <c r="H74" s="15" t="inlineStr">
        <is>
          <t xml:space="preserve">Bible_Journey_Canon_Map_v0_1_Genesis_to_2Samuel.xlsx</t>
        </is>
      </c>
      <c r="I74" s="15" t="inlineStr">
        <is>
          <t xml:space="preserve">Chapter Map</t>
        </is>
      </c>
      <c r="J74" s="15" t="inlineStr">
        <is>
          <t xml:space="preserve">CRS-EXO-007</t>
        </is>
      </c>
      <c r="K74" s="15"/>
      <c r="L74" s="10" t="inlineStr">
        <is>
          <t xml:space="preserve">Mapped</t>
        </is>
      </c>
      <c r="M74" s="15"/>
      <c r="N74" s="15"/>
      <c r="O74" s="15">
        <v>1</v>
      </c>
      <c r="P74" s="10" t="str">
        <f>IF(L74="MISSING","MISSING",IF(O74=1,"PASS","DUPLICATE"))</f>
        <v>PASS</v>
      </c>
    </row>
    <row r="75" ht="22" customHeight="1">
      <c r="A75" s="15" t="inlineStr">
        <is>
          <t xml:space="preserve">Exodus 21</t>
        </is>
      </c>
      <c r="B75" s="15">
        <v>71</v>
      </c>
      <c r="C75" s="15" t="inlineStr">
        <is>
          <t xml:space="preserve">Old Testament</t>
        </is>
      </c>
      <c r="D75" s="15">
        <v>2</v>
      </c>
      <c r="E75" s="15" t="inlineStr">
        <is>
          <t xml:space="preserve">Exodus</t>
        </is>
      </c>
      <c r="F75" s="15">
        <v>21</v>
      </c>
      <c r="G75" s="15" t="inlineStr">
        <is>
          <t xml:space="preserve">v0.1</t>
        </is>
      </c>
      <c r="H75" s="15" t="inlineStr">
        <is>
          <t xml:space="preserve">Bible_Journey_Canon_Map_v0_1_Genesis_to_2Samuel.xlsx</t>
        </is>
      </c>
      <c r="I75" s="15" t="inlineStr">
        <is>
          <t xml:space="preserve">Chapter Map</t>
        </is>
      </c>
      <c r="J75" s="15" t="inlineStr">
        <is>
          <t xml:space="preserve">CRS-EXO-008</t>
        </is>
      </c>
      <c r="K75" s="15"/>
      <c r="L75" s="10" t="inlineStr">
        <is>
          <t xml:space="preserve">Mapped</t>
        </is>
      </c>
      <c r="M75" s="15"/>
      <c r="N75" s="15"/>
      <c r="O75" s="15">
        <v>1</v>
      </c>
      <c r="P75" s="10" t="str">
        <f>IF(L75="MISSING","MISSING",IF(O75=1,"PASS","DUPLICATE"))</f>
        <v>PASS</v>
      </c>
    </row>
    <row r="76" ht="22" customHeight="1">
      <c r="A76" s="15" t="inlineStr">
        <is>
          <t xml:space="preserve">Exodus 22</t>
        </is>
      </c>
      <c r="B76" s="15">
        <v>72</v>
      </c>
      <c r="C76" s="15" t="inlineStr">
        <is>
          <t xml:space="preserve">Old Testament</t>
        </is>
      </c>
      <c r="D76" s="15">
        <v>2</v>
      </c>
      <c r="E76" s="15" t="inlineStr">
        <is>
          <t xml:space="preserve">Exodus</t>
        </is>
      </c>
      <c r="F76" s="15">
        <v>22</v>
      </c>
      <c r="G76" s="15" t="inlineStr">
        <is>
          <t xml:space="preserve">v0.1</t>
        </is>
      </c>
      <c r="H76" s="15" t="inlineStr">
        <is>
          <t xml:space="preserve">Bible_Journey_Canon_Map_v0_1_Genesis_to_2Samuel.xlsx</t>
        </is>
      </c>
      <c r="I76" s="15" t="inlineStr">
        <is>
          <t xml:space="preserve">Chapter Map</t>
        </is>
      </c>
      <c r="J76" s="15" t="inlineStr">
        <is>
          <t xml:space="preserve">CRS-EXO-008</t>
        </is>
      </c>
      <c r="K76" s="15"/>
      <c r="L76" s="10" t="inlineStr">
        <is>
          <t xml:space="preserve">Mapped</t>
        </is>
      </c>
      <c r="M76" s="15"/>
      <c r="N76" s="15"/>
      <c r="O76" s="15">
        <v>1</v>
      </c>
      <c r="P76" s="10" t="str">
        <f>IF(L76="MISSING","MISSING",IF(O76=1,"PASS","DUPLICATE"))</f>
        <v>PASS</v>
      </c>
    </row>
    <row r="77" ht="22" customHeight="1">
      <c r="A77" s="15" t="inlineStr">
        <is>
          <t xml:space="preserve">Exodus 23</t>
        </is>
      </c>
      <c r="B77" s="15">
        <v>73</v>
      </c>
      <c r="C77" s="15" t="inlineStr">
        <is>
          <t xml:space="preserve">Old Testament</t>
        </is>
      </c>
      <c r="D77" s="15">
        <v>2</v>
      </c>
      <c r="E77" s="15" t="inlineStr">
        <is>
          <t xml:space="preserve">Exodus</t>
        </is>
      </c>
      <c r="F77" s="15">
        <v>23</v>
      </c>
      <c r="G77" s="15" t="inlineStr">
        <is>
          <t xml:space="preserve">v0.1</t>
        </is>
      </c>
      <c r="H77" s="15" t="inlineStr">
        <is>
          <t xml:space="preserve">Bible_Journey_Canon_Map_v0_1_Genesis_to_2Samuel.xlsx</t>
        </is>
      </c>
      <c r="I77" s="15" t="inlineStr">
        <is>
          <t xml:space="preserve">Chapter Map</t>
        </is>
      </c>
      <c r="J77" s="15" t="inlineStr">
        <is>
          <t xml:space="preserve">CRS-EXO-008</t>
        </is>
      </c>
      <c r="K77" s="15"/>
      <c r="L77" s="10" t="inlineStr">
        <is>
          <t xml:space="preserve">Mapped</t>
        </is>
      </c>
      <c r="M77" s="15"/>
      <c r="N77" s="15"/>
      <c r="O77" s="15">
        <v>1</v>
      </c>
      <c r="P77" s="10" t="str">
        <f>IF(L77="MISSING","MISSING",IF(O77=1,"PASS","DUPLICATE"))</f>
        <v>PASS</v>
      </c>
    </row>
    <row r="78" ht="22" customHeight="1">
      <c r="A78" s="15" t="inlineStr">
        <is>
          <t xml:space="preserve">Exodus 24</t>
        </is>
      </c>
      <c r="B78" s="15">
        <v>74</v>
      </c>
      <c r="C78" s="15" t="inlineStr">
        <is>
          <t xml:space="preserve">Old Testament</t>
        </is>
      </c>
      <c r="D78" s="15">
        <v>2</v>
      </c>
      <c r="E78" s="15" t="inlineStr">
        <is>
          <t xml:space="preserve">Exodus</t>
        </is>
      </c>
      <c r="F78" s="15">
        <v>24</v>
      </c>
      <c r="G78" s="15" t="inlineStr">
        <is>
          <t xml:space="preserve">v0.1</t>
        </is>
      </c>
      <c r="H78" s="15" t="inlineStr">
        <is>
          <t xml:space="preserve">Bible_Journey_Canon_Map_v0_1_Genesis_to_2Samuel.xlsx</t>
        </is>
      </c>
      <c r="I78" s="15" t="inlineStr">
        <is>
          <t xml:space="preserve">Chapter Map</t>
        </is>
      </c>
      <c r="J78" s="15" t="inlineStr">
        <is>
          <t xml:space="preserve">CRS-EXO-008</t>
        </is>
      </c>
      <c r="K78" s="15"/>
      <c r="L78" s="10" t="inlineStr">
        <is>
          <t xml:space="preserve">Mapped</t>
        </is>
      </c>
      <c r="M78" s="15"/>
      <c r="N78" s="15"/>
      <c r="O78" s="15">
        <v>1</v>
      </c>
      <c r="P78" s="10" t="str">
        <f>IF(L78="MISSING","MISSING",IF(O78=1,"PASS","DUPLICATE"))</f>
        <v>PASS</v>
      </c>
    </row>
    <row r="79" ht="22" customHeight="1">
      <c r="A79" s="15" t="inlineStr">
        <is>
          <t xml:space="preserve">Exodus 25</t>
        </is>
      </c>
      <c r="B79" s="15">
        <v>75</v>
      </c>
      <c r="C79" s="15" t="inlineStr">
        <is>
          <t xml:space="preserve">Old Testament</t>
        </is>
      </c>
      <c r="D79" s="15">
        <v>2</v>
      </c>
      <c r="E79" s="15" t="inlineStr">
        <is>
          <t xml:space="preserve">Exodus</t>
        </is>
      </c>
      <c r="F79" s="15">
        <v>25</v>
      </c>
      <c r="G79" s="15" t="inlineStr">
        <is>
          <t xml:space="preserve">v0.1</t>
        </is>
      </c>
      <c r="H79" s="15" t="inlineStr">
        <is>
          <t xml:space="preserve">Bible_Journey_Canon_Map_v0_1_Genesis_to_2Samuel.xlsx</t>
        </is>
      </c>
      <c r="I79" s="15" t="inlineStr">
        <is>
          <t xml:space="preserve">Chapter Map</t>
        </is>
      </c>
      <c r="J79" s="15" t="inlineStr">
        <is>
          <t xml:space="preserve">CRS-EXO-009</t>
        </is>
      </c>
      <c r="K79" s="15"/>
      <c r="L79" s="10" t="inlineStr">
        <is>
          <t xml:space="preserve">Mapped</t>
        </is>
      </c>
      <c r="M79" s="15"/>
      <c r="N79" s="15"/>
      <c r="O79" s="15">
        <v>1</v>
      </c>
      <c r="P79" s="10" t="str">
        <f>IF(L79="MISSING","MISSING",IF(O79=1,"PASS","DUPLICATE"))</f>
        <v>PASS</v>
      </c>
    </row>
    <row r="80" ht="22" customHeight="1">
      <c r="A80" s="15" t="inlineStr">
        <is>
          <t xml:space="preserve">Exodus 26</t>
        </is>
      </c>
      <c r="B80" s="15">
        <v>76</v>
      </c>
      <c r="C80" s="15" t="inlineStr">
        <is>
          <t xml:space="preserve">Old Testament</t>
        </is>
      </c>
      <c r="D80" s="15">
        <v>2</v>
      </c>
      <c r="E80" s="15" t="inlineStr">
        <is>
          <t xml:space="preserve">Exodus</t>
        </is>
      </c>
      <c r="F80" s="15">
        <v>26</v>
      </c>
      <c r="G80" s="15" t="inlineStr">
        <is>
          <t xml:space="preserve">v0.1</t>
        </is>
      </c>
      <c r="H80" s="15" t="inlineStr">
        <is>
          <t xml:space="preserve">Bible_Journey_Canon_Map_v0_1_Genesis_to_2Samuel.xlsx</t>
        </is>
      </c>
      <c r="I80" s="15" t="inlineStr">
        <is>
          <t xml:space="preserve">Chapter Map</t>
        </is>
      </c>
      <c r="J80" s="15" t="inlineStr">
        <is>
          <t xml:space="preserve">CRS-EXO-009</t>
        </is>
      </c>
      <c r="K80" s="15"/>
      <c r="L80" s="10" t="inlineStr">
        <is>
          <t xml:space="preserve">Mapped</t>
        </is>
      </c>
      <c r="M80" s="15"/>
      <c r="N80" s="15"/>
      <c r="O80" s="15">
        <v>1</v>
      </c>
      <c r="P80" s="10" t="str">
        <f>IF(L80="MISSING","MISSING",IF(O80=1,"PASS","DUPLICATE"))</f>
        <v>PASS</v>
      </c>
    </row>
    <row r="81" ht="22" customHeight="1">
      <c r="A81" s="15" t="inlineStr">
        <is>
          <t xml:space="preserve">Exodus 27</t>
        </is>
      </c>
      <c r="B81" s="15">
        <v>77</v>
      </c>
      <c r="C81" s="15" t="inlineStr">
        <is>
          <t xml:space="preserve">Old Testament</t>
        </is>
      </c>
      <c r="D81" s="15">
        <v>2</v>
      </c>
      <c r="E81" s="15" t="inlineStr">
        <is>
          <t xml:space="preserve">Exodus</t>
        </is>
      </c>
      <c r="F81" s="15">
        <v>27</v>
      </c>
      <c r="G81" s="15" t="inlineStr">
        <is>
          <t xml:space="preserve">v0.1</t>
        </is>
      </c>
      <c r="H81" s="15" t="inlineStr">
        <is>
          <t xml:space="preserve">Bible_Journey_Canon_Map_v0_1_Genesis_to_2Samuel.xlsx</t>
        </is>
      </c>
      <c r="I81" s="15" t="inlineStr">
        <is>
          <t xml:space="preserve">Chapter Map</t>
        </is>
      </c>
      <c r="J81" s="15" t="inlineStr">
        <is>
          <t xml:space="preserve">CRS-EXO-009</t>
        </is>
      </c>
      <c r="K81" s="15"/>
      <c r="L81" s="10" t="inlineStr">
        <is>
          <t xml:space="preserve">Mapped</t>
        </is>
      </c>
      <c r="M81" s="15"/>
      <c r="N81" s="15"/>
      <c r="O81" s="15">
        <v>1</v>
      </c>
      <c r="P81" s="10" t="str">
        <f>IF(L81="MISSING","MISSING",IF(O81=1,"PASS","DUPLICATE"))</f>
        <v>PASS</v>
      </c>
    </row>
    <row r="82" ht="22" customHeight="1">
      <c r="A82" s="15" t="inlineStr">
        <is>
          <t xml:space="preserve">Exodus 28</t>
        </is>
      </c>
      <c r="B82" s="15">
        <v>78</v>
      </c>
      <c r="C82" s="15" t="inlineStr">
        <is>
          <t xml:space="preserve">Old Testament</t>
        </is>
      </c>
      <c r="D82" s="15">
        <v>2</v>
      </c>
      <c r="E82" s="15" t="inlineStr">
        <is>
          <t xml:space="preserve">Exodus</t>
        </is>
      </c>
      <c r="F82" s="15">
        <v>28</v>
      </c>
      <c r="G82" s="15" t="inlineStr">
        <is>
          <t xml:space="preserve">v0.1</t>
        </is>
      </c>
      <c r="H82" s="15" t="inlineStr">
        <is>
          <t xml:space="preserve">Bible_Journey_Canon_Map_v0_1_Genesis_to_2Samuel.xlsx</t>
        </is>
      </c>
      <c r="I82" s="15" t="inlineStr">
        <is>
          <t xml:space="preserve">Chapter Map</t>
        </is>
      </c>
      <c r="J82" s="15" t="inlineStr">
        <is>
          <t xml:space="preserve">CRS-EXO-009</t>
        </is>
      </c>
      <c r="K82" s="15"/>
      <c r="L82" s="10" t="inlineStr">
        <is>
          <t xml:space="preserve">Mapped</t>
        </is>
      </c>
      <c r="M82" s="15"/>
      <c r="N82" s="15"/>
      <c r="O82" s="15">
        <v>1</v>
      </c>
      <c r="P82" s="10" t="str">
        <f>IF(L82="MISSING","MISSING",IF(O82=1,"PASS","DUPLICATE"))</f>
        <v>PASS</v>
      </c>
    </row>
    <row r="83" ht="22" customHeight="1">
      <c r="A83" s="15" t="inlineStr">
        <is>
          <t xml:space="preserve">Exodus 29</t>
        </is>
      </c>
      <c r="B83" s="15">
        <v>79</v>
      </c>
      <c r="C83" s="15" t="inlineStr">
        <is>
          <t xml:space="preserve">Old Testament</t>
        </is>
      </c>
      <c r="D83" s="15">
        <v>2</v>
      </c>
      <c r="E83" s="15" t="inlineStr">
        <is>
          <t xml:space="preserve">Exodus</t>
        </is>
      </c>
      <c r="F83" s="15">
        <v>29</v>
      </c>
      <c r="G83" s="15" t="inlineStr">
        <is>
          <t xml:space="preserve">v0.1</t>
        </is>
      </c>
      <c r="H83" s="15" t="inlineStr">
        <is>
          <t xml:space="preserve">Bible_Journey_Canon_Map_v0_1_Genesis_to_2Samuel.xlsx</t>
        </is>
      </c>
      <c r="I83" s="15" t="inlineStr">
        <is>
          <t xml:space="preserve">Chapter Map</t>
        </is>
      </c>
      <c r="J83" s="15" t="inlineStr">
        <is>
          <t xml:space="preserve">CRS-EXO-009</t>
        </is>
      </c>
      <c r="K83" s="15"/>
      <c r="L83" s="10" t="inlineStr">
        <is>
          <t xml:space="preserve">Mapped</t>
        </is>
      </c>
      <c r="M83" s="15"/>
      <c r="N83" s="15"/>
      <c r="O83" s="15">
        <v>1</v>
      </c>
      <c r="P83" s="10" t="str">
        <f>IF(L83="MISSING","MISSING",IF(O83=1,"PASS","DUPLICATE"))</f>
        <v>PASS</v>
      </c>
    </row>
    <row r="84" ht="22" customHeight="1">
      <c r="A84" s="15" t="inlineStr">
        <is>
          <t xml:space="preserve">Exodus 30</t>
        </is>
      </c>
      <c r="B84" s="15">
        <v>80</v>
      </c>
      <c r="C84" s="15" t="inlineStr">
        <is>
          <t xml:space="preserve">Old Testament</t>
        </is>
      </c>
      <c r="D84" s="15">
        <v>2</v>
      </c>
      <c r="E84" s="15" t="inlineStr">
        <is>
          <t xml:space="preserve">Exodus</t>
        </is>
      </c>
      <c r="F84" s="15">
        <v>30</v>
      </c>
      <c r="G84" s="15" t="inlineStr">
        <is>
          <t xml:space="preserve">v0.1</t>
        </is>
      </c>
      <c r="H84" s="15" t="inlineStr">
        <is>
          <t xml:space="preserve">Bible_Journey_Canon_Map_v0_1_Genesis_to_2Samuel.xlsx</t>
        </is>
      </c>
      <c r="I84" s="15" t="inlineStr">
        <is>
          <t xml:space="preserve">Chapter Map</t>
        </is>
      </c>
      <c r="J84" s="15" t="inlineStr">
        <is>
          <t xml:space="preserve">CRS-EXO-009</t>
        </is>
      </c>
      <c r="K84" s="15"/>
      <c r="L84" s="10" t="inlineStr">
        <is>
          <t xml:space="preserve">Mapped</t>
        </is>
      </c>
      <c r="M84" s="15"/>
      <c r="N84" s="15"/>
      <c r="O84" s="15">
        <v>1</v>
      </c>
      <c r="P84" s="10" t="str">
        <f>IF(L84="MISSING","MISSING",IF(O84=1,"PASS","DUPLICATE"))</f>
        <v>PASS</v>
      </c>
    </row>
    <row r="85" ht="22" customHeight="1">
      <c r="A85" s="15" t="inlineStr">
        <is>
          <t xml:space="preserve">Exodus 31</t>
        </is>
      </c>
      <c r="B85" s="15">
        <v>81</v>
      </c>
      <c r="C85" s="15" t="inlineStr">
        <is>
          <t xml:space="preserve">Old Testament</t>
        </is>
      </c>
      <c r="D85" s="15">
        <v>2</v>
      </c>
      <c r="E85" s="15" t="inlineStr">
        <is>
          <t xml:space="preserve">Exodus</t>
        </is>
      </c>
      <c r="F85" s="15">
        <v>31</v>
      </c>
      <c r="G85" s="15" t="inlineStr">
        <is>
          <t xml:space="preserve">v0.1</t>
        </is>
      </c>
      <c r="H85" s="15" t="inlineStr">
        <is>
          <t xml:space="preserve">Bible_Journey_Canon_Map_v0_1_Genesis_to_2Samuel.xlsx</t>
        </is>
      </c>
      <c r="I85" s="15" t="inlineStr">
        <is>
          <t xml:space="preserve">Chapter Map</t>
        </is>
      </c>
      <c r="J85" s="15" t="inlineStr">
        <is>
          <t xml:space="preserve">CRS-EXO-009</t>
        </is>
      </c>
      <c r="K85" s="15"/>
      <c r="L85" s="10" t="inlineStr">
        <is>
          <t xml:space="preserve">Mapped</t>
        </is>
      </c>
      <c r="M85" s="15"/>
      <c r="N85" s="15"/>
      <c r="O85" s="15">
        <v>1</v>
      </c>
      <c r="P85" s="10" t="str">
        <f>IF(L85="MISSING","MISSING",IF(O85=1,"PASS","DUPLICATE"))</f>
        <v>PASS</v>
      </c>
    </row>
    <row r="86" ht="22" customHeight="1">
      <c r="A86" s="15" t="inlineStr">
        <is>
          <t xml:space="preserve">Exodus 32</t>
        </is>
      </c>
      <c r="B86" s="15">
        <v>82</v>
      </c>
      <c r="C86" s="15" t="inlineStr">
        <is>
          <t xml:space="preserve">Old Testament</t>
        </is>
      </c>
      <c r="D86" s="15">
        <v>2</v>
      </c>
      <c r="E86" s="15" t="inlineStr">
        <is>
          <t xml:space="preserve">Exodus</t>
        </is>
      </c>
      <c r="F86" s="15">
        <v>32</v>
      </c>
      <c r="G86" s="15" t="inlineStr">
        <is>
          <t xml:space="preserve">v0.1</t>
        </is>
      </c>
      <c r="H86" s="15" t="inlineStr">
        <is>
          <t xml:space="preserve">Bible_Journey_Canon_Map_v0_1_Genesis_to_2Samuel.xlsx</t>
        </is>
      </c>
      <c r="I86" s="15" t="inlineStr">
        <is>
          <t xml:space="preserve">Chapter Map</t>
        </is>
      </c>
      <c r="J86" s="15" t="inlineStr">
        <is>
          <t xml:space="preserve">CRS-EXO-010</t>
        </is>
      </c>
      <c r="K86" s="15"/>
      <c r="L86" s="10" t="inlineStr">
        <is>
          <t xml:space="preserve">Mapped</t>
        </is>
      </c>
      <c r="M86" s="15"/>
      <c r="N86" s="15"/>
      <c r="O86" s="15">
        <v>1</v>
      </c>
      <c r="P86" s="10" t="str">
        <f>IF(L86="MISSING","MISSING",IF(O86=1,"PASS","DUPLICATE"))</f>
        <v>PASS</v>
      </c>
    </row>
    <row r="87" ht="22" customHeight="1">
      <c r="A87" s="15" t="inlineStr">
        <is>
          <t xml:space="preserve">Exodus 33</t>
        </is>
      </c>
      <c r="B87" s="15">
        <v>83</v>
      </c>
      <c r="C87" s="15" t="inlineStr">
        <is>
          <t xml:space="preserve">Old Testament</t>
        </is>
      </c>
      <c r="D87" s="15">
        <v>2</v>
      </c>
      <c r="E87" s="15" t="inlineStr">
        <is>
          <t xml:space="preserve">Exodus</t>
        </is>
      </c>
      <c r="F87" s="15">
        <v>33</v>
      </c>
      <c r="G87" s="15" t="inlineStr">
        <is>
          <t xml:space="preserve">v0.1</t>
        </is>
      </c>
      <c r="H87" s="15" t="inlineStr">
        <is>
          <t xml:space="preserve">Bible_Journey_Canon_Map_v0_1_Genesis_to_2Samuel.xlsx</t>
        </is>
      </c>
      <c r="I87" s="15" t="inlineStr">
        <is>
          <t xml:space="preserve">Chapter Map</t>
        </is>
      </c>
      <c r="J87" s="15" t="inlineStr">
        <is>
          <t xml:space="preserve">CRS-EXO-010</t>
        </is>
      </c>
      <c r="K87" s="15"/>
      <c r="L87" s="10" t="inlineStr">
        <is>
          <t xml:space="preserve">Mapped</t>
        </is>
      </c>
      <c r="M87" s="15"/>
      <c r="N87" s="15"/>
      <c r="O87" s="15">
        <v>1</v>
      </c>
      <c r="P87" s="10" t="str">
        <f>IF(L87="MISSING","MISSING",IF(O87=1,"PASS","DUPLICATE"))</f>
        <v>PASS</v>
      </c>
    </row>
    <row r="88" ht="22" customHeight="1">
      <c r="A88" s="15" t="inlineStr">
        <is>
          <t xml:space="preserve">Exodus 34</t>
        </is>
      </c>
      <c r="B88" s="15">
        <v>84</v>
      </c>
      <c r="C88" s="15" t="inlineStr">
        <is>
          <t xml:space="preserve">Old Testament</t>
        </is>
      </c>
      <c r="D88" s="15">
        <v>2</v>
      </c>
      <c r="E88" s="15" t="inlineStr">
        <is>
          <t xml:space="preserve">Exodus</t>
        </is>
      </c>
      <c r="F88" s="15">
        <v>34</v>
      </c>
      <c r="G88" s="15" t="inlineStr">
        <is>
          <t xml:space="preserve">v0.1</t>
        </is>
      </c>
      <c r="H88" s="15" t="inlineStr">
        <is>
          <t xml:space="preserve">Bible_Journey_Canon_Map_v0_1_Genesis_to_2Samuel.xlsx</t>
        </is>
      </c>
      <c r="I88" s="15" t="inlineStr">
        <is>
          <t xml:space="preserve">Chapter Map</t>
        </is>
      </c>
      <c r="J88" s="15" t="inlineStr">
        <is>
          <t xml:space="preserve">CRS-EXO-010</t>
        </is>
      </c>
      <c r="K88" s="15"/>
      <c r="L88" s="10" t="inlineStr">
        <is>
          <t xml:space="preserve">Mapped</t>
        </is>
      </c>
      <c r="M88" s="15"/>
      <c r="N88" s="15"/>
      <c r="O88" s="15">
        <v>1</v>
      </c>
      <c r="P88" s="10" t="str">
        <f>IF(L88="MISSING","MISSING",IF(O88=1,"PASS","DUPLICATE"))</f>
        <v>PASS</v>
      </c>
    </row>
    <row r="89" ht="22" customHeight="1">
      <c r="A89" s="15" t="inlineStr">
        <is>
          <t xml:space="preserve">Exodus 35</t>
        </is>
      </c>
      <c r="B89" s="15">
        <v>85</v>
      </c>
      <c r="C89" s="15" t="inlineStr">
        <is>
          <t xml:space="preserve">Old Testament</t>
        </is>
      </c>
      <c r="D89" s="15">
        <v>2</v>
      </c>
      <c r="E89" s="15" t="inlineStr">
        <is>
          <t xml:space="preserve">Exodus</t>
        </is>
      </c>
      <c r="F89" s="15">
        <v>35</v>
      </c>
      <c r="G89" s="15" t="inlineStr">
        <is>
          <t xml:space="preserve">v0.1</t>
        </is>
      </c>
      <c r="H89" s="15" t="inlineStr">
        <is>
          <t xml:space="preserve">Bible_Journey_Canon_Map_v0_1_Genesis_to_2Samuel.xlsx</t>
        </is>
      </c>
      <c r="I89" s="15" t="inlineStr">
        <is>
          <t xml:space="preserve">Chapter Map</t>
        </is>
      </c>
      <c r="J89" s="15" t="inlineStr">
        <is>
          <t xml:space="preserve">CRS-EXO-011</t>
        </is>
      </c>
      <c r="K89" s="15"/>
      <c r="L89" s="10" t="inlineStr">
        <is>
          <t xml:space="preserve">Mapped</t>
        </is>
      </c>
      <c r="M89" s="15"/>
      <c r="N89" s="15"/>
      <c r="O89" s="15">
        <v>1</v>
      </c>
      <c r="P89" s="10" t="str">
        <f>IF(L89="MISSING","MISSING",IF(O89=1,"PASS","DUPLICATE"))</f>
        <v>PASS</v>
      </c>
    </row>
    <row r="90" ht="22" customHeight="1">
      <c r="A90" s="15" t="inlineStr">
        <is>
          <t xml:space="preserve">Exodus 36</t>
        </is>
      </c>
      <c r="B90" s="15">
        <v>86</v>
      </c>
      <c r="C90" s="15" t="inlineStr">
        <is>
          <t xml:space="preserve">Old Testament</t>
        </is>
      </c>
      <c r="D90" s="15">
        <v>2</v>
      </c>
      <c r="E90" s="15" t="inlineStr">
        <is>
          <t xml:space="preserve">Exodus</t>
        </is>
      </c>
      <c r="F90" s="15">
        <v>36</v>
      </c>
      <c r="G90" s="15" t="inlineStr">
        <is>
          <t xml:space="preserve">v0.1</t>
        </is>
      </c>
      <c r="H90" s="15" t="inlineStr">
        <is>
          <t xml:space="preserve">Bible_Journey_Canon_Map_v0_1_Genesis_to_2Samuel.xlsx</t>
        </is>
      </c>
      <c r="I90" s="15" t="inlineStr">
        <is>
          <t xml:space="preserve">Chapter Map</t>
        </is>
      </c>
      <c r="J90" s="15" t="inlineStr">
        <is>
          <t xml:space="preserve">CRS-EXO-011</t>
        </is>
      </c>
      <c r="K90" s="15"/>
      <c r="L90" s="10" t="inlineStr">
        <is>
          <t xml:space="preserve">Mapped</t>
        </is>
      </c>
      <c r="M90" s="15"/>
      <c r="N90" s="15"/>
      <c r="O90" s="15">
        <v>1</v>
      </c>
      <c r="P90" s="10" t="str">
        <f>IF(L90="MISSING","MISSING",IF(O90=1,"PASS","DUPLICATE"))</f>
        <v>PASS</v>
      </c>
    </row>
    <row r="91" ht="22" customHeight="1">
      <c r="A91" s="15" t="inlineStr">
        <is>
          <t xml:space="preserve">Exodus 37</t>
        </is>
      </c>
      <c r="B91" s="15">
        <v>87</v>
      </c>
      <c r="C91" s="15" t="inlineStr">
        <is>
          <t xml:space="preserve">Old Testament</t>
        </is>
      </c>
      <c r="D91" s="15">
        <v>2</v>
      </c>
      <c r="E91" s="15" t="inlineStr">
        <is>
          <t xml:space="preserve">Exodus</t>
        </is>
      </c>
      <c r="F91" s="15">
        <v>37</v>
      </c>
      <c r="G91" s="15" t="inlineStr">
        <is>
          <t xml:space="preserve">v0.1</t>
        </is>
      </c>
      <c r="H91" s="15" t="inlineStr">
        <is>
          <t xml:space="preserve">Bible_Journey_Canon_Map_v0_1_Genesis_to_2Samuel.xlsx</t>
        </is>
      </c>
      <c r="I91" s="15" t="inlineStr">
        <is>
          <t xml:space="preserve">Chapter Map</t>
        </is>
      </c>
      <c r="J91" s="15" t="inlineStr">
        <is>
          <t xml:space="preserve">CRS-EXO-011</t>
        </is>
      </c>
      <c r="K91" s="15"/>
      <c r="L91" s="10" t="inlineStr">
        <is>
          <t xml:space="preserve">Mapped</t>
        </is>
      </c>
      <c r="M91" s="15"/>
      <c r="N91" s="15"/>
      <c r="O91" s="15">
        <v>1</v>
      </c>
      <c r="P91" s="10" t="str">
        <f>IF(L91="MISSING","MISSING",IF(O91=1,"PASS","DUPLICATE"))</f>
        <v>PASS</v>
      </c>
    </row>
    <row r="92" ht="22" customHeight="1">
      <c r="A92" s="15" t="inlineStr">
        <is>
          <t xml:space="preserve">Exodus 38</t>
        </is>
      </c>
      <c r="B92" s="15">
        <v>88</v>
      </c>
      <c r="C92" s="15" t="inlineStr">
        <is>
          <t xml:space="preserve">Old Testament</t>
        </is>
      </c>
      <c r="D92" s="15">
        <v>2</v>
      </c>
      <c r="E92" s="15" t="inlineStr">
        <is>
          <t xml:space="preserve">Exodus</t>
        </is>
      </c>
      <c r="F92" s="15">
        <v>38</v>
      </c>
      <c r="G92" s="15" t="inlineStr">
        <is>
          <t xml:space="preserve">v0.1</t>
        </is>
      </c>
      <c r="H92" s="15" t="inlineStr">
        <is>
          <t xml:space="preserve">Bible_Journey_Canon_Map_v0_1_Genesis_to_2Samuel.xlsx</t>
        </is>
      </c>
      <c r="I92" s="15" t="inlineStr">
        <is>
          <t xml:space="preserve">Chapter Map</t>
        </is>
      </c>
      <c r="J92" s="15" t="inlineStr">
        <is>
          <t xml:space="preserve">CRS-EXO-011</t>
        </is>
      </c>
      <c r="K92" s="15"/>
      <c r="L92" s="10" t="inlineStr">
        <is>
          <t xml:space="preserve">Mapped</t>
        </is>
      </c>
      <c r="M92" s="15"/>
      <c r="N92" s="15"/>
      <c r="O92" s="15">
        <v>1</v>
      </c>
      <c r="P92" s="10" t="str">
        <f>IF(L92="MISSING","MISSING",IF(O92=1,"PASS","DUPLICATE"))</f>
        <v>PASS</v>
      </c>
    </row>
    <row r="93" ht="22" customHeight="1">
      <c r="A93" s="15" t="inlineStr">
        <is>
          <t xml:space="preserve">Exodus 39</t>
        </is>
      </c>
      <c r="B93" s="15">
        <v>89</v>
      </c>
      <c r="C93" s="15" t="inlineStr">
        <is>
          <t xml:space="preserve">Old Testament</t>
        </is>
      </c>
      <c r="D93" s="15">
        <v>2</v>
      </c>
      <c r="E93" s="15" t="inlineStr">
        <is>
          <t xml:space="preserve">Exodus</t>
        </is>
      </c>
      <c r="F93" s="15">
        <v>39</v>
      </c>
      <c r="G93" s="15" t="inlineStr">
        <is>
          <t xml:space="preserve">v0.1</t>
        </is>
      </c>
      <c r="H93" s="15" t="inlineStr">
        <is>
          <t xml:space="preserve">Bible_Journey_Canon_Map_v0_1_Genesis_to_2Samuel.xlsx</t>
        </is>
      </c>
      <c r="I93" s="15" t="inlineStr">
        <is>
          <t xml:space="preserve">Chapter Map</t>
        </is>
      </c>
      <c r="J93" s="15" t="inlineStr">
        <is>
          <t xml:space="preserve">CRS-EXO-011</t>
        </is>
      </c>
      <c r="K93" s="15"/>
      <c r="L93" s="10" t="inlineStr">
        <is>
          <t xml:space="preserve">Mapped</t>
        </is>
      </c>
      <c r="M93" s="15"/>
      <c r="N93" s="15"/>
      <c r="O93" s="15">
        <v>1</v>
      </c>
      <c r="P93" s="10" t="str">
        <f>IF(L93="MISSING","MISSING",IF(O93=1,"PASS","DUPLICATE"))</f>
        <v>PASS</v>
      </c>
    </row>
    <row r="94" ht="22" customHeight="1">
      <c r="A94" s="15" t="inlineStr">
        <is>
          <t xml:space="preserve">Exodus 40</t>
        </is>
      </c>
      <c r="B94" s="15">
        <v>90</v>
      </c>
      <c r="C94" s="15" t="inlineStr">
        <is>
          <t xml:space="preserve">Old Testament</t>
        </is>
      </c>
      <c r="D94" s="15">
        <v>2</v>
      </c>
      <c r="E94" s="15" t="inlineStr">
        <is>
          <t xml:space="preserve">Exodus</t>
        </is>
      </c>
      <c r="F94" s="15">
        <v>40</v>
      </c>
      <c r="G94" s="15" t="inlineStr">
        <is>
          <t xml:space="preserve">v0.1</t>
        </is>
      </c>
      <c r="H94" s="15" t="inlineStr">
        <is>
          <t xml:space="preserve">Bible_Journey_Canon_Map_v0_1_Genesis_to_2Samuel.xlsx</t>
        </is>
      </c>
      <c r="I94" s="15" t="inlineStr">
        <is>
          <t xml:space="preserve">Chapter Map</t>
        </is>
      </c>
      <c r="J94" s="15" t="inlineStr">
        <is>
          <t xml:space="preserve">CRS-EXO-011</t>
        </is>
      </c>
      <c r="K94" s="15"/>
      <c r="L94" s="10" t="inlineStr">
        <is>
          <t xml:space="preserve">Mapped</t>
        </is>
      </c>
      <c r="M94" s="15"/>
      <c r="N94" s="15"/>
      <c r="O94" s="15">
        <v>1</v>
      </c>
      <c r="P94" s="10" t="str">
        <f>IF(L94="MISSING","MISSING",IF(O94=1,"PASS","DUPLICATE"))</f>
        <v>PASS</v>
      </c>
    </row>
    <row r="95" ht="22" customHeight="1">
      <c r="A95" s="15" t="inlineStr">
        <is>
          <t xml:space="preserve">Leviticus 1</t>
        </is>
      </c>
      <c r="B95" s="15">
        <v>91</v>
      </c>
      <c r="C95" s="15" t="inlineStr">
        <is>
          <t xml:space="preserve">Old Testament</t>
        </is>
      </c>
      <c r="D95" s="15">
        <v>3</v>
      </c>
      <c r="E95" s="15" t="inlineStr">
        <is>
          <t xml:space="preserve">Leviticus</t>
        </is>
      </c>
      <c r="F95" s="15">
        <v>1</v>
      </c>
      <c r="G95" s="15" t="inlineStr">
        <is>
          <t xml:space="preserve">v0.1</t>
        </is>
      </c>
      <c r="H95" s="15" t="inlineStr">
        <is>
          <t xml:space="preserve">Bible_Journey_Canon_Map_v0_1_Genesis_to_2Samuel.xlsx</t>
        </is>
      </c>
      <c r="I95" s="15" t="inlineStr">
        <is>
          <t xml:space="preserve">Chapter Map</t>
        </is>
      </c>
      <c r="J95" s="15" t="inlineStr">
        <is>
          <t xml:space="preserve">CRS-LEV-001</t>
        </is>
      </c>
      <c r="K95" s="15"/>
      <c r="L95" s="10" t="inlineStr">
        <is>
          <t xml:space="preserve">Mapped</t>
        </is>
      </c>
      <c r="M95" s="15"/>
      <c r="N95" s="15"/>
      <c r="O95" s="15">
        <v>1</v>
      </c>
      <c r="P95" s="10" t="str">
        <f>IF(L95="MISSING","MISSING",IF(O95=1,"PASS","DUPLICATE"))</f>
        <v>PASS</v>
      </c>
    </row>
    <row r="96" ht="22" customHeight="1">
      <c r="A96" s="15" t="inlineStr">
        <is>
          <t xml:space="preserve">Leviticus 2</t>
        </is>
      </c>
      <c r="B96" s="15">
        <v>92</v>
      </c>
      <c r="C96" s="15" t="inlineStr">
        <is>
          <t xml:space="preserve">Old Testament</t>
        </is>
      </c>
      <c r="D96" s="15">
        <v>3</v>
      </c>
      <c r="E96" s="15" t="inlineStr">
        <is>
          <t xml:space="preserve">Leviticus</t>
        </is>
      </c>
      <c r="F96" s="15">
        <v>2</v>
      </c>
      <c r="G96" s="15" t="inlineStr">
        <is>
          <t xml:space="preserve">v0.1</t>
        </is>
      </c>
      <c r="H96" s="15" t="inlineStr">
        <is>
          <t xml:space="preserve">Bible_Journey_Canon_Map_v0_1_Genesis_to_2Samuel.xlsx</t>
        </is>
      </c>
      <c r="I96" s="15" t="inlineStr">
        <is>
          <t xml:space="preserve">Chapter Map</t>
        </is>
      </c>
      <c r="J96" s="15" t="inlineStr">
        <is>
          <t xml:space="preserve">CRS-LEV-001</t>
        </is>
      </c>
      <c r="K96" s="15"/>
      <c r="L96" s="10" t="inlineStr">
        <is>
          <t xml:space="preserve">Mapped</t>
        </is>
      </c>
      <c r="M96" s="15"/>
      <c r="N96" s="15"/>
      <c r="O96" s="15">
        <v>1</v>
      </c>
      <c r="P96" s="10" t="str">
        <f>IF(L96="MISSING","MISSING",IF(O96=1,"PASS","DUPLICATE"))</f>
        <v>PASS</v>
      </c>
    </row>
    <row r="97" ht="22" customHeight="1">
      <c r="A97" s="15" t="inlineStr">
        <is>
          <t xml:space="preserve">Leviticus 3</t>
        </is>
      </c>
      <c r="B97" s="15">
        <v>93</v>
      </c>
      <c r="C97" s="15" t="inlineStr">
        <is>
          <t xml:space="preserve">Old Testament</t>
        </is>
      </c>
      <c r="D97" s="15">
        <v>3</v>
      </c>
      <c r="E97" s="15" t="inlineStr">
        <is>
          <t xml:space="preserve">Leviticus</t>
        </is>
      </c>
      <c r="F97" s="15">
        <v>3</v>
      </c>
      <c r="G97" s="15" t="inlineStr">
        <is>
          <t xml:space="preserve">v0.1</t>
        </is>
      </c>
      <c r="H97" s="15" t="inlineStr">
        <is>
          <t xml:space="preserve">Bible_Journey_Canon_Map_v0_1_Genesis_to_2Samuel.xlsx</t>
        </is>
      </c>
      <c r="I97" s="15" t="inlineStr">
        <is>
          <t xml:space="preserve">Chapter Map</t>
        </is>
      </c>
      <c r="J97" s="15" t="inlineStr">
        <is>
          <t xml:space="preserve">CRS-LEV-001</t>
        </is>
      </c>
      <c r="K97" s="15"/>
      <c r="L97" s="10" t="inlineStr">
        <is>
          <t xml:space="preserve">Mapped</t>
        </is>
      </c>
      <c r="M97" s="15"/>
      <c r="N97" s="15"/>
      <c r="O97" s="15">
        <v>1</v>
      </c>
      <c r="P97" s="10" t="str">
        <f>IF(L97="MISSING","MISSING",IF(O97=1,"PASS","DUPLICATE"))</f>
        <v>PASS</v>
      </c>
    </row>
    <row r="98" ht="22" customHeight="1">
      <c r="A98" s="15" t="inlineStr">
        <is>
          <t xml:space="preserve">Leviticus 4</t>
        </is>
      </c>
      <c r="B98" s="15">
        <v>94</v>
      </c>
      <c r="C98" s="15" t="inlineStr">
        <is>
          <t xml:space="preserve">Old Testament</t>
        </is>
      </c>
      <c r="D98" s="15">
        <v>3</v>
      </c>
      <c r="E98" s="15" t="inlineStr">
        <is>
          <t xml:space="preserve">Leviticus</t>
        </is>
      </c>
      <c r="F98" s="15">
        <v>4</v>
      </c>
      <c r="G98" s="15" t="inlineStr">
        <is>
          <t xml:space="preserve">v0.1</t>
        </is>
      </c>
      <c r="H98" s="15" t="inlineStr">
        <is>
          <t xml:space="preserve">Bible_Journey_Canon_Map_v0_1_Genesis_to_2Samuel.xlsx</t>
        </is>
      </c>
      <c r="I98" s="15" t="inlineStr">
        <is>
          <t xml:space="preserve">Chapter Map</t>
        </is>
      </c>
      <c r="J98" s="15" t="inlineStr">
        <is>
          <t xml:space="preserve">CRS-LEV-001</t>
        </is>
      </c>
      <c r="K98" s="15"/>
      <c r="L98" s="10" t="inlineStr">
        <is>
          <t xml:space="preserve">Mapped</t>
        </is>
      </c>
      <c r="M98" s="15"/>
      <c r="N98" s="15"/>
      <c r="O98" s="15">
        <v>1</v>
      </c>
      <c r="P98" s="10" t="str">
        <f>IF(L98="MISSING","MISSING",IF(O98=1,"PASS","DUPLICATE"))</f>
        <v>PASS</v>
      </c>
    </row>
    <row r="99" ht="22" customHeight="1">
      <c r="A99" s="15" t="inlineStr">
        <is>
          <t xml:space="preserve">Leviticus 5</t>
        </is>
      </c>
      <c r="B99" s="15">
        <v>95</v>
      </c>
      <c r="C99" s="15" t="inlineStr">
        <is>
          <t xml:space="preserve">Old Testament</t>
        </is>
      </c>
      <c r="D99" s="15">
        <v>3</v>
      </c>
      <c r="E99" s="15" t="inlineStr">
        <is>
          <t xml:space="preserve">Leviticus</t>
        </is>
      </c>
      <c r="F99" s="15">
        <v>5</v>
      </c>
      <c r="G99" s="15" t="inlineStr">
        <is>
          <t xml:space="preserve">v0.1</t>
        </is>
      </c>
      <c r="H99" s="15" t="inlineStr">
        <is>
          <t xml:space="preserve">Bible_Journey_Canon_Map_v0_1_Genesis_to_2Samuel.xlsx</t>
        </is>
      </c>
      <c r="I99" s="15" t="inlineStr">
        <is>
          <t xml:space="preserve">Chapter Map</t>
        </is>
      </c>
      <c r="J99" s="15" t="inlineStr">
        <is>
          <t xml:space="preserve">CRS-LEV-001</t>
        </is>
      </c>
      <c r="K99" s="15"/>
      <c r="L99" s="10" t="inlineStr">
        <is>
          <t xml:space="preserve">Mapped</t>
        </is>
      </c>
      <c r="M99" s="15"/>
      <c r="N99" s="15"/>
      <c r="O99" s="15">
        <v>1</v>
      </c>
      <c r="P99" s="10" t="str">
        <f>IF(L99="MISSING","MISSING",IF(O99=1,"PASS","DUPLICATE"))</f>
        <v>PASS</v>
      </c>
    </row>
    <row r="100" ht="22" customHeight="1">
      <c r="A100" s="15" t="inlineStr">
        <is>
          <t xml:space="preserve">Leviticus 6</t>
        </is>
      </c>
      <c r="B100" s="15">
        <v>96</v>
      </c>
      <c r="C100" s="15" t="inlineStr">
        <is>
          <t xml:space="preserve">Old Testament</t>
        </is>
      </c>
      <c r="D100" s="15">
        <v>3</v>
      </c>
      <c r="E100" s="15" t="inlineStr">
        <is>
          <t xml:space="preserve">Leviticus</t>
        </is>
      </c>
      <c r="F100" s="15">
        <v>6</v>
      </c>
      <c r="G100" s="15" t="inlineStr">
        <is>
          <t xml:space="preserve">v0.1</t>
        </is>
      </c>
      <c r="H100" s="15" t="inlineStr">
        <is>
          <t xml:space="preserve">Bible_Journey_Canon_Map_v0_1_Genesis_to_2Samuel.xlsx</t>
        </is>
      </c>
      <c r="I100" s="15" t="inlineStr">
        <is>
          <t xml:space="preserve">Chapter Map</t>
        </is>
      </c>
      <c r="J100" s="15" t="inlineStr">
        <is>
          <t xml:space="preserve">CRS-LEV-001</t>
        </is>
      </c>
      <c r="K100" s="15"/>
      <c r="L100" s="10" t="inlineStr">
        <is>
          <t xml:space="preserve">Mapped</t>
        </is>
      </c>
      <c r="M100" s="15"/>
      <c r="N100" s="15"/>
      <c r="O100" s="15">
        <v>1</v>
      </c>
      <c r="P100" s="10" t="str">
        <f>IF(L100="MISSING","MISSING",IF(O100=1,"PASS","DUPLICATE"))</f>
        <v>PASS</v>
      </c>
    </row>
    <row r="101" ht="22" customHeight="1">
      <c r="A101" s="15" t="inlineStr">
        <is>
          <t xml:space="preserve">Leviticus 7</t>
        </is>
      </c>
      <c r="B101" s="15">
        <v>97</v>
      </c>
      <c r="C101" s="15" t="inlineStr">
        <is>
          <t xml:space="preserve">Old Testament</t>
        </is>
      </c>
      <c r="D101" s="15">
        <v>3</v>
      </c>
      <c r="E101" s="15" t="inlineStr">
        <is>
          <t xml:space="preserve">Leviticus</t>
        </is>
      </c>
      <c r="F101" s="15">
        <v>7</v>
      </c>
      <c r="G101" s="15" t="inlineStr">
        <is>
          <t xml:space="preserve">v0.1</t>
        </is>
      </c>
      <c r="H101" s="15" t="inlineStr">
        <is>
          <t xml:space="preserve">Bible_Journey_Canon_Map_v0_1_Genesis_to_2Samuel.xlsx</t>
        </is>
      </c>
      <c r="I101" s="15" t="inlineStr">
        <is>
          <t xml:space="preserve">Chapter Map</t>
        </is>
      </c>
      <c r="J101" s="15" t="inlineStr">
        <is>
          <t xml:space="preserve">CRS-LEV-001</t>
        </is>
      </c>
      <c r="K101" s="15"/>
      <c r="L101" s="10" t="inlineStr">
        <is>
          <t xml:space="preserve">Mapped</t>
        </is>
      </c>
      <c r="M101" s="15"/>
      <c r="N101" s="15"/>
      <c r="O101" s="15">
        <v>1</v>
      </c>
      <c r="P101" s="10" t="str">
        <f>IF(L101="MISSING","MISSING",IF(O101=1,"PASS","DUPLICATE"))</f>
        <v>PASS</v>
      </c>
    </row>
    <row r="102" ht="22" customHeight="1">
      <c r="A102" s="15" t="inlineStr">
        <is>
          <t xml:space="preserve">Leviticus 8</t>
        </is>
      </c>
      <c r="B102" s="15">
        <v>98</v>
      </c>
      <c r="C102" s="15" t="inlineStr">
        <is>
          <t xml:space="preserve">Old Testament</t>
        </is>
      </c>
      <c r="D102" s="15">
        <v>3</v>
      </c>
      <c r="E102" s="15" t="inlineStr">
        <is>
          <t xml:space="preserve">Leviticus</t>
        </is>
      </c>
      <c r="F102" s="15">
        <v>8</v>
      </c>
      <c r="G102" s="15" t="inlineStr">
        <is>
          <t xml:space="preserve">v0.1</t>
        </is>
      </c>
      <c r="H102" s="15" t="inlineStr">
        <is>
          <t xml:space="preserve">Bible_Journey_Canon_Map_v0_1_Genesis_to_2Samuel.xlsx</t>
        </is>
      </c>
      <c r="I102" s="15" t="inlineStr">
        <is>
          <t xml:space="preserve">Chapter Map</t>
        </is>
      </c>
      <c r="J102" s="15" t="inlineStr">
        <is>
          <t xml:space="preserve">CRS-LEV-002</t>
        </is>
      </c>
      <c r="K102" s="15"/>
      <c r="L102" s="10" t="inlineStr">
        <is>
          <t xml:space="preserve">Mapped</t>
        </is>
      </c>
      <c r="M102" s="15"/>
      <c r="N102" s="15"/>
      <c r="O102" s="15">
        <v>1</v>
      </c>
      <c r="P102" s="10" t="str">
        <f>IF(L102="MISSING","MISSING",IF(O102=1,"PASS","DUPLICATE"))</f>
        <v>PASS</v>
      </c>
    </row>
    <row r="103" ht="22" customHeight="1">
      <c r="A103" s="15" t="inlineStr">
        <is>
          <t xml:space="preserve">Leviticus 9</t>
        </is>
      </c>
      <c r="B103" s="15">
        <v>99</v>
      </c>
      <c r="C103" s="15" t="inlineStr">
        <is>
          <t xml:space="preserve">Old Testament</t>
        </is>
      </c>
      <c r="D103" s="15">
        <v>3</v>
      </c>
      <c r="E103" s="15" t="inlineStr">
        <is>
          <t xml:space="preserve">Leviticus</t>
        </is>
      </c>
      <c r="F103" s="15">
        <v>9</v>
      </c>
      <c r="G103" s="15" t="inlineStr">
        <is>
          <t xml:space="preserve">v0.1</t>
        </is>
      </c>
      <c r="H103" s="15" t="inlineStr">
        <is>
          <t xml:space="preserve">Bible_Journey_Canon_Map_v0_1_Genesis_to_2Samuel.xlsx</t>
        </is>
      </c>
      <c r="I103" s="15" t="inlineStr">
        <is>
          <t xml:space="preserve">Chapter Map</t>
        </is>
      </c>
      <c r="J103" s="15" t="inlineStr">
        <is>
          <t xml:space="preserve">CRS-LEV-002</t>
        </is>
      </c>
      <c r="K103" s="15"/>
      <c r="L103" s="10" t="inlineStr">
        <is>
          <t xml:space="preserve">Mapped</t>
        </is>
      </c>
      <c r="M103" s="15"/>
      <c r="N103" s="15"/>
      <c r="O103" s="15">
        <v>1</v>
      </c>
      <c r="P103" s="10" t="str">
        <f>IF(L103="MISSING","MISSING",IF(O103=1,"PASS","DUPLICATE"))</f>
        <v>PASS</v>
      </c>
    </row>
    <row r="104" ht="22" customHeight="1">
      <c r="A104" s="15" t="inlineStr">
        <is>
          <t xml:space="preserve">Leviticus 10</t>
        </is>
      </c>
      <c r="B104" s="15">
        <v>100</v>
      </c>
      <c r="C104" s="15" t="inlineStr">
        <is>
          <t xml:space="preserve">Old Testament</t>
        </is>
      </c>
      <c r="D104" s="15">
        <v>3</v>
      </c>
      <c r="E104" s="15" t="inlineStr">
        <is>
          <t xml:space="preserve">Leviticus</t>
        </is>
      </c>
      <c r="F104" s="15">
        <v>10</v>
      </c>
      <c r="G104" s="15" t="inlineStr">
        <is>
          <t xml:space="preserve">v0.1</t>
        </is>
      </c>
      <c r="H104" s="15" t="inlineStr">
        <is>
          <t xml:space="preserve">Bible_Journey_Canon_Map_v0_1_Genesis_to_2Samuel.xlsx</t>
        </is>
      </c>
      <c r="I104" s="15" t="inlineStr">
        <is>
          <t xml:space="preserve">Chapter Map</t>
        </is>
      </c>
      <c r="J104" s="15" t="inlineStr">
        <is>
          <t xml:space="preserve">CRS-LEV-002</t>
        </is>
      </c>
      <c r="K104" s="15"/>
      <c r="L104" s="10" t="inlineStr">
        <is>
          <t xml:space="preserve">Mapped</t>
        </is>
      </c>
      <c r="M104" s="15"/>
      <c r="N104" s="15"/>
      <c r="O104" s="15">
        <v>1</v>
      </c>
      <c r="P104" s="10" t="str">
        <f>IF(L104="MISSING","MISSING",IF(O104=1,"PASS","DUPLICATE"))</f>
        <v>PASS</v>
      </c>
    </row>
    <row r="105" ht="22" customHeight="1">
      <c r="A105" s="15" t="inlineStr">
        <is>
          <t xml:space="preserve">Leviticus 11</t>
        </is>
      </c>
      <c r="B105" s="15">
        <v>101</v>
      </c>
      <c r="C105" s="15" t="inlineStr">
        <is>
          <t xml:space="preserve">Old Testament</t>
        </is>
      </c>
      <c r="D105" s="15">
        <v>3</v>
      </c>
      <c r="E105" s="15" t="inlineStr">
        <is>
          <t xml:space="preserve">Leviticus</t>
        </is>
      </c>
      <c r="F105" s="15">
        <v>11</v>
      </c>
      <c r="G105" s="15" t="inlineStr">
        <is>
          <t xml:space="preserve">v0.1</t>
        </is>
      </c>
      <c r="H105" s="15" t="inlineStr">
        <is>
          <t xml:space="preserve">Bible_Journey_Canon_Map_v0_1_Genesis_to_2Samuel.xlsx</t>
        </is>
      </c>
      <c r="I105" s="15" t="inlineStr">
        <is>
          <t xml:space="preserve">Chapter Map</t>
        </is>
      </c>
      <c r="J105" s="15" t="inlineStr">
        <is>
          <t xml:space="preserve">CRS-LEV-003</t>
        </is>
      </c>
      <c r="K105" s="15"/>
      <c r="L105" s="10" t="inlineStr">
        <is>
          <t xml:space="preserve">Mapped</t>
        </is>
      </c>
      <c r="M105" s="15"/>
      <c r="N105" s="15"/>
      <c r="O105" s="15">
        <v>1</v>
      </c>
      <c r="P105" s="10" t="str">
        <f>IF(L105="MISSING","MISSING",IF(O105=1,"PASS","DUPLICATE"))</f>
        <v>PASS</v>
      </c>
    </row>
    <row r="106" ht="22" customHeight="1">
      <c r="A106" s="15" t="inlineStr">
        <is>
          <t xml:space="preserve">Leviticus 12</t>
        </is>
      </c>
      <c r="B106" s="15">
        <v>102</v>
      </c>
      <c r="C106" s="15" t="inlineStr">
        <is>
          <t xml:space="preserve">Old Testament</t>
        </is>
      </c>
      <c r="D106" s="15">
        <v>3</v>
      </c>
      <c r="E106" s="15" t="inlineStr">
        <is>
          <t xml:space="preserve">Leviticus</t>
        </is>
      </c>
      <c r="F106" s="15">
        <v>12</v>
      </c>
      <c r="G106" s="15" t="inlineStr">
        <is>
          <t xml:space="preserve">v0.1</t>
        </is>
      </c>
      <c r="H106" s="15" t="inlineStr">
        <is>
          <t xml:space="preserve">Bible_Journey_Canon_Map_v0_1_Genesis_to_2Samuel.xlsx</t>
        </is>
      </c>
      <c r="I106" s="15" t="inlineStr">
        <is>
          <t xml:space="preserve">Chapter Map</t>
        </is>
      </c>
      <c r="J106" s="15" t="inlineStr">
        <is>
          <t xml:space="preserve">CRS-LEV-003</t>
        </is>
      </c>
      <c r="K106" s="15"/>
      <c r="L106" s="10" t="inlineStr">
        <is>
          <t xml:space="preserve">Mapped</t>
        </is>
      </c>
      <c r="M106" s="15"/>
      <c r="N106" s="15"/>
      <c r="O106" s="15">
        <v>1</v>
      </c>
      <c r="P106" s="10" t="str">
        <f>IF(L106="MISSING","MISSING",IF(O106=1,"PASS","DUPLICATE"))</f>
        <v>PASS</v>
      </c>
    </row>
    <row r="107" ht="22" customHeight="1">
      <c r="A107" s="15" t="inlineStr">
        <is>
          <t xml:space="preserve">Leviticus 13</t>
        </is>
      </c>
      <c r="B107" s="15">
        <v>103</v>
      </c>
      <c r="C107" s="15" t="inlineStr">
        <is>
          <t xml:space="preserve">Old Testament</t>
        </is>
      </c>
      <c r="D107" s="15">
        <v>3</v>
      </c>
      <c r="E107" s="15" t="inlineStr">
        <is>
          <t xml:space="preserve">Leviticus</t>
        </is>
      </c>
      <c r="F107" s="15">
        <v>13</v>
      </c>
      <c r="G107" s="15" t="inlineStr">
        <is>
          <t xml:space="preserve">v0.1</t>
        </is>
      </c>
      <c r="H107" s="15" t="inlineStr">
        <is>
          <t xml:space="preserve">Bible_Journey_Canon_Map_v0_1_Genesis_to_2Samuel.xlsx</t>
        </is>
      </c>
      <c r="I107" s="15" t="inlineStr">
        <is>
          <t xml:space="preserve">Chapter Map</t>
        </is>
      </c>
      <c r="J107" s="15" t="inlineStr">
        <is>
          <t xml:space="preserve">CRS-LEV-003</t>
        </is>
      </c>
      <c r="K107" s="15"/>
      <c r="L107" s="10" t="inlineStr">
        <is>
          <t xml:space="preserve">Mapped</t>
        </is>
      </c>
      <c r="M107" s="15"/>
      <c r="N107" s="15"/>
      <c r="O107" s="15">
        <v>1</v>
      </c>
      <c r="P107" s="10" t="str">
        <f>IF(L107="MISSING","MISSING",IF(O107=1,"PASS","DUPLICATE"))</f>
        <v>PASS</v>
      </c>
    </row>
    <row r="108" ht="22" customHeight="1">
      <c r="A108" s="15" t="inlineStr">
        <is>
          <t xml:space="preserve">Leviticus 14</t>
        </is>
      </c>
      <c r="B108" s="15">
        <v>104</v>
      </c>
      <c r="C108" s="15" t="inlineStr">
        <is>
          <t xml:space="preserve">Old Testament</t>
        </is>
      </c>
      <c r="D108" s="15">
        <v>3</v>
      </c>
      <c r="E108" s="15" t="inlineStr">
        <is>
          <t xml:space="preserve">Leviticus</t>
        </is>
      </c>
      <c r="F108" s="15">
        <v>14</v>
      </c>
      <c r="G108" s="15" t="inlineStr">
        <is>
          <t xml:space="preserve">v0.1</t>
        </is>
      </c>
      <c r="H108" s="15" t="inlineStr">
        <is>
          <t xml:space="preserve">Bible_Journey_Canon_Map_v0_1_Genesis_to_2Samuel.xlsx</t>
        </is>
      </c>
      <c r="I108" s="15" t="inlineStr">
        <is>
          <t xml:space="preserve">Chapter Map</t>
        </is>
      </c>
      <c r="J108" s="15" t="inlineStr">
        <is>
          <t xml:space="preserve">CRS-LEV-003</t>
        </is>
      </c>
      <c r="K108" s="15"/>
      <c r="L108" s="10" t="inlineStr">
        <is>
          <t xml:space="preserve">Mapped</t>
        </is>
      </c>
      <c r="M108" s="15"/>
      <c r="N108" s="15"/>
      <c r="O108" s="15">
        <v>1</v>
      </c>
      <c r="P108" s="10" t="str">
        <f>IF(L108="MISSING","MISSING",IF(O108=1,"PASS","DUPLICATE"))</f>
        <v>PASS</v>
      </c>
    </row>
    <row r="109" ht="22" customHeight="1">
      <c r="A109" s="15" t="inlineStr">
        <is>
          <t xml:space="preserve">Leviticus 15</t>
        </is>
      </c>
      <c r="B109" s="15">
        <v>105</v>
      </c>
      <c r="C109" s="15" t="inlineStr">
        <is>
          <t xml:space="preserve">Old Testament</t>
        </is>
      </c>
      <c r="D109" s="15">
        <v>3</v>
      </c>
      <c r="E109" s="15" t="inlineStr">
        <is>
          <t xml:space="preserve">Leviticus</t>
        </is>
      </c>
      <c r="F109" s="15">
        <v>15</v>
      </c>
      <c r="G109" s="15" t="inlineStr">
        <is>
          <t xml:space="preserve">v0.1</t>
        </is>
      </c>
      <c r="H109" s="15" t="inlineStr">
        <is>
          <t xml:space="preserve">Bible_Journey_Canon_Map_v0_1_Genesis_to_2Samuel.xlsx</t>
        </is>
      </c>
      <c r="I109" s="15" t="inlineStr">
        <is>
          <t xml:space="preserve">Chapter Map</t>
        </is>
      </c>
      <c r="J109" s="15" t="inlineStr">
        <is>
          <t xml:space="preserve">CRS-LEV-003</t>
        </is>
      </c>
      <c r="K109" s="15"/>
      <c r="L109" s="10" t="inlineStr">
        <is>
          <t xml:space="preserve">Mapped</t>
        </is>
      </c>
      <c r="M109" s="15"/>
      <c r="N109" s="15"/>
      <c r="O109" s="15">
        <v>1</v>
      </c>
      <c r="P109" s="10" t="str">
        <f>IF(L109="MISSING","MISSING",IF(O109=1,"PASS","DUPLICATE"))</f>
        <v>PASS</v>
      </c>
    </row>
    <row r="110" ht="22" customHeight="1">
      <c r="A110" s="15" t="inlineStr">
        <is>
          <t xml:space="preserve">Leviticus 16</t>
        </is>
      </c>
      <c r="B110" s="15">
        <v>106</v>
      </c>
      <c r="C110" s="15" t="inlineStr">
        <is>
          <t xml:space="preserve">Old Testament</t>
        </is>
      </c>
      <c r="D110" s="15">
        <v>3</v>
      </c>
      <c r="E110" s="15" t="inlineStr">
        <is>
          <t xml:space="preserve">Leviticus</t>
        </is>
      </c>
      <c r="F110" s="15">
        <v>16</v>
      </c>
      <c r="G110" s="15" t="inlineStr">
        <is>
          <t xml:space="preserve">v0.1</t>
        </is>
      </c>
      <c r="H110" s="15" t="inlineStr">
        <is>
          <t xml:space="preserve">Bible_Journey_Canon_Map_v0_1_Genesis_to_2Samuel.xlsx</t>
        </is>
      </c>
      <c r="I110" s="15" t="inlineStr">
        <is>
          <t xml:space="preserve">Chapter Map</t>
        </is>
      </c>
      <c r="J110" s="15" t="inlineStr">
        <is>
          <t xml:space="preserve">CRS-LEV-004</t>
        </is>
      </c>
      <c r="K110" s="15"/>
      <c r="L110" s="10" t="inlineStr">
        <is>
          <t xml:space="preserve">Mapped</t>
        </is>
      </c>
      <c r="M110" s="15"/>
      <c r="N110" s="15"/>
      <c r="O110" s="15">
        <v>1</v>
      </c>
      <c r="P110" s="10" t="str">
        <f>IF(L110="MISSING","MISSING",IF(O110=1,"PASS","DUPLICATE"))</f>
        <v>PASS</v>
      </c>
    </row>
    <row r="111" ht="22" customHeight="1">
      <c r="A111" s="15" t="inlineStr">
        <is>
          <t xml:space="preserve">Leviticus 17</t>
        </is>
      </c>
      <c r="B111" s="15">
        <v>107</v>
      </c>
      <c r="C111" s="15" t="inlineStr">
        <is>
          <t xml:space="preserve">Old Testament</t>
        </is>
      </c>
      <c r="D111" s="15">
        <v>3</v>
      </c>
      <c r="E111" s="15" t="inlineStr">
        <is>
          <t xml:space="preserve">Leviticus</t>
        </is>
      </c>
      <c r="F111" s="15">
        <v>17</v>
      </c>
      <c r="G111" s="15" t="inlineStr">
        <is>
          <t xml:space="preserve">v0.1</t>
        </is>
      </c>
      <c r="H111" s="15" t="inlineStr">
        <is>
          <t xml:space="preserve">Bible_Journey_Canon_Map_v0_1_Genesis_to_2Samuel.xlsx</t>
        </is>
      </c>
      <c r="I111" s="15" t="inlineStr">
        <is>
          <t xml:space="preserve">Chapter Map</t>
        </is>
      </c>
      <c r="J111" s="15" t="inlineStr">
        <is>
          <t xml:space="preserve">CRS-LEV-005</t>
        </is>
      </c>
      <c r="K111" s="15"/>
      <c r="L111" s="10" t="inlineStr">
        <is>
          <t xml:space="preserve">Mapped</t>
        </is>
      </c>
      <c r="M111" s="15"/>
      <c r="N111" s="15"/>
      <c r="O111" s="15">
        <v>1</v>
      </c>
      <c r="P111" s="10" t="str">
        <f>IF(L111="MISSING","MISSING",IF(O111=1,"PASS","DUPLICATE"))</f>
        <v>PASS</v>
      </c>
    </row>
    <row r="112" ht="22" customHeight="1">
      <c r="A112" s="15" t="inlineStr">
        <is>
          <t xml:space="preserve">Leviticus 18</t>
        </is>
      </c>
      <c r="B112" s="15">
        <v>108</v>
      </c>
      <c r="C112" s="15" t="inlineStr">
        <is>
          <t xml:space="preserve">Old Testament</t>
        </is>
      </c>
      <c r="D112" s="15">
        <v>3</v>
      </c>
      <c r="E112" s="15" t="inlineStr">
        <is>
          <t xml:space="preserve">Leviticus</t>
        </is>
      </c>
      <c r="F112" s="15">
        <v>18</v>
      </c>
      <c r="G112" s="15" t="inlineStr">
        <is>
          <t xml:space="preserve">v0.1</t>
        </is>
      </c>
      <c r="H112" s="15" t="inlineStr">
        <is>
          <t xml:space="preserve">Bible_Journey_Canon_Map_v0_1_Genesis_to_2Samuel.xlsx</t>
        </is>
      </c>
      <c r="I112" s="15" t="inlineStr">
        <is>
          <t xml:space="preserve">Chapter Map</t>
        </is>
      </c>
      <c r="J112" s="15" t="inlineStr">
        <is>
          <t xml:space="preserve">CRS-LEV-005</t>
        </is>
      </c>
      <c r="K112" s="15"/>
      <c r="L112" s="10" t="inlineStr">
        <is>
          <t xml:space="preserve">Mapped</t>
        </is>
      </c>
      <c r="M112" s="15"/>
      <c r="N112" s="15"/>
      <c r="O112" s="15">
        <v>1</v>
      </c>
      <c r="P112" s="10" t="str">
        <f>IF(L112="MISSING","MISSING",IF(O112=1,"PASS","DUPLICATE"))</f>
        <v>PASS</v>
      </c>
    </row>
    <row r="113" ht="22" customHeight="1">
      <c r="A113" s="15" t="inlineStr">
        <is>
          <t xml:space="preserve">Leviticus 19</t>
        </is>
      </c>
      <c r="B113" s="15">
        <v>109</v>
      </c>
      <c r="C113" s="15" t="inlineStr">
        <is>
          <t xml:space="preserve">Old Testament</t>
        </is>
      </c>
      <c r="D113" s="15">
        <v>3</v>
      </c>
      <c r="E113" s="15" t="inlineStr">
        <is>
          <t xml:space="preserve">Leviticus</t>
        </is>
      </c>
      <c r="F113" s="15">
        <v>19</v>
      </c>
      <c r="G113" s="15" t="inlineStr">
        <is>
          <t xml:space="preserve">v0.1</t>
        </is>
      </c>
      <c r="H113" s="15" t="inlineStr">
        <is>
          <t xml:space="preserve">Bible_Journey_Canon_Map_v0_1_Genesis_to_2Samuel.xlsx</t>
        </is>
      </c>
      <c r="I113" s="15" t="inlineStr">
        <is>
          <t xml:space="preserve">Chapter Map</t>
        </is>
      </c>
      <c r="J113" s="15" t="inlineStr">
        <is>
          <t xml:space="preserve">CRS-LEV-005</t>
        </is>
      </c>
      <c r="K113" s="15"/>
      <c r="L113" s="10" t="inlineStr">
        <is>
          <t xml:space="preserve">Mapped</t>
        </is>
      </c>
      <c r="M113" s="15"/>
      <c r="N113" s="15"/>
      <c r="O113" s="15">
        <v>1</v>
      </c>
      <c r="P113" s="10" t="str">
        <f>IF(L113="MISSING","MISSING",IF(O113=1,"PASS","DUPLICATE"))</f>
        <v>PASS</v>
      </c>
    </row>
    <row r="114" ht="22" customHeight="1">
      <c r="A114" s="15" t="inlineStr">
        <is>
          <t xml:space="preserve">Leviticus 20</t>
        </is>
      </c>
      <c r="B114" s="15">
        <v>110</v>
      </c>
      <c r="C114" s="15" t="inlineStr">
        <is>
          <t xml:space="preserve">Old Testament</t>
        </is>
      </c>
      <c r="D114" s="15">
        <v>3</v>
      </c>
      <c r="E114" s="15" t="inlineStr">
        <is>
          <t xml:space="preserve">Leviticus</t>
        </is>
      </c>
      <c r="F114" s="15">
        <v>20</v>
      </c>
      <c r="G114" s="15" t="inlineStr">
        <is>
          <t xml:space="preserve">v0.1</t>
        </is>
      </c>
      <c r="H114" s="15" t="inlineStr">
        <is>
          <t xml:space="preserve">Bible_Journey_Canon_Map_v0_1_Genesis_to_2Samuel.xlsx</t>
        </is>
      </c>
      <c r="I114" s="15" t="inlineStr">
        <is>
          <t xml:space="preserve">Chapter Map</t>
        </is>
      </c>
      <c r="J114" s="15" t="inlineStr">
        <is>
          <t xml:space="preserve">CRS-LEV-005</t>
        </is>
      </c>
      <c r="K114" s="15"/>
      <c r="L114" s="10" t="inlineStr">
        <is>
          <t xml:space="preserve">Mapped</t>
        </is>
      </c>
      <c r="M114" s="15"/>
      <c r="N114" s="15"/>
      <c r="O114" s="15">
        <v>1</v>
      </c>
      <c r="P114" s="10" t="str">
        <f>IF(L114="MISSING","MISSING",IF(O114=1,"PASS","DUPLICATE"))</f>
        <v>PASS</v>
      </c>
    </row>
    <row r="115" ht="22" customHeight="1">
      <c r="A115" s="15" t="inlineStr">
        <is>
          <t xml:space="preserve">Leviticus 21</t>
        </is>
      </c>
      <c r="B115" s="15">
        <v>111</v>
      </c>
      <c r="C115" s="15" t="inlineStr">
        <is>
          <t xml:space="preserve">Old Testament</t>
        </is>
      </c>
      <c r="D115" s="15">
        <v>3</v>
      </c>
      <c r="E115" s="15" t="inlineStr">
        <is>
          <t xml:space="preserve">Leviticus</t>
        </is>
      </c>
      <c r="F115" s="15">
        <v>21</v>
      </c>
      <c r="G115" s="15" t="inlineStr">
        <is>
          <t xml:space="preserve">v0.1</t>
        </is>
      </c>
      <c r="H115" s="15" t="inlineStr">
        <is>
          <t xml:space="preserve">Bible_Journey_Canon_Map_v0_1_Genesis_to_2Samuel.xlsx</t>
        </is>
      </c>
      <c r="I115" s="15" t="inlineStr">
        <is>
          <t xml:space="preserve">Chapter Map</t>
        </is>
      </c>
      <c r="J115" s="15" t="inlineStr">
        <is>
          <t xml:space="preserve">CRS-LEV-006</t>
        </is>
      </c>
      <c r="K115" s="15"/>
      <c r="L115" s="10" t="inlineStr">
        <is>
          <t xml:space="preserve">Mapped</t>
        </is>
      </c>
      <c r="M115" s="15"/>
      <c r="N115" s="15"/>
      <c r="O115" s="15">
        <v>1</v>
      </c>
      <c r="P115" s="10" t="str">
        <f>IF(L115="MISSING","MISSING",IF(O115=1,"PASS","DUPLICATE"))</f>
        <v>PASS</v>
      </c>
    </row>
    <row r="116" ht="22" customHeight="1">
      <c r="A116" s="15" t="inlineStr">
        <is>
          <t xml:space="preserve">Leviticus 22</t>
        </is>
      </c>
      <c r="B116" s="15">
        <v>112</v>
      </c>
      <c r="C116" s="15" t="inlineStr">
        <is>
          <t xml:space="preserve">Old Testament</t>
        </is>
      </c>
      <c r="D116" s="15">
        <v>3</v>
      </c>
      <c r="E116" s="15" t="inlineStr">
        <is>
          <t xml:space="preserve">Leviticus</t>
        </is>
      </c>
      <c r="F116" s="15">
        <v>22</v>
      </c>
      <c r="G116" s="15" t="inlineStr">
        <is>
          <t xml:space="preserve">v0.1</t>
        </is>
      </c>
      <c r="H116" s="15" t="inlineStr">
        <is>
          <t xml:space="preserve">Bible_Journey_Canon_Map_v0_1_Genesis_to_2Samuel.xlsx</t>
        </is>
      </c>
      <c r="I116" s="15" t="inlineStr">
        <is>
          <t xml:space="preserve">Chapter Map</t>
        </is>
      </c>
      <c r="J116" s="15" t="inlineStr">
        <is>
          <t xml:space="preserve">CRS-LEV-006</t>
        </is>
      </c>
      <c r="K116" s="15"/>
      <c r="L116" s="10" t="inlineStr">
        <is>
          <t xml:space="preserve">Mapped</t>
        </is>
      </c>
      <c r="M116" s="15"/>
      <c r="N116" s="15"/>
      <c r="O116" s="15">
        <v>1</v>
      </c>
      <c r="P116" s="10" t="str">
        <f>IF(L116="MISSING","MISSING",IF(O116=1,"PASS","DUPLICATE"))</f>
        <v>PASS</v>
      </c>
    </row>
    <row r="117" ht="22" customHeight="1">
      <c r="A117" s="15" t="inlineStr">
        <is>
          <t xml:space="preserve">Leviticus 23</t>
        </is>
      </c>
      <c r="B117" s="15">
        <v>113</v>
      </c>
      <c r="C117" s="15" t="inlineStr">
        <is>
          <t xml:space="preserve">Old Testament</t>
        </is>
      </c>
      <c r="D117" s="15">
        <v>3</v>
      </c>
      <c r="E117" s="15" t="inlineStr">
        <is>
          <t xml:space="preserve">Leviticus</t>
        </is>
      </c>
      <c r="F117" s="15">
        <v>23</v>
      </c>
      <c r="G117" s="15" t="inlineStr">
        <is>
          <t xml:space="preserve">v0.1</t>
        </is>
      </c>
      <c r="H117" s="15" t="inlineStr">
        <is>
          <t xml:space="preserve">Bible_Journey_Canon_Map_v0_1_Genesis_to_2Samuel.xlsx</t>
        </is>
      </c>
      <c r="I117" s="15" t="inlineStr">
        <is>
          <t xml:space="preserve">Chapter Map</t>
        </is>
      </c>
      <c r="J117" s="15" t="inlineStr">
        <is>
          <t xml:space="preserve">CRS-LEV-006</t>
        </is>
      </c>
      <c r="K117" s="15"/>
      <c r="L117" s="10" t="inlineStr">
        <is>
          <t xml:space="preserve">Mapped</t>
        </is>
      </c>
      <c r="M117" s="15"/>
      <c r="N117" s="15"/>
      <c r="O117" s="15">
        <v>1</v>
      </c>
      <c r="P117" s="10" t="str">
        <f>IF(L117="MISSING","MISSING",IF(O117=1,"PASS","DUPLICATE"))</f>
        <v>PASS</v>
      </c>
    </row>
    <row r="118" ht="22" customHeight="1">
      <c r="A118" s="15" t="inlineStr">
        <is>
          <t xml:space="preserve">Leviticus 24</t>
        </is>
      </c>
      <c r="B118" s="15">
        <v>114</v>
      </c>
      <c r="C118" s="15" t="inlineStr">
        <is>
          <t xml:space="preserve">Old Testament</t>
        </is>
      </c>
      <c r="D118" s="15">
        <v>3</v>
      </c>
      <c r="E118" s="15" t="inlineStr">
        <is>
          <t xml:space="preserve">Leviticus</t>
        </is>
      </c>
      <c r="F118" s="15">
        <v>24</v>
      </c>
      <c r="G118" s="15" t="inlineStr">
        <is>
          <t xml:space="preserve">v0.1</t>
        </is>
      </c>
      <c r="H118" s="15" t="inlineStr">
        <is>
          <t xml:space="preserve">Bible_Journey_Canon_Map_v0_1_Genesis_to_2Samuel.xlsx</t>
        </is>
      </c>
      <c r="I118" s="15" t="inlineStr">
        <is>
          <t xml:space="preserve">Chapter Map</t>
        </is>
      </c>
      <c r="J118" s="15" t="inlineStr">
        <is>
          <t xml:space="preserve">CRS-LEV-006</t>
        </is>
      </c>
      <c r="K118" s="15"/>
      <c r="L118" s="10" t="inlineStr">
        <is>
          <t xml:space="preserve">Mapped</t>
        </is>
      </c>
      <c r="M118" s="15"/>
      <c r="N118" s="15"/>
      <c r="O118" s="15">
        <v>1</v>
      </c>
      <c r="P118" s="10" t="str">
        <f>IF(L118="MISSING","MISSING",IF(O118=1,"PASS","DUPLICATE"))</f>
        <v>PASS</v>
      </c>
    </row>
    <row r="119" ht="22" customHeight="1">
      <c r="A119" s="15" t="inlineStr">
        <is>
          <t xml:space="preserve">Leviticus 25</t>
        </is>
      </c>
      <c r="B119" s="15">
        <v>115</v>
      </c>
      <c r="C119" s="15" t="inlineStr">
        <is>
          <t xml:space="preserve">Old Testament</t>
        </is>
      </c>
      <c r="D119" s="15">
        <v>3</v>
      </c>
      <c r="E119" s="15" t="inlineStr">
        <is>
          <t xml:space="preserve">Leviticus</t>
        </is>
      </c>
      <c r="F119" s="15">
        <v>25</v>
      </c>
      <c r="G119" s="15" t="inlineStr">
        <is>
          <t xml:space="preserve">v0.1</t>
        </is>
      </c>
      <c r="H119" s="15" t="inlineStr">
        <is>
          <t xml:space="preserve">Bible_Journey_Canon_Map_v0_1_Genesis_to_2Samuel.xlsx</t>
        </is>
      </c>
      <c r="I119" s="15" t="inlineStr">
        <is>
          <t xml:space="preserve">Chapter Map</t>
        </is>
      </c>
      <c r="J119" s="15" t="inlineStr">
        <is>
          <t xml:space="preserve">CRS-LEV-007</t>
        </is>
      </c>
      <c r="K119" s="15"/>
      <c r="L119" s="10" t="inlineStr">
        <is>
          <t xml:space="preserve">Mapped</t>
        </is>
      </c>
      <c r="M119" s="15"/>
      <c r="N119" s="15"/>
      <c r="O119" s="15">
        <v>1</v>
      </c>
      <c r="P119" s="10" t="str">
        <f>IF(L119="MISSING","MISSING",IF(O119=1,"PASS","DUPLICATE"))</f>
        <v>PASS</v>
      </c>
    </row>
    <row r="120" ht="22" customHeight="1">
      <c r="A120" s="15" t="inlineStr">
        <is>
          <t xml:space="preserve">Leviticus 26</t>
        </is>
      </c>
      <c r="B120" s="15">
        <v>116</v>
      </c>
      <c r="C120" s="15" t="inlineStr">
        <is>
          <t xml:space="preserve">Old Testament</t>
        </is>
      </c>
      <c r="D120" s="15">
        <v>3</v>
      </c>
      <c r="E120" s="15" t="inlineStr">
        <is>
          <t xml:space="preserve">Leviticus</t>
        </is>
      </c>
      <c r="F120" s="15">
        <v>26</v>
      </c>
      <c r="G120" s="15" t="inlineStr">
        <is>
          <t xml:space="preserve">v0.1</t>
        </is>
      </c>
      <c r="H120" s="15" t="inlineStr">
        <is>
          <t xml:space="preserve">Bible_Journey_Canon_Map_v0_1_Genesis_to_2Samuel.xlsx</t>
        </is>
      </c>
      <c r="I120" s="15" t="inlineStr">
        <is>
          <t xml:space="preserve">Chapter Map</t>
        </is>
      </c>
      <c r="J120" s="15" t="inlineStr">
        <is>
          <t xml:space="preserve">CRS-LEV-007</t>
        </is>
      </c>
      <c r="K120" s="15"/>
      <c r="L120" s="10" t="inlineStr">
        <is>
          <t xml:space="preserve">Mapped</t>
        </is>
      </c>
      <c r="M120" s="15"/>
      <c r="N120" s="15"/>
      <c r="O120" s="15">
        <v>1</v>
      </c>
      <c r="P120" s="10" t="str">
        <f>IF(L120="MISSING","MISSING",IF(O120=1,"PASS","DUPLICATE"))</f>
        <v>PASS</v>
      </c>
    </row>
    <row r="121" ht="22" customHeight="1">
      <c r="A121" s="15" t="inlineStr">
        <is>
          <t xml:space="preserve">Leviticus 27</t>
        </is>
      </c>
      <c r="B121" s="15">
        <v>117</v>
      </c>
      <c r="C121" s="15" t="inlineStr">
        <is>
          <t xml:space="preserve">Old Testament</t>
        </is>
      </c>
      <c r="D121" s="15">
        <v>3</v>
      </c>
      <c r="E121" s="15" t="inlineStr">
        <is>
          <t xml:space="preserve">Leviticus</t>
        </is>
      </c>
      <c r="F121" s="15">
        <v>27</v>
      </c>
      <c r="G121" s="15" t="inlineStr">
        <is>
          <t xml:space="preserve">v0.1</t>
        </is>
      </c>
      <c r="H121" s="15" t="inlineStr">
        <is>
          <t xml:space="preserve">Bible_Journey_Canon_Map_v0_1_Genesis_to_2Samuel.xlsx</t>
        </is>
      </c>
      <c r="I121" s="15" t="inlineStr">
        <is>
          <t xml:space="preserve">Chapter Map</t>
        </is>
      </c>
      <c r="J121" s="15" t="inlineStr">
        <is>
          <t xml:space="preserve">CRS-LEV-007</t>
        </is>
      </c>
      <c r="K121" s="15"/>
      <c r="L121" s="10" t="inlineStr">
        <is>
          <t xml:space="preserve">Mapped</t>
        </is>
      </c>
      <c r="M121" s="15"/>
      <c r="N121" s="15"/>
      <c r="O121" s="15">
        <v>1</v>
      </c>
      <c r="P121" s="10" t="str">
        <f>IF(L121="MISSING","MISSING",IF(O121=1,"PASS","DUPLICATE"))</f>
        <v>PASS</v>
      </c>
    </row>
    <row r="122" ht="22" customHeight="1">
      <c r="A122" s="15" t="inlineStr">
        <is>
          <t xml:space="preserve">Numbers 1</t>
        </is>
      </c>
      <c r="B122" s="15">
        <v>118</v>
      </c>
      <c r="C122" s="15" t="inlineStr">
        <is>
          <t xml:space="preserve">Old Testament</t>
        </is>
      </c>
      <c r="D122" s="15">
        <v>4</v>
      </c>
      <c r="E122" s="15" t="inlineStr">
        <is>
          <t xml:space="preserve">Numbers</t>
        </is>
      </c>
      <c r="F122" s="15">
        <v>1</v>
      </c>
      <c r="G122" s="15" t="inlineStr">
        <is>
          <t xml:space="preserve">v0.1</t>
        </is>
      </c>
      <c r="H122" s="15" t="inlineStr">
        <is>
          <t xml:space="preserve">Bible_Journey_Canon_Map_v0_1_Genesis_to_2Samuel.xlsx</t>
        </is>
      </c>
      <c r="I122" s="15" t="inlineStr">
        <is>
          <t xml:space="preserve">Chapter Map</t>
        </is>
      </c>
      <c r="J122" s="15" t="inlineStr">
        <is>
          <t xml:space="preserve">CRS-NUM-001</t>
        </is>
      </c>
      <c r="K122" s="15"/>
      <c r="L122" s="10" t="inlineStr">
        <is>
          <t xml:space="preserve">Mapped</t>
        </is>
      </c>
      <c r="M122" s="15"/>
      <c r="N122" s="15"/>
      <c r="O122" s="15">
        <v>1</v>
      </c>
      <c r="P122" s="10" t="str">
        <f>IF(L122="MISSING","MISSING",IF(O122=1,"PASS","DUPLICATE"))</f>
        <v>PASS</v>
      </c>
    </row>
    <row r="123" ht="22" customHeight="1">
      <c r="A123" s="15" t="inlineStr">
        <is>
          <t xml:space="preserve">Numbers 2</t>
        </is>
      </c>
      <c r="B123" s="15">
        <v>119</v>
      </c>
      <c r="C123" s="15" t="inlineStr">
        <is>
          <t xml:space="preserve">Old Testament</t>
        </is>
      </c>
      <c r="D123" s="15">
        <v>4</v>
      </c>
      <c r="E123" s="15" t="inlineStr">
        <is>
          <t xml:space="preserve">Numbers</t>
        </is>
      </c>
      <c r="F123" s="15">
        <v>2</v>
      </c>
      <c r="G123" s="15" t="inlineStr">
        <is>
          <t xml:space="preserve">v0.1</t>
        </is>
      </c>
      <c r="H123" s="15" t="inlineStr">
        <is>
          <t xml:space="preserve">Bible_Journey_Canon_Map_v0_1_Genesis_to_2Samuel.xlsx</t>
        </is>
      </c>
      <c r="I123" s="15" t="inlineStr">
        <is>
          <t xml:space="preserve">Chapter Map</t>
        </is>
      </c>
      <c r="J123" s="15" t="inlineStr">
        <is>
          <t xml:space="preserve">CRS-NUM-001</t>
        </is>
      </c>
      <c r="K123" s="15"/>
      <c r="L123" s="10" t="inlineStr">
        <is>
          <t xml:space="preserve">Mapped</t>
        </is>
      </c>
      <c r="M123" s="15"/>
      <c r="N123" s="15"/>
      <c r="O123" s="15">
        <v>1</v>
      </c>
      <c r="P123" s="10" t="str">
        <f>IF(L123="MISSING","MISSING",IF(O123=1,"PASS","DUPLICATE"))</f>
        <v>PASS</v>
      </c>
    </row>
    <row r="124" ht="22" customHeight="1">
      <c r="A124" s="15" t="inlineStr">
        <is>
          <t xml:space="preserve">Numbers 3</t>
        </is>
      </c>
      <c r="B124" s="15">
        <v>120</v>
      </c>
      <c r="C124" s="15" t="inlineStr">
        <is>
          <t xml:space="preserve">Old Testament</t>
        </is>
      </c>
      <c r="D124" s="15">
        <v>4</v>
      </c>
      <c r="E124" s="15" t="inlineStr">
        <is>
          <t xml:space="preserve">Numbers</t>
        </is>
      </c>
      <c r="F124" s="15">
        <v>3</v>
      </c>
      <c r="G124" s="15" t="inlineStr">
        <is>
          <t xml:space="preserve">v0.1</t>
        </is>
      </c>
      <c r="H124" s="15" t="inlineStr">
        <is>
          <t xml:space="preserve">Bible_Journey_Canon_Map_v0_1_Genesis_to_2Samuel.xlsx</t>
        </is>
      </c>
      <c r="I124" s="15" t="inlineStr">
        <is>
          <t xml:space="preserve">Chapter Map</t>
        </is>
      </c>
      <c r="J124" s="15" t="inlineStr">
        <is>
          <t xml:space="preserve">CRS-NUM-001</t>
        </is>
      </c>
      <c r="K124" s="15"/>
      <c r="L124" s="10" t="inlineStr">
        <is>
          <t xml:space="preserve">Mapped</t>
        </is>
      </c>
      <c r="M124" s="15"/>
      <c r="N124" s="15"/>
      <c r="O124" s="15">
        <v>1</v>
      </c>
      <c r="P124" s="10" t="str">
        <f>IF(L124="MISSING","MISSING",IF(O124=1,"PASS","DUPLICATE"))</f>
        <v>PASS</v>
      </c>
    </row>
    <row r="125" ht="22" customHeight="1">
      <c r="A125" s="15" t="inlineStr">
        <is>
          <t xml:space="preserve">Numbers 4</t>
        </is>
      </c>
      <c r="B125" s="15">
        <v>121</v>
      </c>
      <c r="C125" s="15" t="inlineStr">
        <is>
          <t xml:space="preserve">Old Testament</t>
        </is>
      </c>
      <c r="D125" s="15">
        <v>4</v>
      </c>
      <c r="E125" s="15" t="inlineStr">
        <is>
          <t xml:space="preserve">Numbers</t>
        </is>
      </c>
      <c r="F125" s="15">
        <v>4</v>
      </c>
      <c r="G125" s="15" t="inlineStr">
        <is>
          <t xml:space="preserve">v0.1</t>
        </is>
      </c>
      <c r="H125" s="15" t="inlineStr">
        <is>
          <t xml:space="preserve">Bible_Journey_Canon_Map_v0_1_Genesis_to_2Samuel.xlsx</t>
        </is>
      </c>
      <c r="I125" s="15" t="inlineStr">
        <is>
          <t xml:space="preserve">Chapter Map</t>
        </is>
      </c>
      <c r="J125" s="15" t="inlineStr">
        <is>
          <t xml:space="preserve">CRS-NUM-001</t>
        </is>
      </c>
      <c r="K125" s="15"/>
      <c r="L125" s="10" t="inlineStr">
        <is>
          <t xml:space="preserve">Mapped</t>
        </is>
      </c>
      <c r="M125" s="15"/>
      <c r="N125" s="15"/>
      <c r="O125" s="15">
        <v>1</v>
      </c>
      <c r="P125" s="10" t="str">
        <f>IF(L125="MISSING","MISSING",IF(O125=1,"PASS","DUPLICATE"))</f>
        <v>PASS</v>
      </c>
    </row>
    <row r="126" ht="22" customHeight="1">
      <c r="A126" s="15" t="inlineStr">
        <is>
          <t xml:space="preserve">Numbers 5</t>
        </is>
      </c>
      <c r="B126" s="15">
        <v>122</v>
      </c>
      <c r="C126" s="15" t="inlineStr">
        <is>
          <t xml:space="preserve">Old Testament</t>
        </is>
      </c>
      <c r="D126" s="15">
        <v>4</v>
      </c>
      <c r="E126" s="15" t="inlineStr">
        <is>
          <t xml:space="preserve">Numbers</t>
        </is>
      </c>
      <c r="F126" s="15">
        <v>5</v>
      </c>
      <c r="G126" s="15" t="inlineStr">
        <is>
          <t xml:space="preserve">v0.1</t>
        </is>
      </c>
      <c r="H126" s="15" t="inlineStr">
        <is>
          <t xml:space="preserve">Bible_Journey_Canon_Map_v0_1_Genesis_to_2Samuel.xlsx</t>
        </is>
      </c>
      <c r="I126" s="15" t="inlineStr">
        <is>
          <t xml:space="preserve">Chapter Map</t>
        </is>
      </c>
      <c r="J126" s="15" t="inlineStr">
        <is>
          <t xml:space="preserve">CRS-NUM-002</t>
        </is>
      </c>
      <c r="K126" s="15"/>
      <c r="L126" s="10" t="inlineStr">
        <is>
          <t xml:space="preserve">Mapped</t>
        </is>
      </c>
      <c r="M126" s="15"/>
      <c r="N126" s="15"/>
      <c r="O126" s="15">
        <v>1</v>
      </c>
      <c r="P126" s="10" t="str">
        <f>IF(L126="MISSING","MISSING",IF(O126=1,"PASS","DUPLICATE"))</f>
        <v>PASS</v>
      </c>
    </row>
    <row r="127" ht="22" customHeight="1">
      <c r="A127" s="15" t="inlineStr">
        <is>
          <t xml:space="preserve">Numbers 6</t>
        </is>
      </c>
      <c r="B127" s="15">
        <v>123</v>
      </c>
      <c r="C127" s="15" t="inlineStr">
        <is>
          <t xml:space="preserve">Old Testament</t>
        </is>
      </c>
      <c r="D127" s="15">
        <v>4</v>
      </c>
      <c r="E127" s="15" t="inlineStr">
        <is>
          <t xml:space="preserve">Numbers</t>
        </is>
      </c>
      <c r="F127" s="15">
        <v>6</v>
      </c>
      <c r="G127" s="15" t="inlineStr">
        <is>
          <t xml:space="preserve">v0.1</t>
        </is>
      </c>
      <c r="H127" s="15" t="inlineStr">
        <is>
          <t xml:space="preserve">Bible_Journey_Canon_Map_v0_1_Genesis_to_2Samuel.xlsx</t>
        </is>
      </c>
      <c r="I127" s="15" t="inlineStr">
        <is>
          <t xml:space="preserve">Chapter Map</t>
        </is>
      </c>
      <c r="J127" s="15" t="inlineStr">
        <is>
          <t xml:space="preserve">CRS-NUM-002</t>
        </is>
      </c>
      <c r="K127" s="15"/>
      <c r="L127" s="10" t="inlineStr">
        <is>
          <t xml:space="preserve">Mapped</t>
        </is>
      </c>
      <c r="M127" s="15"/>
      <c r="N127" s="15"/>
      <c r="O127" s="15">
        <v>1</v>
      </c>
      <c r="P127" s="10" t="str">
        <f>IF(L127="MISSING","MISSING",IF(O127=1,"PASS","DUPLICATE"))</f>
        <v>PASS</v>
      </c>
    </row>
    <row r="128" ht="22" customHeight="1">
      <c r="A128" s="15" t="inlineStr">
        <is>
          <t xml:space="preserve">Numbers 7</t>
        </is>
      </c>
      <c r="B128" s="15">
        <v>124</v>
      </c>
      <c r="C128" s="15" t="inlineStr">
        <is>
          <t xml:space="preserve">Old Testament</t>
        </is>
      </c>
      <c r="D128" s="15">
        <v>4</v>
      </c>
      <c r="E128" s="15" t="inlineStr">
        <is>
          <t xml:space="preserve">Numbers</t>
        </is>
      </c>
      <c r="F128" s="15">
        <v>7</v>
      </c>
      <c r="G128" s="15" t="inlineStr">
        <is>
          <t xml:space="preserve">v0.1</t>
        </is>
      </c>
      <c r="H128" s="15" t="inlineStr">
        <is>
          <t xml:space="preserve">Bible_Journey_Canon_Map_v0_1_Genesis_to_2Samuel.xlsx</t>
        </is>
      </c>
      <c r="I128" s="15" t="inlineStr">
        <is>
          <t xml:space="preserve">Chapter Map</t>
        </is>
      </c>
      <c r="J128" s="15" t="inlineStr">
        <is>
          <t xml:space="preserve">CRS-NUM-002</t>
        </is>
      </c>
      <c r="K128" s="15"/>
      <c r="L128" s="10" t="inlineStr">
        <is>
          <t xml:space="preserve">Mapped</t>
        </is>
      </c>
      <c r="M128" s="15"/>
      <c r="N128" s="15"/>
      <c r="O128" s="15">
        <v>1</v>
      </c>
      <c r="P128" s="10" t="str">
        <f>IF(L128="MISSING","MISSING",IF(O128=1,"PASS","DUPLICATE"))</f>
        <v>PASS</v>
      </c>
    </row>
    <row r="129" ht="22" customHeight="1">
      <c r="A129" s="15" t="inlineStr">
        <is>
          <t xml:space="preserve">Numbers 8</t>
        </is>
      </c>
      <c r="B129" s="15">
        <v>125</v>
      </c>
      <c r="C129" s="15" t="inlineStr">
        <is>
          <t xml:space="preserve">Old Testament</t>
        </is>
      </c>
      <c r="D129" s="15">
        <v>4</v>
      </c>
      <c r="E129" s="15" t="inlineStr">
        <is>
          <t xml:space="preserve">Numbers</t>
        </is>
      </c>
      <c r="F129" s="15">
        <v>8</v>
      </c>
      <c r="G129" s="15" t="inlineStr">
        <is>
          <t xml:space="preserve">v0.1</t>
        </is>
      </c>
      <c r="H129" s="15" t="inlineStr">
        <is>
          <t xml:space="preserve">Bible_Journey_Canon_Map_v0_1_Genesis_to_2Samuel.xlsx</t>
        </is>
      </c>
      <c r="I129" s="15" t="inlineStr">
        <is>
          <t xml:space="preserve">Chapter Map</t>
        </is>
      </c>
      <c r="J129" s="15" t="inlineStr">
        <is>
          <t xml:space="preserve">CRS-NUM-003</t>
        </is>
      </c>
      <c r="K129" s="15"/>
      <c r="L129" s="10" t="inlineStr">
        <is>
          <t xml:space="preserve">Mapped</t>
        </is>
      </c>
      <c r="M129" s="15"/>
      <c r="N129" s="15"/>
      <c r="O129" s="15">
        <v>1</v>
      </c>
      <c r="P129" s="10" t="str">
        <f>IF(L129="MISSING","MISSING",IF(O129=1,"PASS","DUPLICATE"))</f>
        <v>PASS</v>
      </c>
    </row>
    <row r="130" ht="22" customHeight="1">
      <c r="A130" s="15" t="inlineStr">
        <is>
          <t xml:space="preserve">Numbers 9</t>
        </is>
      </c>
      <c r="B130" s="15">
        <v>126</v>
      </c>
      <c r="C130" s="15" t="inlineStr">
        <is>
          <t xml:space="preserve">Old Testament</t>
        </is>
      </c>
      <c r="D130" s="15">
        <v>4</v>
      </c>
      <c r="E130" s="15" t="inlineStr">
        <is>
          <t xml:space="preserve">Numbers</t>
        </is>
      </c>
      <c r="F130" s="15">
        <v>9</v>
      </c>
      <c r="G130" s="15" t="inlineStr">
        <is>
          <t xml:space="preserve">v0.1</t>
        </is>
      </c>
      <c r="H130" s="15" t="inlineStr">
        <is>
          <t xml:space="preserve">Bible_Journey_Canon_Map_v0_1_Genesis_to_2Samuel.xlsx</t>
        </is>
      </c>
      <c r="I130" s="15" t="inlineStr">
        <is>
          <t xml:space="preserve">Chapter Map</t>
        </is>
      </c>
      <c r="J130" s="15" t="inlineStr">
        <is>
          <t xml:space="preserve">CRS-NUM-003</t>
        </is>
      </c>
      <c r="K130" s="15"/>
      <c r="L130" s="10" t="inlineStr">
        <is>
          <t xml:space="preserve">Mapped</t>
        </is>
      </c>
      <c r="M130" s="15"/>
      <c r="N130" s="15"/>
      <c r="O130" s="15">
        <v>1</v>
      </c>
      <c r="P130" s="10" t="str">
        <f>IF(L130="MISSING","MISSING",IF(O130=1,"PASS","DUPLICATE"))</f>
        <v>PASS</v>
      </c>
    </row>
    <row r="131" ht="22" customHeight="1">
      <c r="A131" s="15" t="inlineStr">
        <is>
          <t xml:space="preserve">Numbers 10</t>
        </is>
      </c>
      <c r="B131" s="15">
        <v>127</v>
      </c>
      <c r="C131" s="15" t="inlineStr">
        <is>
          <t xml:space="preserve">Old Testament</t>
        </is>
      </c>
      <c r="D131" s="15">
        <v>4</v>
      </c>
      <c r="E131" s="15" t="inlineStr">
        <is>
          <t xml:space="preserve">Numbers</t>
        </is>
      </c>
      <c r="F131" s="15">
        <v>10</v>
      </c>
      <c r="G131" s="15" t="inlineStr">
        <is>
          <t xml:space="preserve">v0.1</t>
        </is>
      </c>
      <c r="H131" s="15" t="inlineStr">
        <is>
          <t xml:space="preserve">Bible_Journey_Canon_Map_v0_1_Genesis_to_2Samuel.xlsx</t>
        </is>
      </c>
      <c r="I131" s="15" t="inlineStr">
        <is>
          <t xml:space="preserve">Chapter Map</t>
        </is>
      </c>
      <c r="J131" s="15" t="inlineStr">
        <is>
          <t xml:space="preserve">CRS-NUM-003</t>
        </is>
      </c>
      <c r="K131" s="15"/>
      <c r="L131" s="10" t="inlineStr">
        <is>
          <t xml:space="preserve">Mapped</t>
        </is>
      </c>
      <c r="M131" s="15"/>
      <c r="N131" s="15"/>
      <c r="O131" s="15">
        <v>1</v>
      </c>
      <c r="P131" s="10" t="str">
        <f>IF(L131="MISSING","MISSING",IF(O131=1,"PASS","DUPLICATE"))</f>
        <v>PASS</v>
      </c>
    </row>
    <row r="132" ht="22" customHeight="1">
      <c r="A132" s="15" t="inlineStr">
        <is>
          <t xml:space="preserve">Numbers 11</t>
        </is>
      </c>
      <c r="B132" s="15">
        <v>128</v>
      </c>
      <c r="C132" s="15" t="inlineStr">
        <is>
          <t xml:space="preserve">Old Testament</t>
        </is>
      </c>
      <c r="D132" s="15">
        <v>4</v>
      </c>
      <c r="E132" s="15" t="inlineStr">
        <is>
          <t xml:space="preserve">Numbers</t>
        </is>
      </c>
      <c r="F132" s="15">
        <v>11</v>
      </c>
      <c r="G132" s="15" t="inlineStr">
        <is>
          <t xml:space="preserve">v0.1</t>
        </is>
      </c>
      <c r="H132" s="15" t="inlineStr">
        <is>
          <t xml:space="preserve">Bible_Journey_Canon_Map_v0_1_Genesis_to_2Samuel.xlsx</t>
        </is>
      </c>
      <c r="I132" s="15" t="inlineStr">
        <is>
          <t xml:space="preserve">Chapter Map</t>
        </is>
      </c>
      <c r="J132" s="15" t="inlineStr">
        <is>
          <t xml:space="preserve">CRS-NUM-004</t>
        </is>
      </c>
      <c r="K132" s="15"/>
      <c r="L132" s="10" t="inlineStr">
        <is>
          <t xml:space="preserve">Mapped</t>
        </is>
      </c>
      <c r="M132" s="15"/>
      <c r="N132" s="15"/>
      <c r="O132" s="15">
        <v>1</v>
      </c>
      <c r="P132" s="10" t="str">
        <f>IF(L132="MISSING","MISSING",IF(O132=1,"PASS","DUPLICATE"))</f>
        <v>PASS</v>
      </c>
    </row>
    <row r="133" ht="22" customHeight="1">
      <c r="A133" s="15" t="inlineStr">
        <is>
          <t xml:space="preserve">Numbers 12</t>
        </is>
      </c>
      <c r="B133" s="15">
        <v>129</v>
      </c>
      <c r="C133" s="15" t="inlineStr">
        <is>
          <t xml:space="preserve">Old Testament</t>
        </is>
      </c>
      <c r="D133" s="15">
        <v>4</v>
      </c>
      <c r="E133" s="15" t="inlineStr">
        <is>
          <t xml:space="preserve">Numbers</t>
        </is>
      </c>
      <c r="F133" s="15">
        <v>12</v>
      </c>
      <c r="G133" s="15" t="inlineStr">
        <is>
          <t xml:space="preserve">v0.1</t>
        </is>
      </c>
      <c r="H133" s="15" t="inlineStr">
        <is>
          <t xml:space="preserve">Bible_Journey_Canon_Map_v0_1_Genesis_to_2Samuel.xlsx</t>
        </is>
      </c>
      <c r="I133" s="15" t="inlineStr">
        <is>
          <t xml:space="preserve">Chapter Map</t>
        </is>
      </c>
      <c r="J133" s="15" t="inlineStr">
        <is>
          <t xml:space="preserve">CRS-NUM-004</t>
        </is>
      </c>
      <c r="K133" s="15"/>
      <c r="L133" s="10" t="inlineStr">
        <is>
          <t xml:space="preserve">Mapped</t>
        </is>
      </c>
      <c r="M133" s="15"/>
      <c r="N133" s="15"/>
      <c r="O133" s="15">
        <v>1</v>
      </c>
      <c r="P133" s="10" t="str">
        <f>IF(L133="MISSING","MISSING",IF(O133=1,"PASS","DUPLICATE"))</f>
        <v>PASS</v>
      </c>
    </row>
    <row r="134" ht="22" customHeight="1">
      <c r="A134" s="15" t="inlineStr">
        <is>
          <t xml:space="preserve">Numbers 13</t>
        </is>
      </c>
      <c r="B134" s="15">
        <v>130</v>
      </c>
      <c r="C134" s="15" t="inlineStr">
        <is>
          <t xml:space="preserve">Old Testament</t>
        </is>
      </c>
      <c r="D134" s="15">
        <v>4</v>
      </c>
      <c r="E134" s="15" t="inlineStr">
        <is>
          <t xml:space="preserve">Numbers</t>
        </is>
      </c>
      <c r="F134" s="15">
        <v>13</v>
      </c>
      <c r="G134" s="15" t="inlineStr">
        <is>
          <t xml:space="preserve">v0.1</t>
        </is>
      </c>
      <c r="H134" s="15" t="inlineStr">
        <is>
          <t xml:space="preserve">Bible_Journey_Canon_Map_v0_1_Genesis_to_2Samuel.xlsx</t>
        </is>
      </c>
      <c r="I134" s="15" t="inlineStr">
        <is>
          <t xml:space="preserve">Chapter Map</t>
        </is>
      </c>
      <c r="J134" s="15" t="inlineStr">
        <is>
          <t xml:space="preserve">CRS-NUM-005</t>
        </is>
      </c>
      <c r="K134" s="15"/>
      <c r="L134" s="10" t="inlineStr">
        <is>
          <t xml:space="preserve">Mapped</t>
        </is>
      </c>
      <c r="M134" s="15"/>
      <c r="N134" s="15"/>
      <c r="O134" s="15">
        <v>1</v>
      </c>
      <c r="P134" s="10" t="str">
        <f>IF(L134="MISSING","MISSING",IF(O134=1,"PASS","DUPLICATE"))</f>
        <v>PASS</v>
      </c>
    </row>
    <row r="135" ht="22" customHeight="1">
      <c r="A135" s="15" t="inlineStr">
        <is>
          <t xml:space="preserve">Numbers 14</t>
        </is>
      </c>
      <c r="B135" s="15">
        <v>131</v>
      </c>
      <c r="C135" s="15" t="inlineStr">
        <is>
          <t xml:space="preserve">Old Testament</t>
        </is>
      </c>
      <c r="D135" s="15">
        <v>4</v>
      </c>
      <c r="E135" s="15" t="inlineStr">
        <is>
          <t xml:space="preserve">Numbers</t>
        </is>
      </c>
      <c r="F135" s="15">
        <v>14</v>
      </c>
      <c r="G135" s="15" t="inlineStr">
        <is>
          <t xml:space="preserve">v0.1</t>
        </is>
      </c>
      <c r="H135" s="15" t="inlineStr">
        <is>
          <t xml:space="preserve">Bible_Journey_Canon_Map_v0_1_Genesis_to_2Samuel.xlsx</t>
        </is>
      </c>
      <c r="I135" s="15" t="inlineStr">
        <is>
          <t xml:space="preserve">Chapter Map</t>
        </is>
      </c>
      <c r="J135" s="15" t="inlineStr">
        <is>
          <t xml:space="preserve">CRS-NUM-005</t>
        </is>
      </c>
      <c r="K135" s="15"/>
      <c r="L135" s="10" t="inlineStr">
        <is>
          <t xml:space="preserve">Mapped</t>
        </is>
      </c>
      <c r="M135" s="15"/>
      <c r="N135" s="15"/>
      <c r="O135" s="15">
        <v>1</v>
      </c>
      <c r="P135" s="10" t="str">
        <f>IF(L135="MISSING","MISSING",IF(O135=1,"PASS","DUPLICATE"))</f>
        <v>PASS</v>
      </c>
    </row>
    <row r="136" ht="22" customHeight="1">
      <c r="A136" s="15" t="inlineStr">
        <is>
          <t xml:space="preserve">Numbers 15</t>
        </is>
      </c>
      <c r="B136" s="15">
        <v>132</v>
      </c>
      <c r="C136" s="15" t="inlineStr">
        <is>
          <t xml:space="preserve">Old Testament</t>
        </is>
      </c>
      <c r="D136" s="15">
        <v>4</v>
      </c>
      <c r="E136" s="15" t="inlineStr">
        <is>
          <t xml:space="preserve">Numbers</t>
        </is>
      </c>
      <c r="F136" s="15">
        <v>15</v>
      </c>
      <c r="G136" s="15" t="inlineStr">
        <is>
          <t xml:space="preserve">v0.1</t>
        </is>
      </c>
      <c r="H136" s="15" t="inlineStr">
        <is>
          <t xml:space="preserve">Bible_Journey_Canon_Map_v0_1_Genesis_to_2Samuel.xlsx</t>
        </is>
      </c>
      <c r="I136" s="15" t="inlineStr">
        <is>
          <t xml:space="preserve">Chapter Map</t>
        </is>
      </c>
      <c r="J136" s="15" t="inlineStr">
        <is>
          <t xml:space="preserve">CRS-NUM-006</t>
        </is>
      </c>
      <c r="K136" s="15"/>
      <c r="L136" s="10" t="inlineStr">
        <is>
          <t xml:space="preserve">Mapped</t>
        </is>
      </c>
      <c r="M136" s="15"/>
      <c r="N136" s="15"/>
      <c r="O136" s="15">
        <v>1</v>
      </c>
      <c r="P136" s="10" t="str">
        <f>IF(L136="MISSING","MISSING",IF(O136=1,"PASS","DUPLICATE"))</f>
        <v>PASS</v>
      </c>
    </row>
    <row r="137" ht="22" customHeight="1">
      <c r="A137" s="15" t="inlineStr">
        <is>
          <t xml:space="preserve">Numbers 16</t>
        </is>
      </c>
      <c r="B137" s="15">
        <v>133</v>
      </c>
      <c r="C137" s="15" t="inlineStr">
        <is>
          <t xml:space="preserve">Old Testament</t>
        </is>
      </c>
      <c r="D137" s="15">
        <v>4</v>
      </c>
      <c r="E137" s="15" t="inlineStr">
        <is>
          <t xml:space="preserve">Numbers</t>
        </is>
      </c>
      <c r="F137" s="15">
        <v>16</v>
      </c>
      <c r="G137" s="15" t="inlineStr">
        <is>
          <t xml:space="preserve">v0.1</t>
        </is>
      </c>
      <c r="H137" s="15" t="inlineStr">
        <is>
          <t xml:space="preserve">Bible_Journey_Canon_Map_v0_1_Genesis_to_2Samuel.xlsx</t>
        </is>
      </c>
      <c r="I137" s="15" t="inlineStr">
        <is>
          <t xml:space="preserve">Chapter Map</t>
        </is>
      </c>
      <c r="J137" s="15" t="inlineStr">
        <is>
          <t xml:space="preserve">CRS-NUM-006</t>
        </is>
      </c>
      <c r="K137" s="15"/>
      <c r="L137" s="10" t="inlineStr">
        <is>
          <t xml:space="preserve">Mapped</t>
        </is>
      </c>
      <c r="M137" s="15"/>
      <c r="N137" s="15"/>
      <c r="O137" s="15">
        <v>1</v>
      </c>
      <c r="P137" s="10" t="str">
        <f>IF(L137="MISSING","MISSING",IF(O137=1,"PASS","DUPLICATE"))</f>
        <v>PASS</v>
      </c>
    </row>
    <row r="138" ht="22" customHeight="1">
      <c r="A138" s="15" t="inlineStr">
        <is>
          <t xml:space="preserve">Numbers 17</t>
        </is>
      </c>
      <c r="B138" s="15">
        <v>134</v>
      </c>
      <c r="C138" s="15" t="inlineStr">
        <is>
          <t xml:space="preserve">Old Testament</t>
        </is>
      </c>
      <c r="D138" s="15">
        <v>4</v>
      </c>
      <c r="E138" s="15" t="inlineStr">
        <is>
          <t xml:space="preserve">Numbers</t>
        </is>
      </c>
      <c r="F138" s="15">
        <v>17</v>
      </c>
      <c r="G138" s="15" t="inlineStr">
        <is>
          <t xml:space="preserve">v0.1</t>
        </is>
      </c>
      <c r="H138" s="15" t="inlineStr">
        <is>
          <t xml:space="preserve">Bible_Journey_Canon_Map_v0_1_Genesis_to_2Samuel.xlsx</t>
        </is>
      </c>
      <c r="I138" s="15" t="inlineStr">
        <is>
          <t xml:space="preserve">Chapter Map</t>
        </is>
      </c>
      <c r="J138" s="15" t="inlineStr">
        <is>
          <t xml:space="preserve">CRS-NUM-006</t>
        </is>
      </c>
      <c r="K138" s="15"/>
      <c r="L138" s="10" t="inlineStr">
        <is>
          <t xml:space="preserve">Mapped</t>
        </is>
      </c>
      <c r="M138" s="15"/>
      <c r="N138" s="15"/>
      <c r="O138" s="15">
        <v>1</v>
      </c>
      <c r="P138" s="10" t="str">
        <f>IF(L138="MISSING","MISSING",IF(O138=1,"PASS","DUPLICATE"))</f>
        <v>PASS</v>
      </c>
    </row>
    <row r="139" ht="22" customHeight="1">
      <c r="A139" s="15" t="inlineStr">
        <is>
          <t xml:space="preserve">Numbers 18</t>
        </is>
      </c>
      <c r="B139" s="15">
        <v>135</v>
      </c>
      <c r="C139" s="15" t="inlineStr">
        <is>
          <t xml:space="preserve">Old Testament</t>
        </is>
      </c>
      <c r="D139" s="15">
        <v>4</v>
      </c>
      <c r="E139" s="15" t="inlineStr">
        <is>
          <t xml:space="preserve">Numbers</t>
        </is>
      </c>
      <c r="F139" s="15">
        <v>18</v>
      </c>
      <c r="G139" s="15" t="inlineStr">
        <is>
          <t xml:space="preserve">v0.1</t>
        </is>
      </c>
      <c r="H139" s="15" t="inlineStr">
        <is>
          <t xml:space="preserve">Bible_Journey_Canon_Map_v0_1_Genesis_to_2Samuel.xlsx</t>
        </is>
      </c>
      <c r="I139" s="15" t="inlineStr">
        <is>
          <t xml:space="preserve">Chapter Map</t>
        </is>
      </c>
      <c r="J139" s="15" t="inlineStr">
        <is>
          <t xml:space="preserve">CRS-NUM-006</t>
        </is>
      </c>
      <c r="K139" s="15"/>
      <c r="L139" s="10" t="inlineStr">
        <is>
          <t xml:space="preserve">Mapped</t>
        </is>
      </c>
      <c r="M139" s="15"/>
      <c r="N139" s="15"/>
      <c r="O139" s="15">
        <v>1</v>
      </c>
      <c r="P139" s="10" t="str">
        <f>IF(L139="MISSING","MISSING",IF(O139=1,"PASS","DUPLICATE"))</f>
        <v>PASS</v>
      </c>
    </row>
    <row r="140" ht="22" customHeight="1">
      <c r="A140" s="15" t="inlineStr">
        <is>
          <t xml:space="preserve">Numbers 19</t>
        </is>
      </c>
      <c r="B140" s="15">
        <v>136</v>
      </c>
      <c r="C140" s="15" t="inlineStr">
        <is>
          <t xml:space="preserve">Old Testament</t>
        </is>
      </c>
      <c r="D140" s="15">
        <v>4</v>
      </c>
      <c r="E140" s="15" t="inlineStr">
        <is>
          <t xml:space="preserve">Numbers</t>
        </is>
      </c>
      <c r="F140" s="15">
        <v>19</v>
      </c>
      <c r="G140" s="15" t="inlineStr">
        <is>
          <t xml:space="preserve">v0.1</t>
        </is>
      </c>
      <c r="H140" s="15" t="inlineStr">
        <is>
          <t xml:space="preserve">Bible_Journey_Canon_Map_v0_1_Genesis_to_2Samuel.xlsx</t>
        </is>
      </c>
      <c r="I140" s="15" t="inlineStr">
        <is>
          <t xml:space="preserve">Chapter Map</t>
        </is>
      </c>
      <c r="J140" s="15" t="inlineStr">
        <is>
          <t xml:space="preserve">CRS-NUM-006</t>
        </is>
      </c>
      <c r="K140" s="15"/>
      <c r="L140" s="10" t="inlineStr">
        <is>
          <t xml:space="preserve">Mapped</t>
        </is>
      </c>
      <c r="M140" s="15"/>
      <c r="N140" s="15"/>
      <c r="O140" s="15">
        <v>1</v>
      </c>
      <c r="P140" s="10" t="str">
        <f>IF(L140="MISSING","MISSING",IF(O140=1,"PASS","DUPLICATE"))</f>
        <v>PASS</v>
      </c>
    </row>
    <row r="141" ht="22" customHeight="1">
      <c r="A141" s="15" t="inlineStr">
        <is>
          <t xml:space="preserve">Numbers 20</t>
        </is>
      </c>
      <c r="B141" s="15">
        <v>137</v>
      </c>
      <c r="C141" s="15" t="inlineStr">
        <is>
          <t xml:space="preserve">Old Testament</t>
        </is>
      </c>
      <c r="D141" s="15">
        <v>4</v>
      </c>
      <c r="E141" s="15" t="inlineStr">
        <is>
          <t xml:space="preserve">Numbers</t>
        </is>
      </c>
      <c r="F141" s="15">
        <v>20</v>
      </c>
      <c r="G141" s="15" t="inlineStr">
        <is>
          <t xml:space="preserve">v0.1</t>
        </is>
      </c>
      <c r="H141" s="15" t="inlineStr">
        <is>
          <t xml:space="preserve">Bible_Journey_Canon_Map_v0_1_Genesis_to_2Samuel.xlsx</t>
        </is>
      </c>
      <c r="I141" s="15" t="inlineStr">
        <is>
          <t xml:space="preserve">Chapter Map</t>
        </is>
      </c>
      <c r="J141" s="15" t="inlineStr">
        <is>
          <t xml:space="preserve">CRS-NUM-007</t>
        </is>
      </c>
      <c r="K141" s="15"/>
      <c r="L141" s="10" t="inlineStr">
        <is>
          <t xml:space="preserve">Mapped</t>
        </is>
      </c>
      <c r="M141" s="15"/>
      <c r="N141" s="15"/>
      <c r="O141" s="15">
        <v>1</v>
      </c>
      <c r="P141" s="10" t="str">
        <f>IF(L141="MISSING","MISSING",IF(O141=1,"PASS","DUPLICATE"))</f>
        <v>PASS</v>
      </c>
    </row>
    <row r="142" ht="22" customHeight="1">
      <c r="A142" s="15" t="inlineStr">
        <is>
          <t xml:space="preserve">Numbers 21</t>
        </is>
      </c>
      <c r="B142" s="15">
        <v>138</v>
      </c>
      <c r="C142" s="15" t="inlineStr">
        <is>
          <t xml:space="preserve">Old Testament</t>
        </is>
      </c>
      <c r="D142" s="15">
        <v>4</v>
      </c>
      <c r="E142" s="15" t="inlineStr">
        <is>
          <t xml:space="preserve">Numbers</t>
        </is>
      </c>
      <c r="F142" s="15">
        <v>21</v>
      </c>
      <c r="G142" s="15" t="inlineStr">
        <is>
          <t xml:space="preserve">v0.1</t>
        </is>
      </c>
      <c r="H142" s="15" t="inlineStr">
        <is>
          <t xml:space="preserve">Bible_Journey_Canon_Map_v0_1_Genesis_to_2Samuel.xlsx</t>
        </is>
      </c>
      <c r="I142" s="15" t="inlineStr">
        <is>
          <t xml:space="preserve">Chapter Map</t>
        </is>
      </c>
      <c r="J142" s="15" t="inlineStr">
        <is>
          <t xml:space="preserve">CRS-NUM-007</t>
        </is>
      </c>
      <c r="K142" s="15"/>
      <c r="L142" s="10" t="inlineStr">
        <is>
          <t xml:space="preserve">Mapped</t>
        </is>
      </c>
      <c r="M142" s="15"/>
      <c r="N142" s="15"/>
      <c r="O142" s="15">
        <v>1</v>
      </c>
      <c r="P142" s="10" t="str">
        <f>IF(L142="MISSING","MISSING",IF(O142=1,"PASS","DUPLICATE"))</f>
        <v>PASS</v>
      </c>
    </row>
    <row r="143" ht="22" customHeight="1">
      <c r="A143" s="15" t="inlineStr">
        <is>
          <t xml:space="preserve">Numbers 22</t>
        </is>
      </c>
      <c r="B143" s="15">
        <v>139</v>
      </c>
      <c r="C143" s="15" t="inlineStr">
        <is>
          <t xml:space="preserve">Old Testament</t>
        </is>
      </c>
      <c r="D143" s="15">
        <v>4</v>
      </c>
      <c r="E143" s="15" t="inlineStr">
        <is>
          <t xml:space="preserve">Numbers</t>
        </is>
      </c>
      <c r="F143" s="15">
        <v>22</v>
      </c>
      <c r="G143" s="15" t="inlineStr">
        <is>
          <t xml:space="preserve">v0.1</t>
        </is>
      </c>
      <c r="H143" s="15" t="inlineStr">
        <is>
          <t xml:space="preserve">Bible_Journey_Canon_Map_v0_1_Genesis_to_2Samuel.xlsx</t>
        </is>
      </c>
      <c r="I143" s="15" t="inlineStr">
        <is>
          <t xml:space="preserve">Chapter Map</t>
        </is>
      </c>
      <c r="J143" s="15" t="inlineStr">
        <is>
          <t xml:space="preserve">CRS-NUM-008</t>
        </is>
      </c>
      <c r="K143" s="15"/>
      <c r="L143" s="10" t="inlineStr">
        <is>
          <t xml:space="preserve">Mapped</t>
        </is>
      </c>
      <c r="M143" s="15"/>
      <c r="N143" s="15"/>
      <c r="O143" s="15">
        <v>1</v>
      </c>
      <c r="P143" s="10" t="str">
        <f>IF(L143="MISSING","MISSING",IF(O143=1,"PASS","DUPLICATE"))</f>
        <v>PASS</v>
      </c>
    </row>
    <row r="144" ht="22" customHeight="1">
      <c r="A144" s="15" t="inlineStr">
        <is>
          <t xml:space="preserve">Numbers 23</t>
        </is>
      </c>
      <c r="B144" s="15">
        <v>140</v>
      </c>
      <c r="C144" s="15" t="inlineStr">
        <is>
          <t xml:space="preserve">Old Testament</t>
        </is>
      </c>
      <c r="D144" s="15">
        <v>4</v>
      </c>
      <c r="E144" s="15" t="inlineStr">
        <is>
          <t xml:space="preserve">Numbers</t>
        </is>
      </c>
      <c r="F144" s="15">
        <v>23</v>
      </c>
      <c r="G144" s="15" t="inlineStr">
        <is>
          <t xml:space="preserve">v0.1</t>
        </is>
      </c>
      <c r="H144" s="15" t="inlineStr">
        <is>
          <t xml:space="preserve">Bible_Journey_Canon_Map_v0_1_Genesis_to_2Samuel.xlsx</t>
        </is>
      </c>
      <c r="I144" s="15" t="inlineStr">
        <is>
          <t xml:space="preserve">Chapter Map</t>
        </is>
      </c>
      <c r="J144" s="15" t="inlineStr">
        <is>
          <t xml:space="preserve">CRS-NUM-008</t>
        </is>
      </c>
      <c r="K144" s="15"/>
      <c r="L144" s="10" t="inlineStr">
        <is>
          <t xml:space="preserve">Mapped</t>
        </is>
      </c>
      <c r="M144" s="15"/>
      <c r="N144" s="15"/>
      <c r="O144" s="15">
        <v>1</v>
      </c>
      <c r="P144" s="10" t="str">
        <f>IF(L144="MISSING","MISSING",IF(O144=1,"PASS","DUPLICATE"))</f>
        <v>PASS</v>
      </c>
    </row>
    <row r="145" ht="22" customHeight="1">
      <c r="A145" s="15" t="inlineStr">
        <is>
          <t xml:space="preserve">Numbers 24</t>
        </is>
      </c>
      <c r="B145" s="15">
        <v>141</v>
      </c>
      <c r="C145" s="15" t="inlineStr">
        <is>
          <t xml:space="preserve">Old Testament</t>
        </is>
      </c>
      <c r="D145" s="15">
        <v>4</v>
      </c>
      <c r="E145" s="15" t="inlineStr">
        <is>
          <t xml:space="preserve">Numbers</t>
        </is>
      </c>
      <c r="F145" s="15">
        <v>24</v>
      </c>
      <c r="G145" s="15" t="inlineStr">
        <is>
          <t xml:space="preserve">v0.1</t>
        </is>
      </c>
      <c r="H145" s="15" t="inlineStr">
        <is>
          <t xml:space="preserve">Bible_Journey_Canon_Map_v0_1_Genesis_to_2Samuel.xlsx</t>
        </is>
      </c>
      <c r="I145" s="15" t="inlineStr">
        <is>
          <t xml:space="preserve">Chapter Map</t>
        </is>
      </c>
      <c r="J145" s="15" t="inlineStr">
        <is>
          <t xml:space="preserve">CRS-NUM-008</t>
        </is>
      </c>
      <c r="K145" s="15"/>
      <c r="L145" s="10" t="inlineStr">
        <is>
          <t xml:space="preserve">Mapped</t>
        </is>
      </c>
      <c r="M145" s="15"/>
      <c r="N145" s="15"/>
      <c r="O145" s="15">
        <v>1</v>
      </c>
      <c r="P145" s="10" t="str">
        <f>IF(L145="MISSING","MISSING",IF(O145=1,"PASS","DUPLICATE"))</f>
        <v>PASS</v>
      </c>
    </row>
    <row r="146" ht="22" customHeight="1">
      <c r="A146" s="15" t="inlineStr">
        <is>
          <t xml:space="preserve">Numbers 25</t>
        </is>
      </c>
      <c r="B146" s="15">
        <v>142</v>
      </c>
      <c r="C146" s="15" t="inlineStr">
        <is>
          <t xml:space="preserve">Old Testament</t>
        </is>
      </c>
      <c r="D146" s="15">
        <v>4</v>
      </c>
      <c r="E146" s="15" t="inlineStr">
        <is>
          <t xml:space="preserve">Numbers</t>
        </is>
      </c>
      <c r="F146" s="15">
        <v>25</v>
      </c>
      <c r="G146" s="15" t="inlineStr">
        <is>
          <t xml:space="preserve">v0.1</t>
        </is>
      </c>
      <c r="H146" s="15" t="inlineStr">
        <is>
          <t xml:space="preserve">Bible_Journey_Canon_Map_v0_1_Genesis_to_2Samuel.xlsx</t>
        </is>
      </c>
      <c r="I146" s="15" t="inlineStr">
        <is>
          <t xml:space="preserve">Chapter Map</t>
        </is>
      </c>
      <c r="J146" s="15" t="inlineStr">
        <is>
          <t xml:space="preserve">CRS-NUM-009</t>
        </is>
      </c>
      <c r="K146" s="15"/>
      <c r="L146" s="10" t="inlineStr">
        <is>
          <t xml:space="preserve">Mapped</t>
        </is>
      </c>
      <c r="M146" s="15"/>
      <c r="N146" s="15"/>
      <c r="O146" s="15">
        <v>1</v>
      </c>
      <c r="P146" s="10" t="str">
        <f>IF(L146="MISSING","MISSING",IF(O146=1,"PASS","DUPLICATE"))</f>
        <v>PASS</v>
      </c>
    </row>
    <row r="147" ht="22" customHeight="1">
      <c r="A147" s="15" t="inlineStr">
        <is>
          <t xml:space="preserve">Numbers 26</t>
        </is>
      </c>
      <c r="B147" s="15">
        <v>143</v>
      </c>
      <c r="C147" s="15" t="inlineStr">
        <is>
          <t xml:space="preserve">Old Testament</t>
        </is>
      </c>
      <c r="D147" s="15">
        <v>4</v>
      </c>
      <c r="E147" s="15" t="inlineStr">
        <is>
          <t xml:space="preserve">Numbers</t>
        </is>
      </c>
      <c r="F147" s="15">
        <v>26</v>
      </c>
      <c r="G147" s="15" t="inlineStr">
        <is>
          <t xml:space="preserve">v0.1</t>
        </is>
      </c>
      <c r="H147" s="15" t="inlineStr">
        <is>
          <t xml:space="preserve">Bible_Journey_Canon_Map_v0_1_Genesis_to_2Samuel.xlsx</t>
        </is>
      </c>
      <c r="I147" s="15" t="inlineStr">
        <is>
          <t xml:space="preserve">Chapter Map</t>
        </is>
      </c>
      <c r="J147" s="15" t="inlineStr">
        <is>
          <t xml:space="preserve">CRS-NUM-009</t>
        </is>
      </c>
      <c r="K147" s="15"/>
      <c r="L147" s="10" t="inlineStr">
        <is>
          <t xml:space="preserve">Mapped</t>
        </is>
      </c>
      <c r="M147" s="15"/>
      <c r="N147" s="15"/>
      <c r="O147" s="15">
        <v>1</v>
      </c>
      <c r="P147" s="10" t="str">
        <f>IF(L147="MISSING","MISSING",IF(O147=1,"PASS","DUPLICATE"))</f>
        <v>PASS</v>
      </c>
    </row>
    <row r="148" ht="22" customHeight="1">
      <c r="A148" s="15" t="inlineStr">
        <is>
          <t xml:space="preserve">Numbers 27</t>
        </is>
      </c>
      <c r="B148" s="15">
        <v>144</v>
      </c>
      <c r="C148" s="15" t="inlineStr">
        <is>
          <t xml:space="preserve">Old Testament</t>
        </is>
      </c>
      <c r="D148" s="15">
        <v>4</v>
      </c>
      <c r="E148" s="15" t="inlineStr">
        <is>
          <t xml:space="preserve">Numbers</t>
        </is>
      </c>
      <c r="F148" s="15">
        <v>27</v>
      </c>
      <c r="G148" s="15" t="inlineStr">
        <is>
          <t xml:space="preserve">v0.1</t>
        </is>
      </c>
      <c r="H148" s="15" t="inlineStr">
        <is>
          <t xml:space="preserve">Bible_Journey_Canon_Map_v0_1_Genesis_to_2Samuel.xlsx</t>
        </is>
      </c>
      <c r="I148" s="15" t="inlineStr">
        <is>
          <t xml:space="preserve">Chapter Map</t>
        </is>
      </c>
      <c r="J148" s="15" t="inlineStr">
        <is>
          <t xml:space="preserve">CRS-NUM-010</t>
        </is>
      </c>
      <c r="K148" s="15"/>
      <c r="L148" s="10" t="inlineStr">
        <is>
          <t xml:space="preserve">Mapped</t>
        </is>
      </c>
      <c r="M148" s="15"/>
      <c r="N148" s="15"/>
      <c r="O148" s="15">
        <v>1</v>
      </c>
      <c r="P148" s="10" t="str">
        <f>IF(L148="MISSING","MISSING",IF(O148=1,"PASS","DUPLICATE"))</f>
        <v>PASS</v>
      </c>
    </row>
    <row r="149" ht="22" customHeight="1">
      <c r="A149" s="15" t="inlineStr">
        <is>
          <t xml:space="preserve">Numbers 28</t>
        </is>
      </c>
      <c r="B149" s="15">
        <v>145</v>
      </c>
      <c r="C149" s="15" t="inlineStr">
        <is>
          <t xml:space="preserve">Old Testament</t>
        </is>
      </c>
      <c r="D149" s="15">
        <v>4</v>
      </c>
      <c r="E149" s="15" t="inlineStr">
        <is>
          <t xml:space="preserve">Numbers</t>
        </is>
      </c>
      <c r="F149" s="15">
        <v>28</v>
      </c>
      <c r="G149" s="15" t="inlineStr">
        <is>
          <t xml:space="preserve">v0.1</t>
        </is>
      </c>
      <c r="H149" s="15" t="inlineStr">
        <is>
          <t xml:space="preserve">Bible_Journey_Canon_Map_v0_1_Genesis_to_2Samuel.xlsx</t>
        </is>
      </c>
      <c r="I149" s="15" t="inlineStr">
        <is>
          <t xml:space="preserve">Chapter Map</t>
        </is>
      </c>
      <c r="J149" s="15" t="inlineStr">
        <is>
          <t xml:space="preserve">CRS-NUM-010</t>
        </is>
      </c>
      <c r="K149" s="15"/>
      <c r="L149" s="10" t="inlineStr">
        <is>
          <t xml:space="preserve">Mapped</t>
        </is>
      </c>
      <c r="M149" s="15"/>
      <c r="N149" s="15"/>
      <c r="O149" s="15">
        <v>1</v>
      </c>
      <c r="P149" s="10" t="str">
        <f>IF(L149="MISSING","MISSING",IF(O149=1,"PASS","DUPLICATE"))</f>
        <v>PASS</v>
      </c>
    </row>
    <row r="150" ht="22" customHeight="1">
      <c r="A150" s="15" t="inlineStr">
        <is>
          <t xml:space="preserve">Numbers 29</t>
        </is>
      </c>
      <c r="B150" s="15">
        <v>146</v>
      </c>
      <c r="C150" s="15" t="inlineStr">
        <is>
          <t xml:space="preserve">Old Testament</t>
        </is>
      </c>
      <c r="D150" s="15">
        <v>4</v>
      </c>
      <c r="E150" s="15" t="inlineStr">
        <is>
          <t xml:space="preserve">Numbers</t>
        </is>
      </c>
      <c r="F150" s="15">
        <v>29</v>
      </c>
      <c r="G150" s="15" t="inlineStr">
        <is>
          <t xml:space="preserve">v0.1</t>
        </is>
      </c>
      <c r="H150" s="15" t="inlineStr">
        <is>
          <t xml:space="preserve">Bible_Journey_Canon_Map_v0_1_Genesis_to_2Samuel.xlsx</t>
        </is>
      </c>
      <c r="I150" s="15" t="inlineStr">
        <is>
          <t xml:space="preserve">Chapter Map</t>
        </is>
      </c>
      <c r="J150" s="15" t="inlineStr">
        <is>
          <t xml:space="preserve">CRS-NUM-010</t>
        </is>
      </c>
      <c r="K150" s="15"/>
      <c r="L150" s="10" t="inlineStr">
        <is>
          <t xml:space="preserve">Mapped</t>
        </is>
      </c>
      <c r="M150" s="15"/>
      <c r="N150" s="15"/>
      <c r="O150" s="15">
        <v>1</v>
      </c>
      <c r="P150" s="10" t="str">
        <f>IF(L150="MISSING","MISSING",IF(O150=1,"PASS","DUPLICATE"))</f>
        <v>PASS</v>
      </c>
    </row>
    <row r="151" ht="22" customHeight="1">
      <c r="A151" s="15" t="inlineStr">
        <is>
          <t xml:space="preserve">Numbers 30</t>
        </is>
      </c>
      <c r="B151" s="15">
        <v>147</v>
      </c>
      <c r="C151" s="15" t="inlineStr">
        <is>
          <t xml:space="preserve">Old Testament</t>
        </is>
      </c>
      <c r="D151" s="15">
        <v>4</v>
      </c>
      <c r="E151" s="15" t="inlineStr">
        <is>
          <t xml:space="preserve">Numbers</t>
        </is>
      </c>
      <c r="F151" s="15">
        <v>30</v>
      </c>
      <c r="G151" s="15" t="inlineStr">
        <is>
          <t xml:space="preserve">v0.1</t>
        </is>
      </c>
      <c r="H151" s="15" t="inlineStr">
        <is>
          <t xml:space="preserve">Bible_Journey_Canon_Map_v0_1_Genesis_to_2Samuel.xlsx</t>
        </is>
      </c>
      <c r="I151" s="15" t="inlineStr">
        <is>
          <t xml:space="preserve">Chapter Map</t>
        </is>
      </c>
      <c r="J151" s="15" t="inlineStr">
        <is>
          <t xml:space="preserve">CRS-NUM-010</t>
        </is>
      </c>
      <c r="K151" s="15"/>
      <c r="L151" s="10" t="inlineStr">
        <is>
          <t xml:space="preserve">Mapped</t>
        </is>
      </c>
      <c r="M151" s="15"/>
      <c r="N151" s="15"/>
      <c r="O151" s="15">
        <v>1</v>
      </c>
      <c r="P151" s="10" t="str">
        <f>IF(L151="MISSING","MISSING",IF(O151=1,"PASS","DUPLICATE"))</f>
        <v>PASS</v>
      </c>
    </row>
    <row r="152" ht="22" customHeight="1">
      <c r="A152" s="15" t="inlineStr">
        <is>
          <t xml:space="preserve">Numbers 31</t>
        </is>
      </c>
      <c r="B152" s="15">
        <v>148</v>
      </c>
      <c r="C152" s="15" t="inlineStr">
        <is>
          <t xml:space="preserve">Old Testament</t>
        </is>
      </c>
      <c r="D152" s="15">
        <v>4</v>
      </c>
      <c r="E152" s="15" t="inlineStr">
        <is>
          <t xml:space="preserve">Numbers</t>
        </is>
      </c>
      <c r="F152" s="15">
        <v>31</v>
      </c>
      <c r="G152" s="15" t="inlineStr">
        <is>
          <t xml:space="preserve">v0.1</t>
        </is>
      </c>
      <c r="H152" s="15" t="inlineStr">
        <is>
          <t xml:space="preserve">Bible_Journey_Canon_Map_v0_1_Genesis_to_2Samuel.xlsx</t>
        </is>
      </c>
      <c r="I152" s="15" t="inlineStr">
        <is>
          <t xml:space="preserve">Chapter Map</t>
        </is>
      </c>
      <c r="J152" s="15" t="inlineStr">
        <is>
          <t xml:space="preserve">CRS-NUM-011</t>
        </is>
      </c>
      <c r="K152" s="15"/>
      <c r="L152" s="10" t="inlineStr">
        <is>
          <t xml:space="preserve">Mapped</t>
        </is>
      </c>
      <c r="M152" s="15"/>
      <c r="N152" s="15"/>
      <c r="O152" s="15">
        <v>1</v>
      </c>
      <c r="P152" s="10" t="str">
        <f>IF(L152="MISSING","MISSING",IF(O152=1,"PASS","DUPLICATE"))</f>
        <v>PASS</v>
      </c>
    </row>
    <row r="153" ht="22" customHeight="1">
      <c r="A153" s="15" t="inlineStr">
        <is>
          <t xml:space="preserve">Numbers 32</t>
        </is>
      </c>
      <c r="B153" s="15">
        <v>149</v>
      </c>
      <c r="C153" s="15" t="inlineStr">
        <is>
          <t xml:space="preserve">Old Testament</t>
        </is>
      </c>
      <c r="D153" s="15">
        <v>4</v>
      </c>
      <c r="E153" s="15" t="inlineStr">
        <is>
          <t xml:space="preserve">Numbers</t>
        </is>
      </c>
      <c r="F153" s="15">
        <v>32</v>
      </c>
      <c r="G153" s="15" t="inlineStr">
        <is>
          <t xml:space="preserve">v0.1</t>
        </is>
      </c>
      <c r="H153" s="15" t="inlineStr">
        <is>
          <t xml:space="preserve">Bible_Journey_Canon_Map_v0_1_Genesis_to_2Samuel.xlsx</t>
        </is>
      </c>
      <c r="I153" s="15" t="inlineStr">
        <is>
          <t xml:space="preserve">Chapter Map</t>
        </is>
      </c>
      <c r="J153" s="15" t="inlineStr">
        <is>
          <t xml:space="preserve">CRS-NUM-011</t>
        </is>
      </c>
      <c r="K153" s="15"/>
      <c r="L153" s="10" t="inlineStr">
        <is>
          <t xml:space="preserve">Mapped</t>
        </is>
      </c>
      <c r="M153" s="15"/>
      <c r="N153" s="15"/>
      <c r="O153" s="15">
        <v>1</v>
      </c>
      <c r="P153" s="10" t="str">
        <f>IF(L153="MISSING","MISSING",IF(O153=1,"PASS","DUPLICATE"))</f>
        <v>PASS</v>
      </c>
    </row>
    <row r="154" ht="22" customHeight="1">
      <c r="A154" s="15" t="inlineStr">
        <is>
          <t xml:space="preserve">Numbers 33</t>
        </is>
      </c>
      <c r="B154" s="15">
        <v>150</v>
      </c>
      <c r="C154" s="15" t="inlineStr">
        <is>
          <t xml:space="preserve">Old Testament</t>
        </is>
      </c>
      <c r="D154" s="15">
        <v>4</v>
      </c>
      <c r="E154" s="15" t="inlineStr">
        <is>
          <t xml:space="preserve">Numbers</t>
        </is>
      </c>
      <c r="F154" s="15">
        <v>33</v>
      </c>
      <c r="G154" s="15" t="inlineStr">
        <is>
          <t xml:space="preserve">v0.1</t>
        </is>
      </c>
      <c r="H154" s="15" t="inlineStr">
        <is>
          <t xml:space="preserve">Bible_Journey_Canon_Map_v0_1_Genesis_to_2Samuel.xlsx</t>
        </is>
      </c>
      <c r="I154" s="15" t="inlineStr">
        <is>
          <t xml:space="preserve">Chapter Map</t>
        </is>
      </c>
      <c r="J154" s="15" t="inlineStr">
        <is>
          <t xml:space="preserve">CRS-NUM-012</t>
        </is>
      </c>
      <c r="K154" s="15"/>
      <c r="L154" s="10" t="inlineStr">
        <is>
          <t xml:space="preserve">Mapped</t>
        </is>
      </c>
      <c r="M154" s="15"/>
      <c r="N154" s="15"/>
      <c r="O154" s="15">
        <v>1</v>
      </c>
      <c r="P154" s="10" t="str">
        <f>IF(L154="MISSING","MISSING",IF(O154=1,"PASS","DUPLICATE"))</f>
        <v>PASS</v>
      </c>
    </row>
    <row r="155" ht="22" customHeight="1">
      <c r="A155" s="15" t="inlineStr">
        <is>
          <t xml:space="preserve">Numbers 34</t>
        </is>
      </c>
      <c r="B155" s="15">
        <v>151</v>
      </c>
      <c r="C155" s="15" t="inlineStr">
        <is>
          <t xml:space="preserve">Old Testament</t>
        </is>
      </c>
      <c r="D155" s="15">
        <v>4</v>
      </c>
      <c r="E155" s="15" t="inlineStr">
        <is>
          <t xml:space="preserve">Numbers</t>
        </is>
      </c>
      <c r="F155" s="15">
        <v>34</v>
      </c>
      <c r="G155" s="15" t="inlineStr">
        <is>
          <t xml:space="preserve">v0.1</t>
        </is>
      </c>
      <c r="H155" s="15" t="inlineStr">
        <is>
          <t xml:space="preserve">Bible_Journey_Canon_Map_v0_1_Genesis_to_2Samuel.xlsx</t>
        </is>
      </c>
      <c r="I155" s="15" t="inlineStr">
        <is>
          <t xml:space="preserve">Chapter Map</t>
        </is>
      </c>
      <c r="J155" s="15" t="inlineStr">
        <is>
          <t xml:space="preserve">CRS-NUM-012</t>
        </is>
      </c>
      <c r="K155" s="15"/>
      <c r="L155" s="10" t="inlineStr">
        <is>
          <t xml:space="preserve">Mapped</t>
        </is>
      </c>
      <c r="M155" s="15"/>
      <c r="N155" s="15"/>
      <c r="O155" s="15">
        <v>1</v>
      </c>
      <c r="P155" s="10" t="str">
        <f>IF(L155="MISSING","MISSING",IF(O155=1,"PASS","DUPLICATE"))</f>
        <v>PASS</v>
      </c>
    </row>
    <row r="156" ht="22" customHeight="1">
      <c r="A156" s="15" t="inlineStr">
        <is>
          <t xml:space="preserve">Numbers 35</t>
        </is>
      </c>
      <c r="B156" s="15">
        <v>152</v>
      </c>
      <c r="C156" s="15" t="inlineStr">
        <is>
          <t xml:space="preserve">Old Testament</t>
        </is>
      </c>
      <c r="D156" s="15">
        <v>4</v>
      </c>
      <c r="E156" s="15" t="inlineStr">
        <is>
          <t xml:space="preserve">Numbers</t>
        </is>
      </c>
      <c r="F156" s="15">
        <v>35</v>
      </c>
      <c r="G156" s="15" t="inlineStr">
        <is>
          <t xml:space="preserve">v0.1</t>
        </is>
      </c>
      <c r="H156" s="15" t="inlineStr">
        <is>
          <t xml:space="preserve">Bible_Journey_Canon_Map_v0_1_Genesis_to_2Samuel.xlsx</t>
        </is>
      </c>
      <c r="I156" s="15" t="inlineStr">
        <is>
          <t xml:space="preserve">Chapter Map</t>
        </is>
      </c>
      <c r="J156" s="15" t="inlineStr">
        <is>
          <t xml:space="preserve">CRS-NUM-012</t>
        </is>
      </c>
      <c r="K156" s="15"/>
      <c r="L156" s="10" t="inlineStr">
        <is>
          <t xml:space="preserve">Mapped</t>
        </is>
      </c>
      <c r="M156" s="15"/>
      <c r="N156" s="15"/>
      <c r="O156" s="15">
        <v>1</v>
      </c>
      <c r="P156" s="10" t="str">
        <f>IF(L156="MISSING","MISSING",IF(O156=1,"PASS","DUPLICATE"))</f>
        <v>PASS</v>
      </c>
    </row>
    <row r="157" ht="22" customHeight="1">
      <c r="A157" s="15" t="inlineStr">
        <is>
          <t xml:space="preserve">Numbers 36</t>
        </is>
      </c>
      <c r="B157" s="15">
        <v>153</v>
      </c>
      <c r="C157" s="15" t="inlineStr">
        <is>
          <t xml:space="preserve">Old Testament</t>
        </is>
      </c>
      <c r="D157" s="15">
        <v>4</v>
      </c>
      <c r="E157" s="15" t="inlineStr">
        <is>
          <t xml:space="preserve">Numbers</t>
        </is>
      </c>
      <c r="F157" s="15">
        <v>36</v>
      </c>
      <c r="G157" s="15" t="inlineStr">
        <is>
          <t xml:space="preserve">v0.1</t>
        </is>
      </c>
      <c r="H157" s="15" t="inlineStr">
        <is>
          <t xml:space="preserve">Bible_Journey_Canon_Map_v0_1_Genesis_to_2Samuel.xlsx</t>
        </is>
      </c>
      <c r="I157" s="15" t="inlineStr">
        <is>
          <t xml:space="preserve">Chapter Map</t>
        </is>
      </c>
      <c r="J157" s="15" t="inlineStr">
        <is>
          <t xml:space="preserve">CRS-NUM-012</t>
        </is>
      </c>
      <c r="K157" s="15"/>
      <c r="L157" s="10" t="inlineStr">
        <is>
          <t xml:space="preserve">Mapped</t>
        </is>
      </c>
      <c r="M157" s="15"/>
      <c r="N157" s="15"/>
      <c r="O157" s="15">
        <v>1</v>
      </c>
      <c r="P157" s="10" t="str">
        <f>IF(L157="MISSING","MISSING",IF(O157=1,"PASS","DUPLICATE"))</f>
        <v>PASS</v>
      </c>
    </row>
    <row r="158" ht="22" customHeight="1">
      <c r="A158" s="15" t="inlineStr">
        <is>
          <t xml:space="preserve">Deuteronomy 1</t>
        </is>
      </c>
      <c r="B158" s="15">
        <v>154</v>
      </c>
      <c r="C158" s="15" t="inlineStr">
        <is>
          <t xml:space="preserve">Old Testament</t>
        </is>
      </c>
      <c r="D158" s="15">
        <v>5</v>
      </c>
      <c r="E158" s="15" t="inlineStr">
        <is>
          <t xml:space="preserve">Deuteronomy</t>
        </is>
      </c>
      <c r="F158" s="15">
        <v>1</v>
      </c>
      <c r="G158" s="15" t="inlineStr">
        <is>
          <t xml:space="preserve">v0.1</t>
        </is>
      </c>
      <c r="H158" s="15" t="inlineStr">
        <is>
          <t xml:space="preserve">Bible_Journey_Canon_Map_v0_1_Genesis_to_2Samuel.xlsx</t>
        </is>
      </c>
      <c r="I158" s="15" t="inlineStr">
        <is>
          <t xml:space="preserve">Chapter Map</t>
        </is>
      </c>
      <c r="J158" s="15" t="inlineStr">
        <is>
          <t xml:space="preserve">CRS-DEU-001</t>
        </is>
      </c>
      <c r="K158" s="15"/>
      <c r="L158" s="10" t="inlineStr">
        <is>
          <t xml:space="preserve">Mapped</t>
        </is>
      </c>
      <c r="M158" s="15"/>
      <c r="N158" s="15"/>
      <c r="O158" s="15">
        <v>1</v>
      </c>
      <c r="P158" s="10" t="str">
        <f>IF(L158="MISSING","MISSING",IF(O158=1,"PASS","DUPLICATE"))</f>
        <v>PASS</v>
      </c>
    </row>
    <row r="159" ht="22" customHeight="1">
      <c r="A159" s="15" t="inlineStr">
        <is>
          <t xml:space="preserve">Deuteronomy 2</t>
        </is>
      </c>
      <c r="B159" s="15">
        <v>155</v>
      </c>
      <c r="C159" s="15" t="inlineStr">
        <is>
          <t xml:space="preserve">Old Testament</t>
        </is>
      </c>
      <c r="D159" s="15">
        <v>5</v>
      </c>
      <c r="E159" s="15" t="inlineStr">
        <is>
          <t xml:space="preserve">Deuteronomy</t>
        </is>
      </c>
      <c r="F159" s="15">
        <v>2</v>
      </c>
      <c r="G159" s="15" t="inlineStr">
        <is>
          <t xml:space="preserve">v0.1</t>
        </is>
      </c>
      <c r="H159" s="15" t="inlineStr">
        <is>
          <t xml:space="preserve">Bible_Journey_Canon_Map_v0_1_Genesis_to_2Samuel.xlsx</t>
        </is>
      </c>
      <c r="I159" s="15" t="inlineStr">
        <is>
          <t xml:space="preserve">Chapter Map</t>
        </is>
      </c>
      <c r="J159" s="15" t="inlineStr">
        <is>
          <t xml:space="preserve">CRS-DEU-001</t>
        </is>
      </c>
      <c r="K159" s="15"/>
      <c r="L159" s="10" t="inlineStr">
        <is>
          <t xml:space="preserve">Mapped</t>
        </is>
      </c>
      <c r="M159" s="15"/>
      <c r="N159" s="15"/>
      <c r="O159" s="15">
        <v>1</v>
      </c>
      <c r="P159" s="10" t="str">
        <f>IF(L159="MISSING","MISSING",IF(O159=1,"PASS","DUPLICATE"))</f>
        <v>PASS</v>
      </c>
    </row>
    <row r="160" ht="22" customHeight="1">
      <c r="A160" s="15" t="inlineStr">
        <is>
          <t xml:space="preserve">Deuteronomy 3</t>
        </is>
      </c>
      <c r="B160" s="15">
        <v>156</v>
      </c>
      <c r="C160" s="15" t="inlineStr">
        <is>
          <t xml:space="preserve">Old Testament</t>
        </is>
      </c>
      <c r="D160" s="15">
        <v>5</v>
      </c>
      <c r="E160" s="15" t="inlineStr">
        <is>
          <t xml:space="preserve">Deuteronomy</t>
        </is>
      </c>
      <c r="F160" s="15">
        <v>3</v>
      </c>
      <c r="G160" s="15" t="inlineStr">
        <is>
          <t xml:space="preserve">v0.1</t>
        </is>
      </c>
      <c r="H160" s="15" t="inlineStr">
        <is>
          <t xml:space="preserve">Bible_Journey_Canon_Map_v0_1_Genesis_to_2Samuel.xlsx</t>
        </is>
      </c>
      <c r="I160" s="15" t="inlineStr">
        <is>
          <t xml:space="preserve">Chapter Map</t>
        </is>
      </c>
      <c r="J160" s="15" t="inlineStr">
        <is>
          <t xml:space="preserve">CRS-DEU-001</t>
        </is>
      </c>
      <c r="K160" s="15"/>
      <c r="L160" s="10" t="inlineStr">
        <is>
          <t xml:space="preserve">Mapped</t>
        </is>
      </c>
      <c r="M160" s="15"/>
      <c r="N160" s="15"/>
      <c r="O160" s="15">
        <v>1</v>
      </c>
      <c r="P160" s="10" t="str">
        <f>IF(L160="MISSING","MISSING",IF(O160=1,"PASS","DUPLICATE"))</f>
        <v>PASS</v>
      </c>
    </row>
    <row r="161" ht="22" customHeight="1">
      <c r="A161" s="15" t="inlineStr">
        <is>
          <t xml:space="preserve">Deuteronomy 4</t>
        </is>
      </c>
      <c r="B161" s="15">
        <v>157</v>
      </c>
      <c r="C161" s="15" t="inlineStr">
        <is>
          <t xml:space="preserve">Old Testament</t>
        </is>
      </c>
      <c r="D161" s="15">
        <v>5</v>
      </c>
      <c r="E161" s="15" t="inlineStr">
        <is>
          <t xml:space="preserve">Deuteronomy</t>
        </is>
      </c>
      <c r="F161" s="15">
        <v>4</v>
      </c>
      <c r="G161" s="15" t="inlineStr">
        <is>
          <t xml:space="preserve">v0.1</t>
        </is>
      </c>
      <c r="H161" s="15" t="inlineStr">
        <is>
          <t xml:space="preserve">Bible_Journey_Canon_Map_v0_1_Genesis_to_2Samuel.xlsx</t>
        </is>
      </c>
      <c r="I161" s="15" t="inlineStr">
        <is>
          <t xml:space="preserve">Chapter Map</t>
        </is>
      </c>
      <c r="J161" s="15" t="inlineStr">
        <is>
          <t xml:space="preserve">CRS-DEU-001</t>
        </is>
      </c>
      <c r="K161" s="15"/>
      <c r="L161" s="10" t="inlineStr">
        <is>
          <t xml:space="preserve">Mapped</t>
        </is>
      </c>
      <c r="M161" s="15"/>
      <c r="N161" s="15"/>
      <c r="O161" s="15">
        <v>1</v>
      </c>
      <c r="P161" s="10" t="str">
        <f>IF(L161="MISSING","MISSING",IF(O161=1,"PASS","DUPLICATE"))</f>
        <v>PASS</v>
      </c>
    </row>
    <row r="162" ht="22" customHeight="1">
      <c r="A162" s="15" t="inlineStr">
        <is>
          <t xml:space="preserve">Deuteronomy 5</t>
        </is>
      </c>
      <c r="B162" s="15">
        <v>158</v>
      </c>
      <c r="C162" s="15" t="inlineStr">
        <is>
          <t xml:space="preserve">Old Testament</t>
        </is>
      </c>
      <c r="D162" s="15">
        <v>5</v>
      </c>
      <c r="E162" s="15" t="inlineStr">
        <is>
          <t xml:space="preserve">Deuteronomy</t>
        </is>
      </c>
      <c r="F162" s="15">
        <v>5</v>
      </c>
      <c r="G162" s="15" t="inlineStr">
        <is>
          <t xml:space="preserve">v0.1</t>
        </is>
      </c>
      <c r="H162" s="15" t="inlineStr">
        <is>
          <t xml:space="preserve">Bible_Journey_Canon_Map_v0_1_Genesis_to_2Samuel.xlsx</t>
        </is>
      </c>
      <c r="I162" s="15" t="inlineStr">
        <is>
          <t xml:space="preserve">Chapter Map</t>
        </is>
      </c>
      <c r="J162" s="15" t="inlineStr">
        <is>
          <t xml:space="preserve">CRS-DEU-002</t>
        </is>
      </c>
      <c r="K162" s="15"/>
      <c r="L162" s="10" t="inlineStr">
        <is>
          <t xml:space="preserve">Mapped</t>
        </is>
      </c>
      <c r="M162" s="15"/>
      <c r="N162" s="15"/>
      <c r="O162" s="15">
        <v>1</v>
      </c>
      <c r="P162" s="10" t="str">
        <f>IF(L162="MISSING","MISSING",IF(O162=1,"PASS","DUPLICATE"))</f>
        <v>PASS</v>
      </c>
    </row>
    <row r="163" ht="22" customHeight="1">
      <c r="A163" s="15" t="inlineStr">
        <is>
          <t xml:space="preserve">Deuteronomy 6</t>
        </is>
      </c>
      <c r="B163" s="15">
        <v>159</v>
      </c>
      <c r="C163" s="15" t="inlineStr">
        <is>
          <t xml:space="preserve">Old Testament</t>
        </is>
      </c>
      <c r="D163" s="15">
        <v>5</v>
      </c>
      <c r="E163" s="15" t="inlineStr">
        <is>
          <t xml:space="preserve">Deuteronomy</t>
        </is>
      </c>
      <c r="F163" s="15">
        <v>6</v>
      </c>
      <c r="G163" s="15" t="inlineStr">
        <is>
          <t xml:space="preserve">v0.1</t>
        </is>
      </c>
      <c r="H163" s="15" t="inlineStr">
        <is>
          <t xml:space="preserve">Bible_Journey_Canon_Map_v0_1_Genesis_to_2Samuel.xlsx</t>
        </is>
      </c>
      <c r="I163" s="15" t="inlineStr">
        <is>
          <t xml:space="preserve">Chapter Map</t>
        </is>
      </c>
      <c r="J163" s="15" t="inlineStr">
        <is>
          <t xml:space="preserve">CRS-DEU-002</t>
        </is>
      </c>
      <c r="K163" s="15"/>
      <c r="L163" s="10" t="inlineStr">
        <is>
          <t xml:space="preserve">Mapped</t>
        </is>
      </c>
      <c r="M163" s="15"/>
      <c r="N163" s="15"/>
      <c r="O163" s="15">
        <v>1</v>
      </c>
      <c r="P163" s="10" t="str">
        <f>IF(L163="MISSING","MISSING",IF(O163=1,"PASS","DUPLICATE"))</f>
        <v>PASS</v>
      </c>
    </row>
    <row r="164" ht="22" customHeight="1">
      <c r="A164" s="15" t="inlineStr">
        <is>
          <t xml:space="preserve">Deuteronomy 7</t>
        </is>
      </c>
      <c r="B164" s="15">
        <v>160</v>
      </c>
      <c r="C164" s="15" t="inlineStr">
        <is>
          <t xml:space="preserve">Old Testament</t>
        </is>
      </c>
      <c r="D164" s="15">
        <v>5</v>
      </c>
      <c r="E164" s="15" t="inlineStr">
        <is>
          <t xml:space="preserve">Deuteronomy</t>
        </is>
      </c>
      <c r="F164" s="15">
        <v>7</v>
      </c>
      <c r="G164" s="15" t="inlineStr">
        <is>
          <t xml:space="preserve">v0.1</t>
        </is>
      </c>
      <c r="H164" s="15" t="inlineStr">
        <is>
          <t xml:space="preserve">Bible_Journey_Canon_Map_v0_1_Genesis_to_2Samuel.xlsx</t>
        </is>
      </c>
      <c r="I164" s="15" t="inlineStr">
        <is>
          <t xml:space="preserve">Chapter Map</t>
        </is>
      </c>
      <c r="J164" s="15" t="inlineStr">
        <is>
          <t xml:space="preserve">CRS-DEU-002</t>
        </is>
      </c>
      <c r="K164" s="15"/>
      <c r="L164" s="10" t="inlineStr">
        <is>
          <t xml:space="preserve">Mapped</t>
        </is>
      </c>
      <c r="M164" s="15"/>
      <c r="N164" s="15"/>
      <c r="O164" s="15">
        <v>1</v>
      </c>
      <c r="P164" s="10" t="str">
        <f>IF(L164="MISSING","MISSING",IF(O164=1,"PASS","DUPLICATE"))</f>
        <v>PASS</v>
      </c>
    </row>
    <row r="165" ht="22" customHeight="1">
      <c r="A165" s="15" t="inlineStr">
        <is>
          <t xml:space="preserve">Deuteronomy 8</t>
        </is>
      </c>
      <c r="B165" s="15">
        <v>161</v>
      </c>
      <c r="C165" s="15" t="inlineStr">
        <is>
          <t xml:space="preserve">Old Testament</t>
        </is>
      </c>
      <c r="D165" s="15">
        <v>5</v>
      </c>
      <c r="E165" s="15" t="inlineStr">
        <is>
          <t xml:space="preserve">Deuteronomy</t>
        </is>
      </c>
      <c r="F165" s="15">
        <v>8</v>
      </c>
      <c r="G165" s="15" t="inlineStr">
        <is>
          <t xml:space="preserve">v0.1</t>
        </is>
      </c>
      <c r="H165" s="15" t="inlineStr">
        <is>
          <t xml:space="preserve">Bible_Journey_Canon_Map_v0_1_Genesis_to_2Samuel.xlsx</t>
        </is>
      </c>
      <c r="I165" s="15" t="inlineStr">
        <is>
          <t xml:space="preserve">Chapter Map</t>
        </is>
      </c>
      <c r="J165" s="15" t="inlineStr">
        <is>
          <t xml:space="preserve">CRS-DEU-002</t>
        </is>
      </c>
      <c r="K165" s="15"/>
      <c r="L165" s="10" t="inlineStr">
        <is>
          <t xml:space="preserve">Mapped</t>
        </is>
      </c>
      <c r="M165" s="15"/>
      <c r="N165" s="15"/>
      <c r="O165" s="15">
        <v>1</v>
      </c>
      <c r="P165" s="10" t="str">
        <f>IF(L165="MISSING","MISSING",IF(O165=1,"PASS","DUPLICATE"))</f>
        <v>PASS</v>
      </c>
    </row>
    <row r="166" ht="22" customHeight="1">
      <c r="A166" s="15" t="inlineStr">
        <is>
          <t xml:space="preserve">Deuteronomy 9</t>
        </is>
      </c>
      <c r="B166" s="15">
        <v>162</v>
      </c>
      <c r="C166" s="15" t="inlineStr">
        <is>
          <t xml:space="preserve">Old Testament</t>
        </is>
      </c>
      <c r="D166" s="15">
        <v>5</v>
      </c>
      <c r="E166" s="15" t="inlineStr">
        <is>
          <t xml:space="preserve">Deuteronomy</t>
        </is>
      </c>
      <c r="F166" s="15">
        <v>9</v>
      </c>
      <c r="G166" s="15" t="inlineStr">
        <is>
          <t xml:space="preserve">v0.1</t>
        </is>
      </c>
      <c r="H166" s="15" t="inlineStr">
        <is>
          <t xml:space="preserve">Bible_Journey_Canon_Map_v0_1_Genesis_to_2Samuel.xlsx</t>
        </is>
      </c>
      <c r="I166" s="15" t="inlineStr">
        <is>
          <t xml:space="preserve">Chapter Map</t>
        </is>
      </c>
      <c r="J166" s="15" t="inlineStr">
        <is>
          <t xml:space="preserve">CRS-DEU-002</t>
        </is>
      </c>
      <c r="K166" s="15"/>
      <c r="L166" s="10" t="inlineStr">
        <is>
          <t xml:space="preserve">Mapped</t>
        </is>
      </c>
      <c r="M166" s="15"/>
      <c r="N166" s="15"/>
      <c r="O166" s="15">
        <v>1</v>
      </c>
      <c r="P166" s="10" t="str">
        <f>IF(L166="MISSING","MISSING",IF(O166=1,"PASS","DUPLICATE"))</f>
        <v>PASS</v>
      </c>
    </row>
    <row r="167" ht="22" customHeight="1">
      <c r="A167" s="15" t="inlineStr">
        <is>
          <t xml:space="preserve">Deuteronomy 10</t>
        </is>
      </c>
      <c r="B167" s="15">
        <v>163</v>
      </c>
      <c r="C167" s="15" t="inlineStr">
        <is>
          <t xml:space="preserve">Old Testament</t>
        </is>
      </c>
      <c r="D167" s="15">
        <v>5</v>
      </c>
      <c r="E167" s="15" t="inlineStr">
        <is>
          <t xml:space="preserve">Deuteronomy</t>
        </is>
      </c>
      <c r="F167" s="15">
        <v>10</v>
      </c>
      <c r="G167" s="15" t="inlineStr">
        <is>
          <t xml:space="preserve">v0.1</t>
        </is>
      </c>
      <c r="H167" s="15" t="inlineStr">
        <is>
          <t xml:space="preserve">Bible_Journey_Canon_Map_v0_1_Genesis_to_2Samuel.xlsx</t>
        </is>
      </c>
      <c r="I167" s="15" t="inlineStr">
        <is>
          <t xml:space="preserve">Chapter Map</t>
        </is>
      </c>
      <c r="J167" s="15" t="inlineStr">
        <is>
          <t xml:space="preserve">CRS-DEU-002</t>
        </is>
      </c>
      <c r="K167" s="15"/>
      <c r="L167" s="10" t="inlineStr">
        <is>
          <t xml:space="preserve">Mapped</t>
        </is>
      </c>
      <c r="M167" s="15"/>
      <c r="N167" s="15"/>
      <c r="O167" s="15">
        <v>1</v>
      </c>
      <c r="P167" s="10" t="str">
        <f>IF(L167="MISSING","MISSING",IF(O167=1,"PASS","DUPLICATE"))</f>
        <v>PASS</v>
      </c>
    </row>
    <row r="168" ht="22" customHeight="1">
      <c r="A168" s="15" t="inlineStr">
        <is>
          <t xml:space="preserve">Deuteronomy 11</t>
        </is>
      </c>
      <c r="B168" s="15">
        <v>164</v>
      </c>
      <c r="C168" s="15" t="inlineStr">
        <is>
          <t xml:space="preserve">Old Testament</t>
        </is>
      </c>
      <c r="D168" s="15">
        <v>5</v>
      </c>
      <c r="E168" s="15" t="inlineStr">
        <is>
          <t xml:space="preserve">Deuteronomy</t>
        </is>
      </c>
      <c r="F168" s="15">
        <v>11</v>
      </c>
      <c r="G168" s="15" t="inlineStr">
        <is>
          <t xml:space="preserve">v0.1</t>
        </is>
      </c>
      <c r="H168" s="15" t="inlineStr">
        <is>
          <t xml:space="preserve">Bible_Journey_Canon_Map_v0_1_Genesis_to_2Samuel.xlsx</t>
        </is>
      </c>
      <c r="I168" s="15" t="inlineStr">
        <is>
          <t xml:space="preserve">Chapter Map</t>
        </is>
      </c>
      <c r="J168" s="15" t="inlineStr">
        <is>
          <t xml:space="preserve">CRS-DEU-002</t>
        </is>
      </c>
      <c r="K168" s="15"/>
      <c r="L168" s="10" t="inlineStr">
        <is>
          <t xml:space="preserve">Mapped</t>
        </is>
      </c>
      <c r="M168" s="15"/>
      <c r="N168" s="15"/>
      <c r="O168" s="15">
        <v>1</v>
      </c>
      <c r="P168" s="10" t="str">
        <f>IF(L168="MISSING","MISSING",IF(O168=1,"PASS","DUPLICATE"))</f>
        <v>PASS</v>
      </c>
    </row>
    <row r="169" ht="22" customHeight="1">
      <c r="A169" s="15" t="inlineStr">
        <is>
          <t xml:space="preserve">Deuteronomy 12</t>
        </is>
      </c>
      <c r="B169" s="15">
        <v>165</v>
      </c>
      <c r="C169" s="15" t="inlineStr">
        <is>
          <t xml:space="preserve">Old Testament</t>
        </is>
      </c>
      <c r="D169" s="15">
        <v>5</v>
      </c>
      <c r="E169" s="15" t="inlineStr">
        <is>
          <t xml:space="preserve">Deuteronomy</t>
        </is>
      </c>
      <c r="F169" s="15">
        <v>12</v>
      </c>
      <c r="G169" s="15" t="inlineStr">
        <is>
          <t xml:space="preserve">v0.1</t>
        </is>
      </c>
      <c r="H169" s="15" t="inlineStr">
        <is>
          <t xml:space="preserve">Bible_Journey_Canon_Map_v0_1_Genesis_to_2Samuel.xlsx</t>
        </is>
      </c>
      <c r="I169" s="15" t="inlineStr">
        <is>
          <t xml:space="preserve">Chapter Map</t>
        </is>
      </c>
      <c r="J169" s="15" t="inlineStr">
        <is>
          <t xml:space="preserve">CRS-DEU-003</t>
        </is>
      </c>
      <c r="K169" s="15"/>
      <c r="L169" s="10" t="inlineStr">
        <is>
          <t xml:space="preserve">Mapped</t>
        </is>
      </c>
      <c r="M169" s="15"/>
      <c r="N169" s="15"/>
      <c r="O169" s="15">
        <v>1</v>
      </c>
      <c r="P169" s="10" t="str">
        <f>IF(L169="MISSING","MISSING",IF(O169=1,"PASS","DUPLICATE"))</f>
        <v>PASS</v>
      </c>
    </row>
    <row r="170" ht="22" customHeight="1">
      <c r="A170" s="15" t="inlineStr">
        <is>
          <t xml:space="preserve">Deuteronomy 13</t>
        </is>
      </c>
      <c r="B170" s="15">
        <v>166</v>
      </c>
      <c r="C170" s="15" t="inlineStr">
        <is>
          <t xml:space="preserve">Old Testament</t>
        </is>
      </c>
      <c r="D170" s="15">
        <v>5</v>
      </c>
      <c r="E170" s="15" t="inlineStr">
        <is>
          <t xml:space="preserve">Deuteronomy</t>
        </is>
      </c>
      <c r="F170" s="15">
        <v>13</v>
      </c>
      <c r="G170" s="15" t="inlineStr">
        <is>
          <t xml:space="preserve">v0.1</t>
        </is>
      </c>
      <c r="H170" s="15" t="inlineStr">
        <is>
          <t xml:space="preserve">Bible_Journey_Canon_Map_v0_1_Genesis_to_2Samuel.xlsx</t>
        </is>
      </c>
      <c r="I170" s="15" t="inlineStr">
        <is>
          <t xml:space="preserve">Chapter Map</t>
        </is>
      </c>
      <c r="J170" s="15" t="inlineStr">
        <is>
          <t xml:space="preserve">CRS-DEU-003</t>
        </is>
      </c>
      <c r="K170" s="15"/>
      <c r="L170" s="10" t="inlineStr">
        <is>
          <t xml:space="preserve">Mapped</t>
        </is>
      </c>
      <c r="M170" s="15"/>
      <c r="N170" s="15"/>
      <c r="O170" s="15">
        <v>1</v>
      </c>
      <c r="P170" s="10" t="str">
        <f>IF(L170="MISSING","MISSING",IF(O170=1,"PASS","DUPLICATE"))</f>
        <v>PASS</v>
      </c>
    </row>
    <row r="171" ht="22" customHeight="1">
      <c r="A171" s="15" t="inlineStr">
        <is>
          <t xml:space="preserve">Deuteronomy 14</t>
        </is>
      </c>
      <c r="B171" s="15">
        <v>167</v>
      </c>
      <c r="C171" s="15" t="inlineStr">
        <is>
          <t xml:space="preserve">Old Testament</t>
        </is>
      </c>
      <c r="D171" s="15">
        <v>5</v>
      </c>
      <c r="E171" s="15" t="inlineStr">
        <is>
          <t xml:space="preserve">Deuteronomy</t>
        </is>
      </c>
      <c r="F171" s="15">
        <v>14</v>
      </c>
      <c r="G171" s="15" t="inlineStr">
        <is>
          <t xml:space="preserve">v0.1</t>
        </is>
      </c>
      <c r="H171" s="15" t="inlineStr">
        <is>
          <t xml:space="preserve">Bible_Journey_Canon_Map_v0_1_Genesis_to_2Samuel.xlsx</t>
        </is>
      </c>
      <c r="I171" s="15" t="inlineStr">
        <is>
          <t xml:space="preserve">Chapter Map</t>
        </is>
      </c>
      <c r="J171" s="15" t="inlineStr">
        <is>
          <t xml:space="preserve">CRS-DEU-003</t>
        </is>
      </c>
      <c r="K171" s="15"/>
      <c r="L171" s="10" t="inlineStr">
        <is>
          <t xml:space="preserve">Mapped</t>
        </is>
      </c>
      <c r="M171" s="15"/>
      <c r="N171" s="15"/>
      <c r="O171" s="15">
        <v>1</v>
      </c>
      <c r="P171" s="10" t="str">
        <f>IF(L171="MISSING","MISSING",IF(O171=1,"PASS","DUPLICATE"))</f>
        <v>PASS</v>
      </c>
    </row>
    <row r="172" ht="22" customHeight="1">
      <c r="A172" s="15" t="inlineStr">
        <is>
          <t xml:space="preserve">Deuteronomy 15</t>
        </is>
      </c>
      <c r="B172" s="15">
        <v>168</v>
      </c>
      <c r="C172" s="15" t="inlineStr">
        <is>
          <t xml:space="preserve">Old Testament</t>
        </is>
      </c>
      <c r="D172" s="15">
        <v>5</v>
      </c>
      <c r="E172" s="15" t="inlineStr">
        <is>
          <t xml:space="preserve">Deuteronomy</t>
        </is>
      </c>
      <c r="F172" s="15">
        <v>15</v>
      </c>
      <c r="G172" s="15" t="inlineStr">
        <is>
          <t xml:space="preserve">v0.1</t>
        </is>
      </c>
      <c r="H172" s="15" t="inlineStr">
        <is>
          <t xml:space="preserve">Bible_Journey_Canon_Map_v0_1_Genesis_to_2Samuel.xlsx</t>
        </is>
      </c>
      <c r="I172" s="15" t="inlineStr">
        <is>
          <t xml:space="preserve">Chapter Map</t>
        </is>
      </c>
      <c r="J172" s="15" t="inlineStr">
        <is>
          <t xml:space="preserve">CRS-DEU-003</t>
        </is>
      </c>
      <c r="K172" s="15"/>
      <c r="L172" s="10" t="inlineStr">
        <is>
          <t xml:space="preserve">Mapped</t>
        </is>
      </c>
      <c r="M172" s="15"/>
      <c r="N172" s="15"/>
      <c r="O172" s="15">
        <v>1</v>
      </c>
      <c r="P172" s="10" t="str">
        <f>IF(L172="MISSING","MISSING",IF(O172=1,"PASS","DUPLICATE"))</f>
        <v>PASS</v>
      </c>
    </row>
    <row r="173" ht="22" customHeight="1">
      <c r="A173" s="15" t="inlineStr">
        <is>
          <t xml:space="preserve">Deuteronomy 16</t>
        </is>
      </c>
      <c r="B173" s="15">
        <v>169</v>
      </c>
      <c r="C173" s="15" t="inlineStr">
        <is>
          <t xml:space="preserve">Old Testament</t>
        </is>
      </c>
      <c r="D173" s="15">
        <v>5</v>
      </c>
      <c r="E173" s="15" t="inlineStr">
        <is>
          <t xml:space="preserve">Deuteronomy</t>
        </is>
      </c>
      <c r="F173" s="15">
        <v>16</v>
      </c>
      <c r="G173" s="15" t="inlineStr">
        <is>
          <t xml:space="preserve">v0.1</t>
        </is>
      </c>
      <c r="H173" s="15" t="inlineStr">
        <is>
          <t xml:space="preserve">Bible_Journey_Canon_Map_v0_1_Genesis_to_2Samuel.xlsx</t>
        </is>
      </c>
      <c r="I173" s="15" t="inlineStr">
        <is>
          <t xml:space="preserve">Chapter Map</t>
        </is>
      </c>
      <c r="J173" s="15" t="inlineStr">
        <is>
          <t xml:space="preserve">CRS-DEU-003</t>
        </is>
      </c>
      <c r="K173" s="15"/>
      <c r="L173" s="10" t="inlineStr">
        <is>
          <t xml:space="preserve">Mapped</t>
        </is>
      </c>
      <c r="M173" s="15"/>
      <c r="N173" s="15"/>
      <c r="O173" s="15">
        <v>1</v>
      </c>
      <c r="P173" s="10" t="str">
        <f>IF(L173="MISSING","MISSING",IF(O173=1,"PASS","DUPLICATE"))</f>
        <v>PASS</v>
      </c>
    </row>
    <row r="174" ht="22" customHeight="1">
      <c r="A174" s="15" t="inlineStr">
        <is>
          <t xml:space="preserve">Deuteronomy 17</t>
        </is>
      </c>
      <c r="B174" s="15">
        <v>170</v>
      </c>
      <c r="C174" s="15" t="inlineStr">
        <is>
          <t xml:space="preserve">Old Testament</t>
        </is>
      </c>
      <c r="D174" s="15">
        <v>5</v>
      </c>
      <c r="E174" s="15" t="inlineStr">
        <is>
          <t xml:space="preserve">Deuteronomy</t>
        </is>
      </c>
      <c r="F174" s="15">
        <v>17</v>
      </c>
      <c r="G174" s="15" t="inlineStr">
        <is>
          <t xml:space="preserve">v0.1</t>
        </is>
      </c>
      <c r="H174" s="15" t="inlineStr">
        <is>
          <t xml:space="preserve">Bible_Journey_Canon_Map_v0_1_Genesis_to_2Samuel.xlsx</t>
        </is>
      </c>
      <c r="I174" s="15" t="inlineStr">
        <is>
          <t xml:space="preserve">Chapter Map</t>
        </is>
      </c>
      <c r="J174" s="15" t="inlineStr">
        <is>
          <t xml:space="preserve">CRS-DEU-003</t>
        </is>
      </c>
      <c r="K174" s="15"/>
      <c r="L174" s="10" t="inlineStr">
        <is>
          <t xml:space="preserve">Mapped</t>
        </is>
      </c>
      <c r="M174" s="15"/>
      <c r="N174" s="15"/>
      <c r="O174" s="15">
        <v>1</v>
      </c>
      <c r="P174" s="10" t="str">
        <f>IF(L174="MISSING","MISSING",IF(O174=1,"PASS","DUPLICATE"))</f>
        <v>PASS</v>
      </c>
    </row>
    <row r="175" ht="22" customHeight="1">
      <c r="A175" s="15" t="inlineStr">
        <is>
          <t xml:space="preserve">Deuteronomy 18</t>
        </is>
      </c>
      <c r="B175" s="15">
        <v>171</v>
      </c>
      <c r="C175" s="15" t="inlineStr">
        <is>
          <t xml:space="preserve">Old Testament</t>
        </is>
      </c>
      <c r="D175" s="15">
        <v>5</v>
      </c>
      <c r="E175" s="15" t="inlineStr">
        <is>
          <t xml:space="preserve">Deuteronomy</t>
        </is>
      </c>
      <c r="F175" s="15">
        <v>18</v>
      </c>
      <c r="G175" s="15" t="inlineStr">
        <is>
          <t xml:space="preserve">v0.1</t>
        </is>
      </c>
      <c r="H175" s="15" t="inlineStr">
        <is>
          <t xml:space="preserve">Bible_Journey_Canon_Map_v0_1_Genesis_to_2Samuel.xlsx</t>
        </is>
      </c>
      <c r="I175" s="15" t="inlineStr">
        <is>
          <t xml:space="preserve">Chapter Map</t>
        </is>
      </c>
      <c r="J175" s="15" t="inlineStr">
        <is>
          <t xml:space="preserve">CRS-DEU-003</t>
        </is>
      </c>
      <c r="K175" s="15"/>
      <c r="L175" s="10" t="inlineStr">
        <is>
          <t xml:space="preserve">Mapped</t>
        </is>
      </c>
      <c r="M175" s="15"/>
      <c r="N175" s="15"/>
      <c r="O175" s="15">
        <v>1</v>
      </c>
      <c r="P175" s="10" t="str">
        <f>IF(L175="MISSING","MISSING",IF(O175=1,"PASS","DUPLICATE"))</f>
        <v>PASS</v>
      </c>
    </row>
    <row r="176" ht="22" customHeight="1">
      <c r="A176" s="15" t="inlineStr">
        <is>
          <t xml:space="preserve">Deuteronomy 19</t>
        </is>
      </c>
      <c r="B176" s="15">
        <v>172</v>
      </c>
      <c r="C176" s="15" t="inlineStr">
        <is>
          <t xml:space="preserve">Old Testament</t>
        </is>
      </c>
      <c r="D176" s="15">
        <v>5</v>
      </c>
      <c r="E176" s="15" t="inlineStr">
        <is>
          <t xml:space="preserve">Deuteronomy</t>
        </is>
      </c>
      <c r="F176" s="15">
        <v>19</v>
      </c>
      <c r="G176" s="15" t="inlineStr">
        <is>
          <t xml:space="preserve">v0.1</t>
        </is>
      </c>
      <c r="H176" s="15" t="inlineStr">
        <is>
          <t xml:space="preserve">Bible_Journey_Canon_Map_v0_1_Genesis_to_2Samuel.xlsx</t>
        </is>
      </c>
      <c r="I176" s="15" t="inlineStr">
        <is>
          <t xml:space="preserve">Chapter Map</t>
        </is>
      </c>
      <c r="J176" s="15" t="inlineStr">
        <is>
          <t xml:space="preserve">CRS-DEU-004</t>
        </is>
      </c>
      <c r="K176" s="15"/>
      <c r="L176" s="10" t="inlineStr">
        <is>
          <t xml:space="preserve">Mapped</t>
        </is>
      </c>
      <c r="M176" s="15"/>
      <c r="N176" s="15"/>
      <c r="O176" s="15">
        <v>1</v>
      </c>
      <c r="P176" s="10" t="str">
        <f>IF(L176="MISSING","MISSING",IF(O176=1,"PASS","DUPLICATE"))</f>
        <v>PASS</v>
      </c>
    </row>
    <row r="177" ht="22" customHeight="1">
      <c r="A177" s="15" t="inlineStr">
        <is>
          <t xml:space="preserve">Deuteronomy 20</t>
        </is>
      </c>
      <c r="B177" s="15">
        <v>173</v>
      </c>
      <c r="C177" s="15" t="inlineStr">
        <is>
          <t xml:space="preserve">Old Testament</t>
        </is>
      </c>
      <c r="D177" s="15">
        <v>5</v>
      </c>
      <c r="E177" s="15" t="inlineStr">
        <is>
          <t xml:space="preserve">Deuteronomy</t>
        </is>
      </c>
      <c r="F177" s="15">
        <v>20</v>
      </c>
      <c r="G177" s="15" t="inlineStr">
        <is>
          <t xml:space="preserve">v0.1</t>
        </is>
      </c>
      <c r="H177" s="15" t="inlineStr">
        <is>
          <t xml:space="preserve">Bible_Journey_Canon_Map_v0_1_Genesis_to_2Samuel.xlsx</t>
        </is>
      </c>
      <c r="I177" s="15" t="inlineStr">
        <is>
          <t xml:space="preserve">Chapter Map</t>
        </is>
      </c>
      <c r="J177" s="15" t="inlineStr">
        <is>
          <t xml:space="preserve">CRS-DEU-004</t>
        </is>
      </c>
      <c r="K177" s="15"/>
      <c r="L177" s="10" t="inlineStr">
        <is>
          <t xml:space="preserve">Mapped</t>
        </is>
      </c>
      <c r="M177" s="15"/>
      <c r="N177" s="15"/>
      <c r="O177" s="15">
        <v>1</v>
      </c>
      <c r="P177" s="10" t="str">
        <f>IF(L177="MISSING","MISSING",IF(O177=1,"PASS","DUPLICATE"))</f>
        <v>PASS</v>
      </c>
    </row>
    <row r="178" ht="22" customHeight="1">
      <c r="A178" s="15" t="inlineStr">
        <is>
          <t xml:space="preserve">Deuteronomy 21</t>
        </is>
      </c>
      <c r="B178" s="15">
        <v>174</v>
      </c>
      <c r="C178" s="15" t="inlineStr">
        <is>
          <t xml:space="preserve">Old Testament</t>
        </is>
      </c>
      <c r="D178" s="15">
        <v>5</v>
      </c>
      <c r="E178" s="15" t="inlineStr">
        <is>
          <t xml:space="preserve">Deuteronomy</t>
        </is>
      </c>
      <c r="F178" s="15">
        <v>21</v>
      </c>
      <c r="G178" s="15" t="inlineStr">
        <is>
          <t xml:space="preserve">v0.1</t>
        </is>
      </c>
      <c r="H178" s="15" t="inlineStr">
        <is>
          <t xml:space="preserve">Bible_Journey_Canon_Map_v0_1_Genesis_to_2Samuel.xlsx</t>
        </is>
      </c>
      <c r="I178" s="15" t="inlineStr">
        <is>
          <t xml:space="preserve">Chapter Map</t>
        </is>
      </c>
      <c r="J178" s="15" t="inlineStr">
        <is>
          <t xml:space="preserve">CRS-DEU-004</t>
        </is>
      </c>
      <c r="K178" s="15"/>
      <c r="L178" s="10" t="inlineStr">
        <is>
          <t xml:space="preserve">Mapped</t>
        </is>
      </c>
      <c r="M178" s="15"/>
      <c r="N178" s="15"/>
      <c r="O178" s="15">
        <v>1</v>
      </c>
      <c r="P178" s="10" t="str">
        <f>IF(L178="MISSING","MISSING",IF(O178=1,"PASS","DUPLICATE"))</f>
        <v>PASS</v>
      </c>
    </row>
    <row r="179" ht="22" customHeight="1">
      <c r="A179" s="15" t="inlineStr">
        <is>
          <t xml:space="preserve">Deuteronomy 22</t>
        </is>
      </c>
      <c r="B179" s="15">
        <v>175</v>
      </c>
      <c r="C179" s="15" t="inlineStr">
        <is>
          <t xml:space="preserve">Old Testament</t>
        </is>
      </c>
      <c r="D179" s="15">
        <v>5</v>
      </c>
      <c r="E179" s="15" t="inlineStr">
        <is>
          <t xml:space="preserve">Deuteronomy</t>
        </is>
      </c>
      <c r="F179" s="15">
        <v>22</v>
      </c>
      <c r="G179" s="15" t="inlineStr">
        <is>
          <t xml:space="preserve">v0.1</t>
        </is>
      </c>
      <c r="H179" s="15" t="inlineStr">
        <is>
          <t xml:space="preserve">Bible_Journey_Canon_Map_v0_1_Genesis_to_2Samuel.xlsx</t>
        </is>
      </c>
      <c r="I179" s="15" t="inlineStr">
        <is>
          <t xml:space="preserve">Chapter Map</t>
        </is>
      </c>
      <c r="J179" s="15" t="inlineStr">
        <is>
          <t xml:space="preserve">CRS-DEU-004</t>
        </is>
      </c>
      <c r="K179" s="15"/>
      <c r="L179" s="10" t="inlineStr">
        <is>
          <t xml:space="preserve">Mapped</t>
        </is>
      </c>
      <c r="M179" s="15"/>
      <c r="N179" s="15"/>
      <c r="O179" s="15">
        <v>1</v>
      </c>
      <c r="P179" s="10" t="str">
        <f>IF(L179="MISSING","MISSING",IF(O179=1,"PASS","DUPLICATE"))</f>
        <v>PASS</v>
      </c>
    </row>
    <row r="180" ht="22" customHeight="1">
      <c r="A180" s="15" t="inlineStr">
        <is>
          <t xml:space="preserve">Deuteronomy 23</t>
        </is>
      </c>
      <c r="B180" s="15">
        <v>176</v>
      </c>
      <c r="C180" s="15" t="inlineStr">
        <is>
          <t xml:space="preserve">Old Testament</t>
        </is>
      </c>
      <c r="D180" s="15">
        <v>5</v>
      </c>
      <c r="E180" s="15" t="inlineStr">
        <is>
          <t xml:space="preserve">Deuteronomy</t>
        </is>
      </c>
      <c r="F180" s="15">
        <v>23</v>
      </c>
      <c r="G180" s="15" t="inlineStr">
        <is>
          <t xml:space="preserve">v0.1</t>
        </is>
      </c>
      <c r="H180" s="15" t="inlineStr">
        <is>
          <t xml:space="preserve">Bible_Journey_Canon_Map_v0_1_Genesis_to_2Samuel.xlsx</t>
        </is>
      </c>
      <c r="I180" s="15" t="inlineStr">
        <is>
          <t xml:space="preserve">Chapter Map</t>
        </is>
      </c>
      <c r="J180" s="15" t="inlineStr">
        <is>
          <t xml:space="preserve">CRS-DEU-004</t>
        </is>
      </c>
      <c r="K180" s="15"/>
      <c r="L180" s="10" t="inlineStr">
        <is>
          <t xml:space="preserve">Mapped</t>
        </is>
      </c>
      <c r="M180" s="15"/>
      <c r="N180" s="15"/>
      <c r="O180" s="15">
        <v>1</v>
      </c>
      <c r="P180" s="10" t="str">
        <f>IF(L180="MISSING","MISSING",IF(O180=1,"PASS","DUPLICATE"))</f>
        <v>PASS</v>
      </c>
    </row>
    <row r="181" ht="22" customHeight="1">
      <c r="A181" s="15" t="inlineStr">
        <is>
          <t xml:space="preserve">Deuteronomy 24</t>
        </is>
      </c>
      <c r="B181" s="15">
        <v>177</v>
      </c>
      <c r="C181" s="15" t="inlineStr">
        <is>
          <t xml:space="preserve">Old Testament</t>
        </is>
      </c>
      <c r="D181" s="15">
        <v>5</v>
      </c>
      <c r="E181" s="15" t="inlineStr">
        <is>
          <t xml:space="preserve">Deuteronomy</t>
        </is>
      </c>
      <c r="F181" s="15">
        <v>24</v>
      </c>
      <c r="G181" s="15" t="inlineStr">
        <is>
          <t xml:space="preserve">v0.1</t>
        </is>
      </c>
      <c r="H181" s="15" t="inlineStr">
        <is>
          <t xml:space="preserve">Bible_Journey_Canon_Map_v0_1_Genesis_to_2Samuel.xlsx</t>
        </is>
      </c>
      <c r="I181" s="15" t="inlineStr">
        <is>
          <t xml:space="preserve">Chapter Map</t>
        </is>
      </c>
      <c r="J181" s="15" t="inlineStr">
        <is>
          <t xml:space="preserve">CRS-DEU-004</t>
        </is>
      </c>
      <c r="K181" s="15"/>
      <c r="L181" s="10" t="inlineStr">
        <is>
          <t xml:space="preserve">Mapped</t>
        </is>
      </c>
      <c r="M181" s="15"/>
      <c r="N181" s="15"/>
      <c r="O181" s="15">
        <v>1</v>
      </c>
      <c r="P181" s="10" t="str">
        <f>IF(L181="MISSING","MISSING",IF(O181=1,"PASS","DUPLICATE"))</f>
        <v>PASS</v>
      </c>
    </row>
    <row r="182" ht="22" customHeight="1">
      <c r="A182" s="15" t="inlineStr">
        <is>
          <t xml:space="preserve">Deuteronomy 25</t>
        </is>
      </c>
      <c r="B182" s="15">
        <v>178</v>
      </c>
      <c r="C182" s="15" t="inlineStr">
        <is>
          <t xml:space="preserve">Old Testament</t>
        </is>
      </c>
      <c r="D182" s="15">
        <v>5</v>
      </c>
      <c r="E182" s="15" t="inlineStr">
        <is>
          <t xml:space="preserve">Deuteronomy</t>
        </is>
      </c>
      <c r="F182" s="15">
        <v>25</v>
      </c>
      <c r="G182" s="15" t="inlineStr">
        <is>
          <t xml:space="preserve">v0.1</t>
        </is>
      </c>
      <c r="H182" s="15" t="inlineStr">
        <is>
          <t xml:space="preserve">Bible_Journey_Canon_Map_v0_1_Genesis_to_2Samuel.xlsx</t>
        </is>
      </c>
      <c r="I182" s="15" t="inlineStr">
        <is>
          <t xml:space="preserve">Chapter Map</t>
        </is>
      </c>
      <c r="J182" s="15" t="inlineStr">
        <is>
          <t xml:space="preserve">CRS-DEU-004</t>
        </is>
      </c>
      <c r="K182" s="15"/>
      <c r="L182" s="10" t="inlineStr">
        <is>
          <t xml:space="preserve">Mapped</t>
        </is>
      </c>
      <c r="M182" s="15"/>
      <c r="N182" s="15"/>
      <c r="O182" s="15">
        <v>1</v>
      </c>
      <c r="P182" s="10" t="str">
        <f>IF(L182="MISSING","MISSING",IF(O182=1,"PASS","DUPLICATE"))</f>
        <v>PASS</v>
      </c>
    </row>
    <row r="183" ht="22" customHeight="1">
      <c r="A183" s="15" t="inlineStr">
        <is>
          <t xml:space="preserve">Deuteronomy 26</t>
        </is>
      </c>
      <c r="B183" s="15">
        <v>179</v>
      </c>
      <c r="C183" s="15" t="inlineStr">
        <is>
          <t xml:space="preserve">Old Testament</t>
        </is>
      </c>
      <c r="D183" s="15">
        <v>5</v>
      </c>
      <c r="E183" s="15" t="inlineStr">
        <is>
          <t xml:space="preserve">Deuteronomy</t>
        </is>
      </c>
      <c r="F183" s="15">
        <v>26</v>
      </c>
      <c r="G183" s="15" t="inlineStr">
        <is>
          <t xml:space="preserve">v0.1</t>
        </is>
      </c>
      <c r="H183" s="15" t="inlineStr">
        <is>
          <t xml:space="preserve">Bible_Journey_Canon_Map_v0_1_Genesis_to_2Samuel.xlsx</t>
        </is>
      </c>
      <c r="I183" s="15" t="inlineStr">
        <is>
          <t xml:space="preserve">Chapter Map</t>
        </is>
      </c>
      <c r="J183" s="15" t="inlineStr">
        <is>
          <t xml:space="preserve">CRS-DEU-004</t>
        </is>
      </c>
      <c r="K183" s="15"/>
      <c r="L183" s="10" t="inlineStr">
        <is>
          <t xml:space="preserve">Mapped</t>
        </is>
      </c>
      <c r="M183" s="15"/>
      <c r="N183" s="15"/>
      <c r="O183" s="15">
        <v>1</v>
      </c>
      <c r="P183" s="10" t="str">
        <f>IF(L183="MISSING","MISSING",IF(O183=1,"PASS","DUPLICATE"))</f>
        <v>PASS</v>
      </c>
    </row>
    <row r="184" ht="22" customHeight="1">
      <c r="A184" s="15" t="inlineStr">
        <is>
          <t xml:space="preserve">Deuteronomy 27</t>
        </is>
      </c>
      <c r="B184" s="15">
        <v>180</v>
      </c>
      <c r="C184" s="15" t="inlineStr">
        <is>
          <t xml:space="preserve">Old Testament</t>
        </is>
      </c>
      <c r="D184" s="15">
        <v>5</v>
      </c>
      <c r="E184" s="15" t="inlineStr">
        <is>
          <t xml:space="preserve">Deuteronomy</t>
        </is>
      </c>
      <c r="F184" s="15">
        <v>27</v>
      </c>
      <c r="G184" s="15" t="inlineStr">
        <is>
          <t xml:space="preserve">v0.1</t>
        </is>
      </c>
      <c r="H184" s="15" t="inlineStr">
        <is>
          <t xml:space="preserve">Bible_Journey_Canon_Map_v0_1_Genesis_to_2Samuel.xlsx</t>
        </is>
      </c>
      <c r="I184" s="15" t="inlineStr">
        <is>
          <t xml:space="preserve">Chapter Map</t>
        </is>
      </c>
      <c r="J184" s="15" t="inlineStr">
        <is>
          <t xml:space="preserve">CRS-DEU-005</t>
        </is>
      </c>
      <c r="K184" s="15"/>
      <c r="L184" s="10" t="inlineStr">
        <is>
          <t xml:space="preserve">Mapped</t>
        </is>
      </c>
      <c r="M184" s="15"/>
      <c r="N184" s="15"/>
      <c r="O184" s="15">
        <v>1</v>
      </c>
      <c r="P184" s="10" t="str">
        <f>IF(L184="MISSING","MISSING",IF(O184=1,"PASS","DUPLICATE"))</f>
        <v>PASS</v>
      </c>
    </row>
    <row r="185" ht="22" customHeight="1">
      <c r="A185" s="15" t="inlineStr">
        <is>
          <t xml:space="preserve">Deuteronomy 28</t>
        </is>
      </c>
      <c r="B185" s="15">
        <v>181</v>
      </c>
      <c r="C185" s="15" t="inlineStr">
        <is>
          <t xml:space="preserve">Old Testament</t>
        </is>
      </c>
      <c r="D185" s="15">
        <v>5</v>
      </c>
      <c r="E185" s="15" t="inlineStr">
        <is>
          <t xml:space="preserve">Deuteronomy</t>
        </is>
      </c>
      <c r="F185" s="15">
        <v>28</v>
      </c>
      <c r="G185" s="15" t="inlineStr">
        <is>
          <t xml:space="preserve">v0.1</t>
        </is>
      </c>
      <c r="H185" s="15" t="inlineStr">
        <is>
          <t xml:space="preserve">Bible_Journey_Canon_Map_v0_1_Genesis_to_2Samuel.xlsx</t>
        </is>
      </c>
      <c r="I185" s="15" t="inlineStr">
        <is>
          <t xml:space="preserve">Chapter Map</t>
        </is>
      </c>
      <c r="J185" s="15" t="inlineStr">
        <is>
          <t xml:space="preserve">CRS-DEU-005</t>
        </is>
      </c>
      <c r="K185" s="15"/>
      <c r="L185" s="10" t="inlineStr">
        <is>
          <t xml:space="preserve">Mapped</t>
        </is>
      </c>
      <c r="M185" s="15"/>
      <c r="N185" s="15"/>
      <c r="O185" s="15">
        <v>1</v>
      </c>
      <c r="P185" s="10" t="str">
        <f>IF(L185="MISSING","MISSING",IF(O185=1,"PASS","DUPLICATE"))</f>
        <v>PASS</v>
      </c>
    </row>
    <row r="186" ht="22" customHeight="1">
      <c r="A186" s="15" t="inlineStr">
        <is>
          <t xml:space="preserve">Deuteronomy 29</t>
        </is>
      </c>
      <c r="B186" s="15">
        <v>182</v>
      </c>
      <c r="C186" s="15" t="inlineStr">
        <is>
          <t xml:space="preserve">Old Testament</t>
        </is>
      </c>
      <c r="D186" s="15">
        <v>5</v>
      </c>
      <c r="E186" s="15" t="inlineStr">
        <is>
          <t xml:space="preserve">Deuteronomy</t>
        </is>
      </c>
      <c r="F186" s="15">
        <v>29</v>
      </c>
      <c r="G186" s="15" t="inlineStr">
        <is>
          <t xml:space="preserve">v0.1</t>
        </is>
      </c>
      <c r="H186" s="15" t="inlineStr">
        <is>
          <t xml:space="preserve">Bible_Journey_Canon_Map_v0_1_Genesis_to_2Samuel.xlsx</t>
        </is>
      </c>
      <c r="I186" s="15" t="inlineStr">
        <is>
          <t xml:space="preserve">Chapter Map</t>
        </is>
      </c>
      <c r="J186" s="15" t="inlineStr">
        <is>
          <t xml:space="preserve">CRS-DEU-006</t>
        </is>
      </c>
      <c r="K186" s="15"/>
      <c r="L186" s="10" t="inlineStr">
        <is>
          <t xml:space="preserve">Mapped</t>
        </is>
      </c>
      <c r="M186" s="15"/>
      <c r="N186" s="15"/>
      <c r="O186" s="15">
        <v>1</v>
      </c>
      <c r="P186" s="10" t="str">
        <f>IF(L186="MISSING","MISSING",IF(O186=1,"PASS","DUPLICATE"))</f>
        <v>PASS</v>
      </c>
    </row>
    <row r="187" ht="22" customHeight="1">
      <c r="A187" s="15" t="inlineStr">
        <is>
          <t xml:space="preserve">Deuteronomy 30</t>
        </is>
      </c>
      <c r="B187" s="15">
        <v>183</v>
      </c>
      <c r="C187" s="15" t="inlineStr">
        <is>
          <t xml:space="preserve">Old Testament</t>
        </is>
      </c>
      <c r="D187" s="15">
        <v>5</v>
      </c>
      <c r="E187" s="15" t="inlineStr">
        <is>
          <t xml:space="preserve">Deuteronomy</t>
        </is>
      </c>
      <c r="F187" s="15">
        <v>30</v>
      </c>
      <c r="G187" s="15" t="inlineStr">
        <is>
          <t xml:space="preserve">v0.1</t>
        </is>
      </c>
      <c r="H187" s="15" t="inlineStr">
        <is>
          <t xml:space="preserve">Bible_Journey_Canon_Map_v0_1_Genesis_to_2Samuel.xlsx</t>
        </is>
      </c>
      <c r="I187" s="15" t="inlineStr">
        <is>
          <t xml:space="preserve">Chapter Map</t>
        </is>
      </c>
      <c r="J187" s="15" t="inlineStr">
        <is>
          <t xml:space="preserve">CRS-DEU-006</t>
        </is>
      </c>
      <c r="K187" s="15"/>
      <c r="L187" s="10" t="inlineStr">
        <is>
          <t xml:space="preserve">Mapped</t>
        </is>
      </c>
      <c r="M187" s="15"/>
      <c r="N187" s="15"/>
      <c r="O187" s="15">
        <v>1</v>
      </c>
      <c r="P187" s="10" t="str">
        <f>IF(L187="MISSING","MISSING",IF(O187=1,"PASS","DUPLICATE"))</f>
        <v>PASS</v>
      </c>
    </row>
    <row r="188" ht="22" customHeight="1">
      <c r="A188" s="15" t="inlineStr">
        <is>
          <t xml:space="preserve">Deuteronomy 31</t>
        </is>
      </c>
      <c r="B188" s="15">
        <v>184</v>
      </c>
      <c r="C188" s="15" t="inlineStr">
        <is>
          <t xml:space="preserve">Old Testament</t>
        </is>
      </c>
      <c r="D188" s="15">
        <v>5</v>
      </c>
      <c r="E188" s="15" t="inlineStr">
        <is>
          <t xml:space="preserve">Deuteronomy</t>
        </is>
      </c>
      <c r="F188" s="15">
        <v>31</v>
      </c>
      <c r="G188" s="15" t="inlineStr">
        <is>
          <t xml:space="preserve">v0.1</t>
        </is>
      </c>
      <c r="H188" s="15" t="inlineStr">
        <is>
          <t xml:space="preserve">Bible_Journey_Canon_Map_v0_1_Genesis_to_2Samuel.xlsx</t>
        </is>
      </c>
      <c r="I188" s="15" t="inlineStr">
        <is>
          <t xml:space="preserve">Chapter Map</t>
        </is>
      </c>
      <c r="J188" s="15" t="inlineStr">
        <is>
          <t xml:space="preserve">CRS-DEU-007</t>
        </is>
      </c>
      <c r="K188" s="15"/>
      <c r="L188" s="10" t="inlineStr">
        <is>
          <t xml:space="preserve">Mapped</t>
        </is>
      </c>
      <c r="M188" s="15"/>
      <c r="N188" s="15"/>
      <c r="O188" s="15">
        <v>1</v>
      </c>
      <c r="P188" s="10" t="str">
        <f>IF(L188="MISSING","MISSING",IF(O188=1,"PASS","DUPLICATE"))</f>
        <v>PASS</v>
      </c>
    </row>
    <row r="189" ht="22" customHeight="1">
      <c r="A189" s="15" t="inlineStr">
        <is>
          <t xml:space="preserve">Deuteronomy 32</t>
        </is>
      </c>
      <c r="B189" s="15">
        <v>185</v>
      </c>
      <c r="C189" s="15" t="inlineStr">
        <is>
          <t xml:space="preserve">Old Testament</t>
        </is>
      </c>
      <c r="D189" s="15">
        <v>5</v>
      </c>
      <c r="E189" s="15" t="inlineStr">
        <is>
          <t xml:space="preserve">Deuteronomy</t>
        </is>
      </c>
      <c r="F189" s="15">
        <v>32</v>
      </c>
      <c r="G189" s="15" t="inlineStr">
        <is>
          <t xml:space="preserve">v0.1</t>
        </is>
      </c>
      <c r="H189" s="15" t="inlineStr">
        <is>
          <t xml:space="preserve">Bible_Journey_Canon_Map_v0_1_Genesis_to_2Samuel.xlsx</t>
        </is>
      </c>
      <c r="I189" s="15" t="inlineStr">
        <is>
          <t xml:space="preserve">Chapter Map</t>
        </is>
      </c>
      <c r="J189" s="15" t="inlineStr">
        <is>
          <t xml:space="preserve">CRS-DEU-007</t>
        </is>
      </c>
      <c r="K189" s="15"/>
      <c r="L189" s="10" t="inlineStr">
        <is>
          <t xml:space="preserve">Mapped</t>
        </is>
      </c>
      <c r="M189" s="15"/>
      <c r="N189" s="15"/>
      <c r="O189" s="15">
        <v>1</v>
      </c>
      <c r="P189" s="10" t="str">
        <f>IF(L189="MISSING","MISSING",IF(O189=1,"PASS","DUPLICATE"))</f>
        <v>PASS</v>
      </c>
    </row>
    <row r="190" ht="22" customHeight="1">
      <c r="A190" s="15" t="inlineStr">
        <is>
          <t xml:space="preserve">Deuteronomy 33</t>
        </is>
      </c>
      <c r="B190" s="15">
        <v>186</v>
      </c>
      <c r="C190" s="15" t="inlineStr">
        <is>
          <t xml:space="preserve">Old Testament</t>
        </is>
      </c>
      <c r="D190" s="15">
        <v>5</v>
      </c>
      <c r="E190" s="15" t="inlineStr">
        <is>
          <t xml:space="preserve">Deuteronomy</t>
        </is>
      </c>
      <c r="F190" s="15">
        <v>33</v>
      </c>
      <c r="G190" s="15" t="inlineStr">
        <is>
          <t xml:space="preserve">v0.1</t>
        </is>
      </c>
      <c r="H190" s="15" t="inlineStr">
        <is>
          <t xml:space="preserve">Bible_Journey_Canon_Map_v0_1_Genesis_to_2Samuel.xlsx</t>
        </is>
      </c>
      <c r="I190" s="15" t="inlineStr">
        <is>
          <t xml:space="preserve">Chapter Map</t>
        </is>
      </c>
      <c r="J190" s="15" t="inlineStr">
        <is>
          <t xml:space="preserve">CRS-DEU-008</t>
        </is>
      </c>
      <c r="K190" s="15"/>
      <c r="L190" s="10" t="inlineStr">
        <is>
          <t xml:space="preserve">Mapped</t>
        </is>
      </c>
      <c r="M190" s="15"/>
      <c r="N190" s="15"/>
      <c r="O190" s="15">
        <v>1</v>
      </c>
      <c r="P190" s="10" t="str">
        <f>IF(L190="MISSING","MISSING",IF(O190=1,"PASS","DUPLICATE"))</f>
        <v>PASS</v>
      </c>
    </row>
    <row r="191" ht="22" customHeight="1">
      <c r="A191" s="15" t="inlineStr">
        <is>
          <t xml:space="preserve">Deuteronomy 34</t>
        </is>
      </c>
      <c r="B191" s="15">
        <v>187</v>
      </c>
      <c r="C191" s="15" t="inlineStr">
        <is>
          <t xml:space="preserve">Old Testament</t>
        </is>
      </c>
      <c r="D191" s="15">
        <v>5</v>
      </c>
      <c r="E191" s="15" t="inlineStr">
        <is>
          <t xml:space="preserve">Deuteronomy</t>
        </is>
      </c>
      <c r="F191" s="15">
        <v>34</v>
      </c>
      <c r="G191" s="15" t="inlineStr">
        <is>
          <t xml:space="preserve">v0.1</t>
        </is>
      </c>
      <c r="H191" s="15" t="inlineStr">
        <is>
          <t xml:space="preserve">Bible_Journey_Canon_Map_v0_1_Genesis_to_2Samuel.xlsx</t>
        </is>
      </c>
      <c r="I191" s="15" t="inlineStr">
        <is>
          <t xml:space="preserve">Chapter Map</t>
        </is>
      </c>
      <c r="J191" s="15" t="inlineStr">
        <is>
          <t xml:space="preserve">CRS-DEU-008</t>
        </is>
      </c>
      <c r="K191" s="15"/>
      <c r="L191" s="10" t="inlineStr">
        <is>
          <t xml:space="preserve">Mapped</t>
        </is>
      </c>
      <c r="M191" s="15"/>
      <c r="N191" s="15"/>
      <c r="O191" s="15">
        <v>1</v>
      </c>
      <c r="P191" s="10" t="str">
        <f>IF(L191="MISSING","MISSING",IF(O191=1,"PASS","DUPLICATE"))</f>
        <v>PASS</v>
      </c>
    </row>
    <row r="192" ht="22" customHeight="1">
      <c r="A192" s="15" t="inlineStr">
        <is>
          <t xml:space="preserve">Joshua 1</t>
        </is>
      </c>
      <c r="B192" s="15">
        <v>188</v>
      </c>
      <c r="C192" s="15" t="inlineStr">
        <is>
          <t xml:space="preserve">Old Testament</t>
        </is>
      </c>
      <c r="D192" s="15">
        <v>6</v>
      </c>
      <c r="E192" s="15" t="inlineStr">
        <is>
          <t xml:space="preserve">Joshua</t>
        </is>
      </c>
      <c r="F192" s="15">
        <v>1</v>
      </c>
      <c r="G192" s="15" t="inlineStr">
        <is>
          <t xml:space="preserve">v0.1</t>
        </is>
      </c>
      <c r="H192" s="15" t="inlineStr">
        <is>
          <t xml:space="preserve">Bible_Journey_Canon_Map_v0_1_Genesis_to_2Samuel.xlsx</t>
        </is>
      </c>
      <c r="I192" s="15" t="inlineStr">
        <is>
          <t xml:space="preserve">Chapter Map</t>
        </is>
      </c>
      <c r="J192" s="15" t="inlineStr">
        <is>
          <t xml:space="preserve">CRS-JOS-001</t>
        </is>
      </c>
      <c r="K192" s="15"/>
      <c r="L192" s="10" t="inlineStr">
        <is>
          <t xml:space="preserve">Mapped</t>
        </is>
      </c>
      <c r="M192" s="15"/>
      <c r="N192" s="15"/>
      <c r="O192" s="15">
        <v>1</v>
      </c>
      <c r="P192" s="10" t="str">
        <f>IF(L192="MISSING","MISSING",IF(O192=1,"PASS","DUPLICATE"))</f>
        <v>PASS</v>
      </c>
    </row>
    <row r="193" ht="22" customHeight="1">
      <c r="A193" s="15" t="inlineStr">
        <is>
          <t xml:space="preserve">Joshua 2</t>
        </is>
      </c>
      <c r="B193" s="15">
        <v>189</v>
      </c>
      <c r="C193" s="15" t="inlineStr">
        <is>
          <t xml:space="preserve">Old Testament</t>
        </is>
      </c>
      <c r="D193" s="15">
        <v>6</v>
      </c>
      <c r="E193" s="15" t="inlineStr">
        <is>
          <t xml:space="preserve">Joshua</t>
        </is>
      </c>
      <c r="F193" s="15">
        <v>2</v>
      </c>
      <c r="G193" s="15" t="inlineStr">
        <is>
          <t xml:space="preserve">v0.1</t>
        </is>
      </c>
      <c r="H193" s="15" t="inlineStr">
        <is>
          <t xml:space="preserve">Bible_Journey_Canon_Map_v0_1_Genesis_to_2Samuel.xlsx</t>
        </is>
      </c>
      <c r="I193" s="15" t="inlineStr">
        <is>
          <t xml:space="preserve">Chapter Map</t>
        </is>
      </c>
      <c r="J193" s="15" t="inlineStr">
        <is>
          <t xml:space="preserve">CRS-JOS-001</t>
        </is>
      </c>
      <c r="K193" s="15"/>
      <c r="L193" s="10" t="inlineStr">
        <is>
          <t xml:space="preserve">Mapped</t>
        </is>
      </c>
      <c r="M193" s="15"/>
      <c r="N193" s="15"/>
      <c r="O193" s="15">
        <v>1</v>
      </c>
      <c r="P193" s="10" t="str">
        <f>IF(L193="MISSING","MISSING",IF(O193=1,"PASS","DUPLICATE"))</f>
        <v>PASS</v>
      </c>
    </row>
    <row r="194" ht="22" customHeight="1">
      <c r="A194" s="15" t="inlineStr">
        <is>
          <t xml:space="preserve">Joshua 3</t>
        </is>
      </c>
      <c r="B194" s="15">
        <v>190</v>
      </c>
      <c r="C194" s="15" t="inlineStr">
        <is>
          <t xml:space="preserve">Old Testament</t>
        </is>
      </c>
      <c r="D194" s="15">
        <v>6</v>
      </c>
      <c r="E194" s="15" t="inlineStr">
        <is>
          <t xml:space="preserve">Joshua</t>
        </is>
      </c>
      <c r="F194" s="15">
        <v>3</v>
      </c>
      <c r="G194" s="15" t="inlineStr">
        <is>
          <t xml:space="preserve">v0.1</t>
        </is>
      </c>
      <c r="H194" s="15" t="inlineStr">
        <is>
          <t xml:space="preserve">Bible_Journey_Canon_Map_v0_1_Genesis_to_2Samuel.xlsx</t>
        </is>
      </c>
      <c r="I194" s="15" t="inlineStr">
        <is>
          <t xml:space="preserve">Chapter Map</t>
        </is>
      </c>
      <c r="J194" s="15" t="inlineStr">
        <is>
          <t xml:space="preserve">CRS-JOS-002</t>
        </is>
      </c>
      <c r="K194" s="15"/>
      <c r="L194" s="10" t="inlineStr">
        <is>
          <t xml:space="preserve">Mapped</t>
        </is>
      </c>
      <c r="M194" s="15"/>
      <c r="N194" s="15"/>
      <c r="O194" s="15">
        <v>1</v>
      </c>
      <c r="P194" s="10" t="str">
        <f>IF(L194="MISSING","MISSING",IF(O194=1,"PASS","DUPLICATE"))</f>
        <v>PASS</v>
      </c>
    </row>
    <row r="195" ht="22" customHeight="1">
      <c r="A195" s="15" t="inlineStr">
        <is>
          <t xml:space="preserve">Joshua 4</t>
        </is>
      </c>
      <c r="B195" s="15">
        <v>191</v>
      </c>
      <c r="C195" s="15" t="inlineStr">
        <is>
          <t xml:space="preserve">Old Testament</t>
        </is>
      </c>
      <c r="D195" s="15">
        <v>6</v>
      </c>
      <c r="E195" s="15" t="inlineStr">
        <is>
          <t xml:space="preserve">Joshua</t>
        </is>
      </c>
      <c r="F195" s="15">
        <v>4</v>
      </c>
      <c r="G195" s="15" t="inlineStr">
        <is>
          <t xml:space="preserve">v0.1</t>
        </is>
      </c>
      <c r="H195" s="15" t="inlineStr">
        <is>
          <t xml:space="preserve">Bible_Journey_Canon_Map_v0_1_Genesis_to_2Samuel.xlsx</t>
        </is>
      </c>
      <c r="I195" s="15" t="inlineStr">
        <is>
          <t xml:space="preserve">Chapter Map</t>
        </is>
      </c>
      <c r="J195" s="15" t="inlineStr">
        <is>
          <t xml:space="preserve">CRS-JOS-002</t>
        </is>
      </c>
      <c r="K195" s="15"/>
      <c r="L195" s="10" t="inlineStr">
        <is>
          <t xml:space="preserve">Mapped</t>
        </is>
      </c>
      <c r="M195" s="15"/>
      <c r="N195" s="15"/>
      <c r="O195" s="15">
        <v>1</v>
      </c>
      <c r="P195" s="10" t="str">
        <f>IF(L195="MISSING","MISSING",IF(O195=1,"PASS","DUPLICATE"))</f>
        <v>PASS</v>
      </c>
    </row>
    <row r="196" ht="22" customHeight="1">
      <c r="A196" s="15" t="inlineStr">
        <is>
          <t xml:space="preserve">Joshua 5</t>
        </is>
      </c>
      <c r="B196" s="15">
        <v>192</v>
      </c>
      <c r="C196" s="15" t="inlineStr">
        <is>
          <t xml:space="preserve">Old Testament</t>
        </is>
      </c>
      <c r="D196" s="15">
        <v>6</v>
      </c>
      <c r="E196" s="15" t="inlineStr">
        <is>
          <t xml:space="preserve">Joshua</t>
        </is>
      </c>
      <c r="F196" s="15">
        <v>5</v>
      </c>
      <c r="G196" s="15" t="inlineStr">
        <is>
          <t xml:space="preserve">v0.1</t>
        </is>
      </c>
      <c r="H196" s="15" t="inlineStr">
        <is>
          <t xml:space="preserve">Bible_Journey_Canon_Map_v0_1_Genesis_to_2Samuel.xlsx</t>
        </is>
      </c>
      <c r="I196" s="15" t="inlineStr">
        <is>
          <t xml:space="preserve">Chapter Map</t>
        </is>
      </c>
      <c r="J196" s="15" t="inlineStr">
        <is>
          <t xml:space="preserve">CRS-JOS-003</t>
        </is>
      </c>
      <c r="K196" s="15"/>
      <c r="L196" s="10" t="inlineStr">
        <is>
          <t xml:space="preserve">Mapped</t>
        </is>
      </c>
      <c r="M196" s="15"/>
      <c r="N196" s="15"/>
      <c r="O196" s="15">
        <v>1</v>
      </c>
      <c r="P196" s="10" t="str">
        <f>IF(L196="MISSING","MISSING",IF(O196=1,"PASS","DUPLICATE"))</f>
        <v>PASS</v>
      </c>
    </row>
    <row r="197" ht="22" customHeight="1">
      <c r="A197" s="15" t="inlineStr">
        <is>
          <t xml:space="preserve">Joshua 6</t>
        </is>
      </c>
      <c r="B197" s="15">
        <v>193</v>
      </c>
      <c r="C197" s="15" t="inlineStr">
        <is>
          <t xml:space="preserve">Old Testament</t>
        </is>
      </c>
      <c r="D197" s="15">
        <v>6</v>
      </c>
      <c r="E197" s="15" t="inlineStr">
        <is>
          <t xml:space="preserve">Joshua</t>
        </is>
      </c>
      <c r="F197" s="15">
        <v>6</v>
      </c>
      <c r="G197" s="15" t="inlineStr">
        <is>
          <t xml:space="preserve">v0.1</t>
        </is>
      </c>
      <c r="H197" s="15" t="inlineStr">
        <is>
          <t xml:space="preserve">Bible_Journey_Canon_Map_v0_1_Genesis_to_2Samuel.xlsx</t>
        </is>
      </c>
      <c r="I197" s="15" t="inlineStr">
        <is>
          <t xml:space="preserve">Chapter Map</t>
        </is>
      </c>
      <c r="J197" s="15" t="inlineStr">
        <is>
          <t xml:space="preserve">CRS-JOS-003</t>
        </is>
      </c>
      <c r="K197" s="15"/>
      <c r="L197" s="10" t="inlineStr">
        <is>
          <t xml:space="preserve">Mapped</t>
        </is>
      </c>
      <c r="M197" s="15"/>
      <c r="N197" s="15"/>
      <c r="O197" s="15">
        <v>1</v>
      </c>
      <c r="P197" s="10" t="str">
        <f>IF(L197="MISSING","MISSING",IF(O197=1,"PASS","DUPLICATE"))</f>
        <v>PASS</v>
      </c>
    </row>
    <row r="198" ht="22" customHeight="1">
      <c r="A198" s="15" t="inlineStr">
        <is>
          <t xml:space="preserve">Joshua 7</t>
        </is>
      </c>
      <c r="B198" s="15">
        <v>194</v>
      </c>
      <c r="C198" s="15" t="inlineStr">
        <is>
          <t xml:space="preserve">Old Testament</t>
        </is>
      </c>
      <c r="D198" s="15">
        <v>6</v>
      </c>
      <c r="E198" s="15" t="inlineStr">
        <is>
          <t xml:space="preserve">Joshua</t>
        </is>
      </c>
      <c r="F198" s="15">
        <v>7</v>
      </c>
      <c r="G198" s="15" t="inlineStr">
        <is>
          <t xml:space="preserve">v0.1</t>
        </is>
      </c>
      <c r="H198" s="15" t="inlineStr">
        <is>
          <t xml:space="preserve">Bible_Journey_Canon_Map_v0_1_Genesis_to_2Samuel.xlsx</t>
        </is>
      </c>
      <c r="I198" s="15" t="inlineStr">
        <is>
          <t xml:space="preserve">Chapter Map</t>
        </is>
      </c>
      <c r="J198" s="15" t="inlineStr">
        <is>
          <t xml:space="preserve">CRS-JOS-004</t>
        </is>
      </c>
      <c r="K198" s="15"/>
      <c r="L198" s="10" t="inlineStr">
        <is>
          <t xml:space="preserve">Mapped</t>
        </is>
      </c>
      <c r="M198" s="15"/>
      <c r="N198" s="15"/>
      <c r="O198" s="15">
        <v>1</v>
      </c>
      <c r="P198" s="10" t="str">
        <f>IF(L198="MISSING","MISSING",IF(O198=1,"PASS","DUPLICATE"))</f>
        <v>PASS</v>
      </c>
    </row>
    <row r="199" ht="22" customHeight="1">
      <c r="A199" s="15" t="inlineStr">
        <is>
          <t xml:space="preserve">Joshua 8</t>
        </is>
      </c>
      <c r="B199" s="15">
        <v>195</v>
      </c>
      <c r="C199" s="15" t="inlineStr">
        <is>
          <t xml:space="preserve">Old Testament</t>
        </is>
      </c>
      <c r="D199" s="15">
        <v>6</v>
      </c>
      <c r="E199" s="15" t="inlineStr">
        <is>
          <t xml:space="preserve">Joshua</t>
        </is>
      </c>
      <c r="F199" s="15">
        <v>8</v>
      </c>
      <c r="G199" s="15" t="inlineStr">
        <is>
          <t xml:space="preserve">v0.1</t>
        </is>
      </c>
      <c r="H199" s="15" t="inlineStr">
        <is>
          <t xml:space="preserve">Bible_Journey_Canon_Map_v0_1_Genesis_to_2Samuel.xlsx</t>
        </is>
      </c>
      <c r="I199" s="15" t="inlineStr">
        <is>
          <t xml:space="preserve">Chapter Map</t>
        </is>
      </c>
      <c r="J199" s="15" t="inlineStr">
        <is>
          <t xml:space="preserve">CRS-JOS-004</t>
        </is>
      </c>
      <c r="K199" s="15"/>
      <c r="L199" s="10" t="inlineStr">
        <is>
          <t xml:space="preserve">Mapped</t>
        </is>
      </c>
      <c r="M199" s="15"/>
      <c r="N199" s="15"/>
      <c r="O199" s="15">
        <v>1</v>
      </c>
      <c r="P199" s="10" t="str">
        <f>IF(L199="MISSING","MISSING",IF(O199=1,"PASS","DUPLICATE"))</f>
        <v>PASS</v>
      </c>
    </row>
    <row r="200" ht="22" customHeight="1">
      <c r="A200" s="15" t="inlineStr">
        <is>
          <t xml:space="preserve">Joshua 9</t>
        </is>
      </c>
      <c r="B200" s="15">
        <v>196</v>
      </c>
      <c r="C200" s="15" t="inlineStr">
        <is>
          <t xml:space="preserve">Old Testament</t>
        </is>
      </c>
      <c r="D200" s="15">
        <v>6</v>
      </c>
      <c r="E200" s="15" t="inlineStr">
        <is>
          <t xml:space="preserve">Joshua</t>
        </is>
      </c>
      <c r="F200" s="15">
        <v>9</v>
      </c>
      <c r="G200" s="15" t="inlineStr">
        <is>
          <t xml:space="preserve">v0.1</t>
        </is>
      </c>
      <c r="H200" s="15" t="inlineStr">
        <is>
          <t xml:space="preserve">Bible_Journey_Canon_Map_v0_1_Genesis_to_2Samuel.xlsx</t>
        </is>
      </c>
      <c r="I200" s="15" t="inlineStr">
        <is>
          <t xml:space="preserve">Chapter Map</t>
        </is>
      </c>
      <c r="J200" s="15" t="inlineStr">
        <is>
          <t xml:space="preserve">CRS-JOS-005</t>
        </is>
      </c>
      <c r="K200" s="15"/>
      <c r="L200" s="10" t="inlineStr">
        <is>
          <t xml:space="preserve">Mapped</t>
        </is>
      </c>
      <c r="M200" s="15"/>
      <c r="N200" s="15"/>
      <c r="O200" s="15">
        <v>1</v>
      </c>
      <c r="P200" s="10" t="str">
        <f>IF(L200="MISSING","MISSING",IF(O200=1,"PASS","DUPLICATE"))</f>
        <v>PASS</v>
      </c>
    </row>
    <row r="201" ht="22" customHeight="1">
      <c r="A201" s="15" t="inlineStr">
        <is>
          <t xml:space="preserve">Joshua 10</t>
        </is>
      </c>
      <c r="B201" s="15">
        <v>197</v>
      </c>
      <c r="C201" s="15" t="inlineStr">
        <is>
          <t xml:space="preserve">Old Testament</t>
        </is>
      </c>
      <c r="D201" s="15">
        <v>6</v>
      </c>
      <c r="E201" s="15" t="inlineStr">
        <is>
          <t xml:space="preserve">Joshua</t>
        </is>
      </c>
      <c r="F201" s="15">
        <v>10</v>
      </c>
      <c r="G201" s="15" t="inlineStr">
        <is>
          <t xml:space="preserve">v0.1</t>
        </is>
      </c>
      <c r="H201" s="15" t="inlineStr">
        <is>
          <t xml:space="preserve">Bible_Journey_Canon_Map_v0_1_Genesis_to_2Samuel.xlsx</t>
        </is>
      </c>
      <c r="I201" s="15" t="inlineStr">
        <is>
          <t xml:space="preserve">Chapter Map</t>
        </is>
      </c>
      <c r="J201" s="15" t="inlineStr">
        <is>
          <t xml:space="preserve">CRS-JOS-005</t>
        </is>
      </c>
      <c r="K201" s="15"/>
      <c r="L201" s="10" t="inlineStr">
        <is>
          <t xml:space="preserve">Mapped</t>
        </is>
      </c>
      <c r="M201" s="15"/>
      <c r="N201" s="15"/>
      <c r="O201" s="15">
        <v>1</v>
      </c>
      <c r="P201" s="10" t="str">
        <f>IF(L201="MISSING","MISSING",IF(O201=1,"PASS","DUPLICATE"))</f>
        <v>PASS</v>
      </c>
    </row>
    <row r="202" ht="22" customHeight="1">
      <c r="A202" s="15" t="inlineStr">
        <is>
          <t xml:space="preserve">Joshua 11</t>
        </is>
      </c>
      <c r="B202" s="15">
        <v>198</v>
      </c>
      <c r="C202" s="15" t="inlineStr">
        <is>
          <t xml:space="preserve">Old Testament</t>
        </is>
      </c>
      <c r="D202" s="15">
        <v>6</v>
      </c>
      <c r="E202" s="15" t="inlineStr">
        <is>
          <t xml:space="preserve">Joshua</t>
        </is>
      </c>
      <c r="F202" s="15">
        <v>11</v>
      </c>
      <c r="G202" s="15" t="inlineStr">
        <is>
          <t xml:space="preserve">v0.1</t>
        </is>
      </c>
      <c r="H202" s="15" t="inlineStr">
        <is>
          <t xml:space="preserve">Bible_Journey_Canon_Map_v0_1_Genesis_to_2Samuel.xlsx</t>
        </is>
      </c>
      <c r="I202" s="15" t="inlineStr">
        <is>
          <t xml:space="preserve">Chapter Map</t>
        </is>
      </c>
      <c r="J202" s="15" t="inlineStr">
        <is>
          <t xml:space="preserve">CRS-JOS-006</t>
        </is>
      </c>
      <c r="K202" s="15"/>
      <c r="L202" s="10" t="inlineStr">
        <is>
          <t xml:space="preserve">Mapped</t>
        </is>
      </c>
      <c r="M202" s="15"/>
      <c r="N202" s="15"/>
      <c r="O202" s="15">
        <v>1</v>
      </c>
      <c r="P202" s="10" t="str">
        <f>IF(L202="MISSING","MISSING",IF(O202=1,"PASS","DUPLICATE"))</f>
        <v>PASS</v>
      </c>
    </row>
    <row r="203" ht="22" customHeight="1">
      <c r="A203" s="15" t="inlineStr">
        <is>
          <t xml:space="preserve">Joshua 12</t>
        </is>
      </c>
      <c r="B203" s="15">
        <v>199</v>
      </c>
      <c r="C203" s="15" t="inlineStr">
        <is>
          <t xml:space="preserve">Old Testament</t>
        </is>
      </c>
      <c r="D203" s="15">
        <v>6</v>
      </c>
      <c r="E203" s="15" t="inlineStr">
        <is>
          <t xml:space="preserve">Joshua</t>
        </is>
      </c>
      <c r="F203" s="15">
        <v>12</v>
      </c>
      <c r="G203" s="15" t="inlineStr">
        <is>
          <t xml:space="preserve">v0.1</t>
        </is>
      </c>
      <c r="H203" s="15" t="inlineStr">
        <is>
          <t xml:space="preserve">Bible_Journey_Canon_Map_v0_1_Genesis_to_2Samuel.xlsx</t>
        </is>
      </c>
      <c r="I203" s="15" t="inlineStr">
        <is>
          <t xml:space="preserve">Chapter Map</t>
        </is>
      </c>
      <c r="J203" s="15" t="inlineStr">
        <is>
          <t xml:space="preserve">CRS-JOS-006</t>
        </is>
      </c>
      <c r="K203" s="15"/>
      <c r="L203" s="10" t="inlineStr">
        <is>
          <t xml:space="preserve">Mapped</t>
        </is>
      </c>
      <c r="M203" s="15"/>
      <c r="N203" s="15"/>
      <c r="O203" s="15">
        <v>1</v>
      </c>
      <c r="P203" s="10" t="str">
        <f>IF(L203="MISSING","MISSING",IF(O203=1,"PASS","DUPLICATE"))</f>
        <v>PASS</v>
      </c>
    </row>
    <row r="204" ht="22" customHeight="1">
      <c r="A204" s="15" t="inlineStr">
        <is>
          <t xml:space="preserve">Joshua 13</t>
        </is>
      </c>
      <c r="B204" s="15">
        <v>200</v>
      </c>
      <c r="C204" s="15" t="inlineStr">
        <is>
          <t xml:space="preserve">Old Testament</t>
        </is>
      </c>
      <c r="D204" s="15">
        <v>6</v>
      </c>
      <c r="E204" s="15" t="inlineStr">
        <is>
          <t xml:space="preserve">Joshua</t>
        </is>
      </c>
      <c r="F204" s="15">
        <v>13</v>
      </c>
      <c r="G204" s="15" t="inlineStr">
        <is>
          <t xml:space="preserve">v0.1</t>
        </is>
      </c>
      <c r="H204" s="15" t="inlineStr">
        <is>
          <t xml:space="preserve">Bible_Journey_Canon_Map_v0_1_Genesis_to_2Samuel.xlsx</t>
        </is>
      </c>
      <c r="I204" s="15" t="inlineStr">
        <is>
          <t xml:space="preserve">Chapter Map</t>
        </is>
      </c>
      <c r="J204" s="15" t="inlineStr">
        <is>
          <t xml:space="preserve">CRS-JOS-007</t>
        </is>
      </c>
      <c r="K204" s="15"/>
      <c r="L204" s="10" t="inlineStr">
        <is>
          <t xml:space="preserve">Mapped</t>
        </is>
      </c>
      <c r="M204" s="15"/>
      <c r="N204" s="15"/>
      <c r="O204" s="15">
        <v>1</v>
      </c>
      <c r="P204" s="10" t="str">
        <f>IF(L204="MISSING","MISSING",IF(O204=1,"PASS","DUPLICATE"))</f>
        <v>PASS</v>
      </c>
    </row>
    <row r="205" ht="22" customHeight="1">
      <c r="A205" s="15" t="inlineStr">
        <is>
          <t xml:space="preserve">Joshua 14</t>
        </is>
      </c>
      <c r="B205" s="15">
        <v>201</v>
      </c>
      <c r="C205" s="15" t="inlineStr">
        <is>
          <t xml:space="preserve">Old Testament</t>
        </is>
      </c>
      <c r="D205" s="15">
        <v>6</v>
      </c>
      <c r="E205" s="15" t="inlineStr">
        <is>
          <t xml:space="preserve">Joshua</t>
        </is>
      </c>
      <c r="F205" s="15">
        <v>14</v>
      </c>
      <c r="G205" s="15" t="inlineStr">
        <is>
          <t xml:space="preserve">v0.1</t>
        </is>
      </c>
      <c r="H205" s="15" t="inlineStr">
        <is>
          <t xml:space="preserve">Bible_Journey_Canon_Map_v0_1_Genesis_to_2Samuel.xlsx</t>
        </is>
      </c>
      <c r="I205" s="15" t="inlineStr">
        <is>
          <t xml:space="preserve">Chapter Map</t>
        </is>
      </c>
      <c r="J205" s="15" t="inlineStr">
        <is>
          <t xml:space="preserve">CRS-JOS-007</t>
        </is>
      </c>
      <c r="K205" s="15"/>
      <c r="L205" s="10" t="inlineStr">
        <is>
          <t xml:space="preserve">Mapped</t>
        </is>
      </c>
      <c r="M205" s="15"/>
      <c r="N205" s="15"/>
      <c r="O205" s="15">
        <v>1</v>
      </c>
      <c r="P205" s="10" t="str">
        <f>IF(L205="MISSING","MISSING",IF(O205=1,"PASS","DUPLICATE"))</f>
        <v>PASS</v>
      </c>
    </row>
    <row r="206" ht="22" customHeight="1">
      <c r="A206" s="15" t="inlineStr">
        <is>
          <t xml:space="preserve">Joshua 15</t>
        </is>
      </c>
      <c r="B206" s="15">
        <v>202</v>
      </c>
      <c r="C206" s="15" t="inlineStr">
        <is>
          <t xml:space="preserve">Old Testament</t>
        </is>
      </c>
      <c r="D206" s="15">
        <v>6</v>
      </c>
      <c r="E206" s="15" t="inlineStr">
        <is>
          <t xml:space="preserve">Joshua</t>
        </is>
      </c>
      <c r="F206" s="15">
        <v>15</v>
      </c>
      <c r="G206" s="15" t="inlineStr">
        <is>
          <t xml:space="preserve">v0.1</t>
        </is>
      </c>
      <c r="H206" s="15" t="inlineStr">
        <is>
          <t xml:space="preserve">Bible_Journey_Canon_Map_v0_1_Genesis_to_2Samuel.xlsx</t>
        </is>
      </c>
      <c r="I206" s="15" t="inlineStr">
        <is>
          <t xml:space="preserve">Chapter Map</t>
        </is>
      </c>
      <c r="J206" s="15" t="inlineStr">
        <is>
          <t xml:space="preserve">CRS-JOS-007</t>
        </is>
      </c>
      <c r="K206" s="15"/>
      <c r="L206" s="10" t="inlineStr">
        <is>
          <t xml:space="preserve">Mapped</t>
        </is>
      </c>
      <c r="M206" s="15"/>
      <c r="N206" s="15"/>
      <c r="O206" s="15">
        <v>1</v>
      </c>
      <c r="P206" s="10" t="str">
        <f>IF(L206="MISSING","MISSING",IF(O206=1,"PASS","DUPLICATE"))</f>
        <v>PASS</v>
      </c>
    </row>
    <row r="207" ht="22" customHeight="1">
      <c r="A207" s="15" t="inlineStr">
        <is>
          <t xml:space="preserve">Joshua 16</t>
        </is>
      </c>
      <c r="B207" s="15">
        <v>203</v>
      </c>
      <c r="C207" s="15" t="inlineStr">
        <is>
          <t xml:space="preserve">Old Testament</t>
        </is>
      </c>
      <c r="D207" s="15">
        <v>6</v>
      </c>
      <c r="E207" s="15" t="inlineStr">
        <is>
          <t xml:space="preserve">Joshua</t>
        </is>
      </c>
      <c r="F207" s="15">
        <v>16</v>
      </c>
      <c r="G207" s="15" t="inlineStr">
        <is>
          <t xml:space="preserve">v0.1</t>
        </is>
      </c>
      <c r="H207" s="15" t="inlineStr">
        <is>
          <t xml:space="preserve">Bible_Journey_Canon_Map_v0_1_Genesis_to_2Samuel.xlsx</t>
        </is>
      </c>
      <c r="I207" s="15" t="inlineStr">
        <is>
          <t xml:space="preserve">Chapter Map</t>
        </is>
      </c>
      <c r="J207" s="15" t="inlineStr">
        <is>
          <t xml:space="preserve">CRS-JOS-007</t>
        </is>
      </c>
      <c r="K207" s="15"/>
      <c r="L207" s="10" t="inlineStr">
        <is>
          <t xml:space="preserve">Mapped</t>
        </is>
      </c>
      <c r="M207" s="15"/>
      <c r="N207" s="15"/>
      <c r="O207" s="15">
        <v>1</v>
      </c>
      <c r="P207" s="10" t="str">
        <f>IF(L207="MISSING","MISSING",IF(O207=1,"PASS","DUPLICATE"))</f>
        <v>PASS</v>
      </c>
    </row>
    <row r="208" ht="22" customHeight="1">
      <c r="A208" s="15" t="inlineStr">
        <is>
          <t xml:space="preserve">Joshua 17</t>
        </is>
      </c>
      <c r="B208" s="15">
        <v>204</v>
      </c>
      <c r="C208" s="15" t="inlineStr">
        <is>
          <t xml:space="preserve">Old Testament</t>
        </is>
      </c>
      <c r="D208" s="15">
        <v>6</v>
      </c>
      <c r="E208" s="15" t="inlineStr">
        <is>
          <t xml:space="preserve">Joshua</t>
        </is>
      </c>
      <c r="F208" s="15">
        <v>17</v>
      </c>
      <c r="G208" s="15" t="inlineStr">
        <is>
          <t xml:space="preserve">v0.1</t>
        </is>
      </c>
      <c r="H208" s="15" t="inlineStr">
        <is>
          <t xml:space="preserve">Bible_Journey_Canon_Map_v0_1_Genesis_to_2Samuel.xlsx</t>
        </is>
      </c>
      <c r="I208" s="15" t="inlineStr">
        <is>
          <t xml:space="preserve">Chapter Map</t>
        </is>
      </c>
      <c r="J208" s="15" t="inlineStr">
        <is>
          <t xml:space="preserve">CRS-JOS-007</t>
        </is>
      </c>
      <c r="K208" s="15"/>
      <c r="L208" s="10" t="inlineStr">
        <is>
          <t xml:space="preserve">Mapped</t>
        </is>
      </c>
      <c r="M208" s="15"/>
      <c r="N208" s="15"/>
      <c r="O208" s="15">
        <v>1</v>
      </c>
      <c r="P208" s="10" t="str">
        <f>IF(L208="MISSING","MISSING",IF(O208=1,"PASS","DUPLICATE"))</f>
        <v>PASS</v>
      </c>
    </row>
    <row r="209" ht="22" customHeight="1">
      <c r="A209" s="15" t="inlineStr">
        <is>
          <t xml:space="preserve">Joshua 18</t>
        </is>
      </c>
      <c r="B209" s="15">
        <v>205</v>
      </c>
      <c r="C209" s="15" t="inlineStr">
        <is>
          <t xml:space="preserve">Old Testament</t>
        </is>
      </c>
      <c r="D209" s="15">
        <v>6</v>
      </c>
      <c r="E209" s="15" t="inlineStr">
        <is>
          <t xml:space="preserve">Joshua</t>
        </is>
      </c>
      <c r="F209" s="15">
        <v>18</v>
      </c>
      <c r="G209" s="15" t="inlineStr">
        <is>
          <t xml:space="preserve">v0.1</t>
        </is>
      </c>
      <c r="H209" s="15" t="inlineStr">
        <is>
          <t xml:space="preserve">Bible_Journey_Canon_Map_v0_1_Genesis_to_2Samuel.xlsx</t>
        </is>
      </c>
      <c r="I209" s="15" t="inlineStr">
        <is>
          <t xml:space="preserve">Chapter Map</t>
        </is>
      </c>
      <c r="J209" s="15" t="inlineStr">
        <is>
          <t xml:space="preserve">CRS-JOS-007</t>
        </is>
      </c>
      <c r="K209" s="15"/>
      <c r="L209" s="10" t="inlineStr">
        <is>
          <t xml:space="preserve">Mapped</t>
        </is>
      </c>
      <c r="M209" s="15"/>
      <c r="N209" s="15"/>
      <c r="O209" s="15">
        <v>1</v>
      </c>
      <c r="P209" s="10" t="str">
        <f>IF(L209="MISSING","MISSING",IF(O209=1,"PASS","DUPLICATE"))</f>
        <v>PASS</v>
      </c>
    </row>
    <row r="210" ht="22" customHeight="1">
      <c r="A210" s="15" t="inlineStr">
        <is>
          <t xml:space="preserve">Joshua 19</t>
        </is>
      </c>
      <c r="B210" s="15">
        <v>206</v>
      </c>
      <c r="C210" s="15" t="inlineStr">
        <is>
          <t xml:space="preserve">Old Testament</t>
        </is>
      </c>
      <c r="D210" s="15">
        <v>6</v>
      </c>
      <c r="E210" s="15" t="inlineStr">
        <is>
          <t xml:space="preserve">Joshua</t>
        </is>
      </c>
      <c r="F210" s="15">
        <v>19</v>
      </c>
      <c r="G210" s="15" t="inlineStr">
        <is>
          <t xml:space="preserve">v0.1</t>
        </is>
      </c>
      <c r="H210" s="15" t="inlineStr">
        <is>
          <t xml:space="preserve">Bible_Journey_Canon_Map_v0_1_Genesis_to_2Samuel.xlsx</t>
        </is>
      </c>
      <c r="I210" s="15" t="inlineStr">
        <is>
          <t xml:space="preserve">Chapter Map</t>
        </is>
      </c>
      <c r="J210" s="15" t="inlineStr">
        <is>
          <t xml:space="preserve">CRS-JOS-007</t>
        </is>
      </c>
      <c r="K210" s="15"/>
      <c r="L210" s="10" t="inlineStr">
        <is>
          <t xml:space="preserve">Mapped</t>
        </is>
      </c>
      <c r="M210" s="15"/>
      <c r="N210" s="15"/>
      <c r="O210" s="15">
        <v>1</v>
      </c>
      <c r="P210" s="10" t="str">
        <f>IF(L210="MISSING","MISSING",IF(O210=1,"PASS","DUPLICATE"))</f>
        <v>PASS</v>
      </c>
    </row>
    <row r="211" ht="22" customHeight="1">
      <c r="A211" s="15" t="inlineStr">
        <is>
          <t xml:space="preserve">Joshua 20</t>
        </is>
      </c>
      <c r="B211" s="15">
        <v>207</v>
      </c>
      <c r="C211" s="15" t="inlineStr">
        <is>
          <t xml:space="preserve">Old Testament</t>
        </is>
      </c>
      <c r="D211" s="15">
        <v>6</v>
      </c>
      <c r="E211" s="15" t="inlineStr">
        <is>
          <t xml:space="preserve">Joshua</t>
        </is>
      </c>
      <c r="F211" s="15">
        <v>20</v>
      </c>
      <c r="G211" s="15" t="inlineStr">
        <is>
          <t xml:space="preserve">v0.1</t>
        </is>
      </c>
      <c r="H211" s="15" t="inlineStr">
        <is>
          <t xml:space="preserve">Bible_Journey_Canon_Map_v0_1_Genesis_to_2Samuel.xlsx</t>
        </is>
      </c>
      <c r="I211" s="15" t="inlineStr">
        <is>
          <t xml:space="preserve">Chapter Map</t>
        </is>
      </c>
      <c r="J211" s="15" t="inlineStr">
        <is>
          <t xml:space="preserve">CRS-JOS-008</t>
        </is>
      </c>
      <c r="K211" s="15"/>
      <c r="L211" s="10" t="inlineStr">
        <is>
          <t xml:space="preserve">Mapped</t>
        </is>
      </c>
      <c r="M211" s="15"/>
      <c r="N211" s="15"/>
      <c r="O211" s="15">
        <v>1</v>
      </c>
      <c r="P211" s="10" t="str">
        <f>IF(L211="MISSING","MISSING",IF(O211=1,"PASS","DUPLICATE"))</f>
        <v>PASS</v>
      </c>
    </row>
    <row r="212" ht="22" customHeight="1">
      <c r="A212" s="15" t="inlineStr">
        <is>
          <t xml:space="preserve">Joshua 21</t>
        </is>
      </c>
      <c r="B212" s="15">
        <v>208</v>
      </c>
      <c r="C212" s="15" t="inlineStr">
        <is>
          <t xml:space="preserve">Old Testament</t>
        </is>
      </c>
      <c r="D212" s="15">
        <v>6</v>
      </c>
      <c r="E212" s="15" t="inlineStr">
        <is>
          <t xml:space="preserve">Joshua</t>
        </is>
      </c>
      <c r="F212" s="15">
        <v>21</v>
      </c>
      <c r="G212" s="15" t="inlineStr">
        <is>
          <t xml:space="preserve">v0.1</t>
        </is>
      </c>
      <c r="H212" s="15" t="inlineStr">
        <is>
          <t xml:space="preserve">Bible_Journey_Canon_Map_v0_1_Genesis_to_2Samuel.xlsx</t>
        </is>
      </c>
      <c r="I212" s="15" t="inlineStr">
        <is>
          <t xml:space="preserve">Chapter Map</t>
        </is>
      </c>
      <c r="J212" s="15" t="inlineStr">
        <is>
          <t xml:space="preserve">CRS-JOS-008</t>
        </is>
      </c>
      <c r="K212" s="15"/>
      <c r="L212" s="10" t="inlineStr">
        <is>
          <t xml:space="preserve">Mapped</t>
        </is>
      </c>
      <c r="M212" s="15"/>
      <c r="N212" s="15"/>
      <c r="O212" s="15">
        <v>1</v>
      </c>
      <c r="P212" s="10" t="str">
        <f>IF(L212="MISSING","MISSING",IF(O212=1,"PASS","DUPLICATE"))</f>
        <v>PASS</v>
      </c>
    </row>
    <row r="213" ht="22" customHeight="1">
      <c r="A213" s="15" t="inlineStr">
        <is>
          <t xml:space="preserve">Joshua 22</t>
        </is>
      </c>
      <c r="B213" s="15">
        <v>209</v>
      </c>
      <c r="C213" s="15" t="inlineStr">
        <is>
          <t xml:space="preserve">Old Testament</t>
        </is>
      </c>
      <c r="D213" s="15">
        <v>6</v>
      </c>
      <c r="E213" s="15" t="inlineStr">
        <is>
          <t xml:space="preserve">Joshua</t>
        </is>
      </c>
      <c r="F213" s="15">
        <v>22</v>
      </c>
      <c r="G213" s="15" t="inlineStr">
        <is>
          <t xml:space="preserve">v0.1</t>
        </is>
      </c>
      <c r="H213" s="15" t="inlineStr">
        <is>
          <t xml:space="preserve">Bible_Journey_Canon_Map_v0_1_Genesis_to_2Samuel.xlsx</t>
        </is>
      </c>
      <c r="I213" s="15" t="inlineStr">
        <is>
          <t xml:space="preserve">Chapter Map</t>
        </is>
      </c>
      <c r="J213" s="15" t="inlineStr">
        <is>
          <t xml:space="preserve">CRS-JOS-008</t>
        </is>
      </c>
      <c r="K213" s="15"/>
      <c r="L213" s="10" t="inlineStr">
        <is>
          <t xml:space="preserve">Mapped</t>
        </is>
      </c>
      <c r="M213" s="15"/>
      <c r="N213" s="15"/>
      <c r="O213" s="15">
        <v>1</v>
      </c>
      <c r="P213" s="10" t="str">
        <f>IF(L213="MISSING","MISSING",IF(O213=1,"PASS","DUPLICATE"))</f>
        <v>PASS</v>
      </c>
    </row>
    <row r="214" ht="22" customHeight="1">
      <c r="A214" s="15" t="inlineStr">
        <is>
          <t xml:space="preserve">Joshua 23</t>
        </is>
      </c>
      <c r="B214" s="15">
        <v>210</v>
      </c>
      <c r="C214" s="15" t="inlineStr">
        <is>
          <t xml:space="preserve">Old Testament</t>
        </is>
      </c>
      <c r="D214" s="15">
        <v>6</v>
      </c>
      <c r="E214" s="15" t="inlineStr">
        <is>
          <t xml:space="preserve">Joshua</t>
        </is>
      </c>
      <c r="F214" s="15">
        <v>23</v>
      </c>
      <c r="G214" s="15" t="inlineStr">
        <is>
          <t xml:space="preserve">v0.1</t>
        </is>
      </c>
      <c r="H214" s="15" t="inlineStr">
        <is>
          <t xml:space="preserve">Bible_Journey_Canon_Map_v0_1_Genesis_to_2Samuel.xlsx</t>
        </is>
      </c>
      <c r="I214" s="15" t="inlineStr">
        <is>
          <t xml:space="preserve">Chapter Map</t>
        </is>
      </c>
      <c r="J214" s="15" t="inlineStr">
        <is>
          <t xml:space="preserve">CRS-JOS-009</t>
        </is>
      </c>
      <c r="K214" s="15"/>
      <c r="L214" s="10" t="inlineStr">
        <is>
          <t xml:space="preserve">Mapped</t>
        </is>
      </c>
      <c r="M214" s="15"/>
      <c r="N214" s="15"/>
      <c r="O214" s="15">
        <v>1</v>
      </c>
      <c r="P214" s="10" t="str">
        <f>IF(L214="MISSING","MISSING",IF(O214=1,"PASS","DUPLICATE"))</f>
        <v>PASS</v>
      </c>
    </row>
    <row r="215" ht="22" customHeight="1">
      <c r="A215" s="15" t="inlineStr">
        <is>
          <t xml:space="preserve">Joshua 24</t>
        </is>
      </c>
      <c r="B215" s="15">
        <v>211</v>
      </c>
      <c r="C215" s="15" t="inlineStr">
        <is>
          <t xml:space="preserve">Old Testament</t>
        </is>
      </c>
      <c r="D215" s="15">
        <v>6</v>
      </c>
      <c r="E215" s="15" t="inlineStr">
        <is>
          <t xml:space="preserve">Joshua</t>
        </is>
      </c>
      <c r="F215" s="15">
        <v>24</v>
      </c>
      <c r="G215" s="15" t="inlineStr">
        <is>
          <t xml:space="preserve">v0.1</t>
        </is>
      </c>
      <c r="H215" s="15" t="inlineStr">
        <is>
          <t xml:space="preserve">Bible_Journey_Canon_Map_v0_1_Genesis_to_2Samuel.xlsx</t>
        </is>
      </c>
      <c r="I215" s="15" t="inlineStr">
        <is>
          <t xml:space="preserve">Chapter Map</t>
        </is>
      </c>
      <c r="J215" s="15" t="inlineStr">
        <is>
          <t xml:space="preserve">CRS-JOS-009</t>
        </is>
      </c>
      <c r="K215" s="15"/>
      <c r="L215" s="10" t="inlineStr">
        <is>
          <t xml:space="preserve">Mapped</t>
        </is>
      </c>
      <c r="M215" s="15"/>
      <c r="N215" s="15"/>
      <c r="O215" s="15">
        <v>1</v>
      </c>
      <c r="P215" s="10" t="str">
        <f>IF(L215="MISSING","MISSING",IF(O215=1,"PASS","DUPLICATE"))</f>
        <v>PASS</v>
      </c>
    </row>
    <row r="216" ht="22" customHeight="1">
      <c r="A216" s="15" t="inlineStr">
        <is>
          <t xml:space="preserve">Judges 1</t>
        </is>
      </c>
      <c r="B216" s="15">
        <v>212</v>
      </c>
      <c r="C216" s="15" t="inlineStr">
        <is>
          <t xml:space="preserve">Old Testament</t>
        </is>
      </c>
      <c r="D216" s="15">
        <v>7</v>
      </c>
      <c r="E216" s="15" t="inlineStr">
        <is>
          <t xml:space="preserve">Judges</t>
        </is>
      </c>
      <c r="F216" s="15">
        <v>1</v>
      </c>
      <c r="G216" s="15" t="inlineStr">
        <is>
          <t xml:space="preserve">v0.1</t>
        </is>
      </c>
      <c r="H216" s="15" t="inlineStr">
        <is>
          <t xml:space="preserve">Bible_Journey_Canon_Map_v0_1_Genesis_to_2Samuel.xlsx</t>
        </is>
      </c>
      <c r="I216" s="15" t="inlineStr">
        <is>
          <t xml:space="preserve">Chapter Map</t>
        </is>
      </c>
      <c r="J216" s="15" t="inlineStr">
        <is>
          <t xml:space="preserve">CRS-JDG-001</t>
        </is>
      </c>
      <c r="K216" s="15"/>
      <c r="L216" s="10" t="inlineStr">
        <is>
          <t xml:space="preserve">Mapped</t>
        </is>
      </c>
      <c r="M216" s="15"/>
      <c r="N216" s="15"/>
      <c r="O216" s="15">
        <v>1</v>
      </c>
      <c r="P216" s="10" t="str">
        <f>IF(L216="MISSING","MISSING",IF(O216=1,"PASS","DUPLICATE"))</f>
        <v>PASS</v>
      </c>
    </row>
    <row r="217" ht="22" customHeight="1">
      <c r="A217" s="15" t="inlineStr">
        <is>
          <t xml:space="preserve">Judges 2</t>
        </is>
      </c>
      <c r="B217" s="15">
        <v>213</v>
      </c>
      <c r="C217" s="15" t="inlineStr">
        <is>
          <t xml:space="preserve">Old Testament</t>
        </is>
      </c>
      <c r="D217" s="15">
        <v>7</v>
      </c>
      <c r="E217" s="15" t="inlineStr">
        <is>
          <t xml:space="preserve">Judges</t>
        </is>
      </c>
      <c r="F217" s="15">
        <v>2</v>
      </c>
      <c r="G217" s="15" t="inlineStr">
        <is>
          <t xml:space="preserve">v0.1</t>
        </is>
      </c>
      <c r="H217" s="15" t="inlineStr">
        <is>
          <t xml:space="preserve">Bible_Journey_Canon_Map_v0_1_Genesis_to_2Samuel.xlsx</t>
        </is>
      </c>
      <c r="I217" s="15" t="inlineStr">
        <is>
          <t xml:space="preserve">Chapter Map</t>
        </is>
      </c>
      <c r="J217" s="15" t="inlineStr">
        <is>
          <t xml:space="preserve">CRS-JDG-001</t>
        </is>
      </c>
      <c r="K217" s="15"/>
      <c r="L217" s="10" t="inlineStr">
        <is>
          <t xml:space="preserve">Mapped</t>
        </is>
      </c>
      <c r="M217" s="15"/>
      <c r="N217" s="15"/>
      <c r="O217" s="15">
        <v>1</v>
      </c>
      <c r="P217" s="10" t="str">
        <f>IF(L217="MISSING","MISSING",IF(O217=1,"PASS","DUPLICATE"))</f>
        <v>PASS</v>
      </c>
    </row>
    <row r="218" ht="22" customHeight="1">
      <c r="A218" s="15" t="inlineStr">
        <is>
          <t xml:space="preserve">Judges 3</t>
        </is>
      </c>
      <c r="B218" s="15">
        <v>214</v>
      </c>
      <c r="C218" s="15" t="inlineStr">
        <is>
          <t xml:space="preserve">Old Testament</t>
        </is>
      </c>
      <c r="D218" s="15">
        <v>7</v>
      </c>
      <c r="E218" s="15" t="inlineStr">
        <is>
          <t xml:space="preserve">Judges</t>
        </is>
      </c>
      <c r="F218" s="15">
        <v>3</v>
      </c>
      <c r="G218" s="15" t="inlineStr">
        <is>
          <t xml:space="preserve">v0.1</t>
        </is>
      </c>
      <c r="H218" s="15" t="inlineStr">
        <is>
          <t xml:space="preserve">Bible_Journey_Canon_Map_v0_1_Genesis_to_2Samuel.xlsx</t>
        </is>
      </c>
      <c r="I218" s="15" t="inlineStr">
        <is>
          <t xml:space="preserve">Chapter Map</t>
        </is>
      </c>
      <c r="J218" s="15" t="inlineStr">
        <is>
          <t xml:space="preserve">CRS-JDG-001</t>
        </is>
      </c>
      <c r="K218" s="15"/>
      <c r="L218" s="10" t="inlineStr">
        <is>
          <t xml:space="preserve">Mapped</t>
        </is>
      </c>
      <c r="M218" s="15"/>
      <c r="N218" s="15"/>
      <c r="O218" s="15">
        <v>1</v>
      </c>
      <c r="P218" s="10" t="str">
        <f>IF(L218="MISSING","MISSING",IF(O218=1,"PASS","DUPLICATE"))</f>
        <v>PASS</v>
      </c>
    </row>
    <row r="219" ht="22" customHeight="1">
      <c r="A219" s="15" t="inlineStr">
        <is>
          <t xml:space="preserve">Judges 4</t>
        </is>
      </c>
      <c r="B219" s="15">
        <v>215</v>
      </c>
      <c r="C219" s="15" t="inlineStr">
        <is>
          <t xml:space="preserve">Old Testament</t>
        </is>
      </c>
      <c r="D219" s="15">
        <v>7</v>
      </c>
      <c r="E219" s="15" t="inlineStr">
        <is>
          <t xml:space="preserve">Judges</t>
        </is>
      </c>
      <c r="F219" s="15">
        <v>4</v>
      </c>
      <c r="G219" s="15" t="inlineStr">
        <is>
          <t xml:space="preserve">v0.1</t>
        </is>
      </c>
      <c r="H219" s="15" t="inlineStr">
        <is>
          <t xml:space="preserve">Bible_Journey_Canon_Map_v0_1_Genesis_to_2Samuel.xlsx</t>
        </is>
      </c>
      <c r="I219" s="15" t="inlineStr">
        <is>
          <t xml:space="preserve">Chapter Map</t>
        </is>
      </c>
      <c r="J219" s="15" t="inlineStr">
        <is>
          <t xml:space="preserve">CRS-JDG-002</t>
        </is>
      </c>
      <c r="K219" s="15"/>
      <c r="L219" s="10" t="inlineStr">
        <is>
          <t xml:space="preserve">Mapped</t>
        </is>
      </c>
      <c r="M219" s="15"/>
      <c r="N219" s="15"/>
      <c r="O219" s="15">
        <v>1</v>
      </c>
      <c r="P219" s="10" t="str">
        <f>IF(L219="MISSING","MISSING",IF(O219=1,"PASS","DUPLICATE"))</f>
        <v>PASS</v>
      </c>
    </row>
    <row r="220" ht="22" customHeight="1">
      <c r="A220" s="15" t="inlineStr">
        <is>
          <t xml:space="preserve">Judges 5</t>
        </is>
      </c>
      <c r="B220" s="15">
        <v>216</v>
      </c>
      <c r="C220" s="15" t="inlineStr">
        <is>
          <t xml:space="preserve">Old Testament</t>
        </is>
      </c>
      <c r="D220" s="15">
        <v>7</v>
      </c>
      <c r="E220" s="15" t="inlineStr">
        <is>
          <t xml:space="preserve">Judges</t>
        </is>
      </c>
      <c r="F220" s="15">
        <v>5</v>
      </c>
      <c r="G220" s="15" t="inlineStr">
        <is>
          <t xml:space="preserve">v0.1</t>
        </is>
      </c>
      <c r="H220" s="15" t="inlineStr">
        <is>
          <t xml:space="preserve">Bible_Journey_Canon_Map_v0_1_Genesis_to_2Samuel.xlsx</t>
        </is>
      </c>
      <c r="I220" s="15" t="inlineStr">
        <is>
          <t xml:space="preserve">Chapter Map</t>
        </is>
      </c>
      <c r="J220" s="15" t="inlineStr">
        <is>
          <t xml:space="preserve">CRS-JDG-002</t>
        </is>
      </c>
      <c r="K220" s="15"/>
      <c r="L220" s="10" t="inlineStr">
        <is>
          <t xml:space="preserve">Mapped</t>
        </is>
      </c>
      <c r="M220" s="15"/>
      <c r="N220" s="15"/>
      <c r="O220" s="15">
        <v>1</v>
      </c>
      <c r="P220" s="10" t="str">
        <f>IF(L220="MISSING","MISSING",IF(O220=1,"PASS","DUPLICATE"))</f>
        <v>PASS</v>
      </c>
    </row>
    <row r="221" ht="22" customHeight="1">
      <c r="A221" s="15" t="inlineStr">
        <is>
          <t xml:space="preserve">Judges 6</t>
        </is>
      </c>
      <c r="B221" s="15">
        <v>217</v>
      </c>
      <c r="C221" s="15" t="inlineStr">
        <is>
          <t xml:space="preserve">Old Testament</t>
        </is>
      </c>
      <c r="D221" s="15">
        <v>7</v>
      </c>
      <c r="E221" s="15" t="inlineStr">
        <is>
          <t xml:space="preserve">Judges</t>
        </is>
      </c>
      <c r="F221" s="15">
        <v>6</v>
      </c>
      <c r="G221" s="15" t="inlineStr">
        <is>
          <t xml:space="preserve">v0.1</t>
        </is>
      </c>
      <c r="H221" s="15" t="inlineStr">
        <is>
          <t xml:space="preserve">Bible_Journey_Canon_Map_v0_1_Genesis_to_2Samuel.xlsx</t>
        </is>
      </c>
      <c r="I221" s="15" t="inlineStr">
        <is>
          <t xml:space="preserve">Chapter Map</t>
        </is>
      </c>
      <c r="J221" s="15" t="inlineStr">
        <is>
          <t xml:space="preserve">CRS-JDG-003</t>
        </is>
      </c>
      <c r="K221" s="15"/>
      <c r="L221" s="10" t="inlineStr">
        <is>
          <t xml:space="preserve">Mapped</t>
        </is>
      </c>
      <c r="M221" s="15"/>
      <c r="N221" s="15"/>
      <c r="O221" s="15">
        <v>1</v>
      </c>
      <c r="P221" s="10" t="str">
        <f>IF(L221="MISSING","MISSING",IF(O221=1,"PASS","DUPLICATE"))</f>
        <v>PASS</v>
      </c>
    </row>
    <row r="222" ht="22" customHeight="1">
      <c r="A222" s="15" t="inlineStr">
        <is>
          <t xml:space="preserve">Judges 7</t>
        </is>
      </c>
      <c r="B222" s="15">
        <v>218</v>
      </c>
      <c r="C222" s="15" t="inlineStr">
        <is>
          <t xml:space="preserve">Old Testament</t>
        </is>
      </c>
      <c r="D222" s="15">
        <v>7</v>
      </c>
      <c r="E222" s="15" t="inlineStr">
        <is>
          <t xml:space="preserve">Judges</t>
        </is>
      </c>
      <c r="F222" s="15">
        <v>7</v>
      </c>
      <c r="G222" s="15" t="inlineStr">
        <is>
          <t xml:space="preserve">v0.1</t>
        </is>
      </c>
      <c r="H222" s="15" t="inlineStr">
        <is>
          <t xml:space="preserve">Bible_Journey_Canon_Map_v0_1_Genesis_to_2Samuel.xlsx</t>
        </is>
      </c>
      <c r="I222" s="15" t="inlineStr">
        <is>
          <t xml:space="preserve">Chapter Map</t>
        </is>
      </c>
      <c r="J222" s="15" t="inlineStr">
        <is>
          <t xml:space="preserve">CRS-JDG-003</t>
        </is>
      </c>
      <c r="K222" s="15"/>
      <c r="L222" s="10" t="inlineStr">
        <is>
          <t xml:space="preserve">Mapped</t>
        </is>
      </c>
      <c r="M222" s="15"/>
      <c r="N222" s="15"/>
      <c r="O222" s="15">
        <v>1</v>
      </c>
      <c r="P222" s="10" t="str">
        <f>IF(L222="MISSING","MISSING",IF(O222=1,"PASS","DUPLICATE"))</f>
        <v>PASS</v>
      </c>
    </row>
    <row r="223" ht="22" customHeight="1">
      <c r="A223" s="15" t="inlineStr">
        <is>
          <t xml:space="preserve">Judges 8</t>
        </is>
      </c>
      <c r="B223" s="15">
        <v>219</v>
      </c>
      <c r="C223" s="15" t="inlineStr">
        <is>
          <t xml:space="preserve">Old Testament</t>
        </is>
      </c>
      <c r="D223" s="15">
        <v>7</v>
      </c>
      <c r="E223" s="15" t="inlineStr">
        <is>
          <t xml:space="preserve">Judges</t>
        </is>
      </c>
      <c r="F223" s="15">
        <v>8</v>
      </c>
      <c r="G223" s="15" t="inlineStr">
        <is>
          <t xml:space="preserve">v0.1</t>
        </is>
      </c>
      <c r="H223" s="15" t="inlineStr">
        <is>
          <t xml:space="preserve">Bible_Journey_Canon_Map_v0_1_Genesis_to_2Samuel.xlsx</t>
        </is>
      </c>
      <c r="I223" s="15" t="inlineStr">
        <is>
          <t xml:space="preserve">Chapter Map</t>
        </is>
      </c>
      <c r="J223" s="15" t="inlineStr">
        <is>
          <t xml:space="preserve">CRS-JDG-003</t>
        </is>
      </c>
      <c r="K223" s="15"/>
      <c r="L223" s="10" t="inlineStr">
        <is>
          <t xml:space="preserve">Mapped</t>
        </is>
      </c>
      <c r="M223" s="15"/>
      <c r="N223" s="15"/>
      <c r="O223" s="15">
        <v>1</v>
      </c>
      <c r="P223" s="10" t="str">
        <f>IF(L223="MISSING","MISSING",IF(O223=1,"PASS","DUPLICATE"))</f>
        <v>PASS</v>
      </c>
    </row>
    <row r="224" ht="22" customHeight="1">
      <c r="A224" s="15" t="inlineStr">
        <is>
          <t xml:space="preserve">Judges 9</t>
        </is>
      </c>
      <c r="B224" s="15">
        <v>220</v>
      </c>
      <c r="C224" s="15" t="inlineStr">
        <is>
          <t xml:space="preserve">Old Testament</t>
        </is>
      </c>
      <c r="D224" s="15">
        <v>7</v>
      </c>
      <c r="E224" s="15" t="inlineStr">
        <is>
          <t xml:space="preserve">Judges</t>
        </is>
      </c>
      <c r="F224" s="15">
        <v>9</v>
      </c>
      <c r="G224" s="15" t="inlineStr">
        <is>
          <t xml:space="preserve">v0.1</t>
        </is>
      </c>
      <c r="H224" s="15" t="inlineStr">
        <is>
          <t xml:space="preserve">Bible_Journey_Canon_Map_v0_1_Genesis_to_2Samuel.xlsx</t>
        </is>
      </c>
      <c r="I224" s="15" t="inlineStr">
        <is>
          <t xml:space="preserve">Chapter Map</t>
        </is>
      </c>
      <c r="J224" s="15" t="inlineStr">
        <is>
          <t xml:space="preserve">CRS-JDG-004</t>
        </is>
      </c>
      <c r="K224" s="15"/>
      <c r="L224" s="10" t="inlineStr">
        <is>
          <t xml:space="preserve">Mapped</t>
        </is>
      </c>
      <c r="M224" s="15"/>
      <c r="N224" s="15"/>
      <c r="O224" s="15">
        <v>1</v>
      </c>
      <c r="P224" s="10" t="str">
        <f>IF(L224="MISSING","MISSING",IF(O224=1,"PASS","DUPLICATE"))</f>
        <v>PASS</v>
      </c>
    </row>
    <row r="225" ht="22" customHeight="1">
      <c r="A225" s="15" t="inlineStr">
        <is>
          <t xml:space="preserve">Judges 10</t>
        </is>
      </c>
      <c r="B225" s="15">
        <v>221</v>
      </c>
      <c r="C225" s="15" t="inlineStr">
        <is>
          <t xml:space="preserve">Old Testament</t>
        </is>
      </c>
      <c r="D225" s="15">
        <v>7</v>
      </c>
      <c r="E225" s="15" t="inlineStr">
        <is>
          <t xml:space="preserve">Judges</t>
        </is>
      </c>
      <c r="F225" s="15">
        <v>10</v>
      </c>
      <c r="G225" s="15" t="inlineStr">
        <is>
          <t xml:space="preserve">v0.1</t>
        </is>
      </c>
      <c r="H225" s="15" t="inlineStr">
        <is>
          <t xml:space="preserve">Bible_Journey_Canon_Map_v0_1_Genesis_to_2Samuel.xlsx</t>
        </is>
      </c>
      <c r="I225" s="15" t="inlineStr">
        <is>
          <t xml:space="preserve">Chapter Map</t>
        </is>
      </c>
      <c r="J225" s="15" t="inlineStr">
        <is>
          <t xml:space="preserve">CRS-JDG-005</t>
        </is>
      </c>
      <c r="K225" s="15"/>
      <c r="L225" s="10" t="inlineStr">
        <is>
          <t xml:space="preserve">Mapped</t>
        </is>
      </c>
      <c r="M225" s="15"/>
      <c r="N225" s="15"/>
      <c r="O225" s="15">
        <v>1</v>
      </c>
      <c r="P225" s="10" t="str">
        <f>IF(L225="MISSING","MISSING",IF(O225=1,"PASS","DUPLICATE"))</f>
        <v>PASS</v>
      </c>
    </row>
    <row r="226" ht="22" customHeight="1">
      <c r="A226" s="15" t="inlineStr">
        <is>
          <t xml:space="preserve">Judges 11</t>
        </is>
      </c>
      <c r="B226" s="15">
        <v>222</v>
      </c>
      <c r="C226" s="15" t="inlineStr">
        <is>
          <t xml:space="preserve">Old Testament</t>
        </is>
      </c>
      <c r="D226" s="15">
        <v>7</v>
      </c>
      <c r="E226" s="15" t="inlineStr">
        <is>
          <t xml:space="preserve">Judges</t>
        </is>
      </c>
      <c r="F226" s="15">
        <v>11</v>
      </c>
      <c r="G226" s="15" t="inlineStr">
        <is>
          <t xml:space="preserve">v0.1</t>
        </is>
      </c>
      <c r="H226" s="15" t="inlineStr">
        <is>
          <t xml:space="preserve">Bible_Journey_Canon_Map_v0_1_Genesis_to_2Samuel.xlsx</t>
        </is>
      </c>
      <c r="I226" s="15" t="inlineStr">
        <is>
          <t xml:space="preserve">Chapter Map</t>
        </is>
      </c>
      <c r="J226" s="15" t="inlineStr">
        <is>
          <t xml:space="preserve">CRS-JDG-005</t>
        </is>
      </c>
      <c r="K226" s="15"/>
      <c r="L226" s="10" t="inlineStr">
        <is>
          <t xml:space="preserve">Mapped</t>
        </is>
      </c>
      <c r="M226" s="15"/>
      <c r="N226" s="15"/>
      <c r="O226" s="15">
        <v>1</v>
      </c>
      <c r="P226" s="10" t="str">
        <f>IF(L226="MISSING","MISSING",IF(O226=1,"PASS","DUPLICATE"))</f>
        <v>PASS</v>
      </c>
    </row>
    <row r="227" ht="22" customHeight="1">
      <c r="A227" s="15" t="inlineStr">
        <is>
          <t xml:space="preserve">Judges 12</t>
        </is>
      </c>
      <c r="B227" s="15">
        <v>223</v>
      </c>
      <c r="C227" s="15" t="inlineStr">
        <is>
          <t xml:space="preserve">Old Testament</t>
        </is>
      </c>
      <c r="D227" s="15">
        <v>7</v>
      </c>
      <c r="E227" s="15" t="inlineStr">
        <is>
          <t xml:space="preserve">Judges</t>
        </is>
      </c>
      <c r="F227" s="15">
        <v>12</v>
      </c>
      <c r="G227" s="15" t="inlineStr">
        <is>
          <t xml:space="preserve">v0.1</t>
        </is>
      </c>
      <c r="H227" s="15" t="inlineStr">
        <is>
          <t xml:space="preserve">Bible_Journey_Canon_Map_v0_1_Genesis_to_2Samuel.xlsx</t>
        </is>
      </c>
      <c r="I227" s="15" t="inlineStr">
        <is>
          <t xml:space="preserve">Chapter Map</t>
        </is>
      </c>
      <c r="J227" s="15" t="inlineStr">
        <is>
          <t xml:space="preserve">CRS-JDG-005</t>
        </is>
      </c>
      <c r="K227" s="15"/>
      <c r="L227" s="10" t="inlineStr">
        <is>
          <t xml:space="preserve">Mapped</t>
        </is>
      </c>
      <c r="M227" s="15"/>
      <c r="N227" s="15"/>
      <c r="O227" s="15">
        <v>1</v>
      </c>
      <c r="P227" s="10" t="str">
        <f>IF(L227="MISSING","MISSING",IF(O227=1,"PASS","DUPLICATE"))</f>
        <v>PASS</v>
      </c>
    </row>
    <row r="228" ht="22" customHeight="1">
      <c r="A228" s="15" t="inlineStr">
        <is>
          <t xml:space="preserve">Judges 13</t>
        </is>
      </c>
      <c r="B228" s="15">
        <v>224</v>
      </c>
      <c r="C228" s="15" t="inlineStr">
        <is>
          <t xml:space="preserve">Old Testament</t>
        </is>
      </c>
      <c r="D228" s="15">
        <v>7</v>
      </c>
      <c r="E228" s="15" t="inlineStr">
        <is>
          <t xml:space="preserve">Judges</t>
        </is>
      </c>
      <c r="F228" s="15">
        <v>13</v>
      </c>
      <c r="G228" s="15" t="inlineStr">
        <is>
          <t xml:space="preserve">v0.1</t>
        </is>
      </c>
      <c r="H228" s="15" t="inlineStr">
        <is>
          <t xml:space="preserve">Bible_Journey_Canon_Map_v0_1_Genesis_to_2Samuel.xlsx</t>
        </is>
      </c>
      <c r="I228" s="15" t="inlineStr">
        <is>
          <t xml:space="preserve">Chapter Map</t>
        </is>
      </c>
      <c r="J228" s="15" t="inlineStr">
        <is>
          <t xml:space="preserve">CRS-JDG-006</t>
        </is>
      </c>
      <c r="K228" s="15"/>
      <c r="L228" s="10" t="inlineStr">
        <is>
          <t xml:space="preserve">Mapped</t>
        </is>
      </c>
      <c r="M228" s="15"/>
      <c r="N228" s="15"/>
      <c r="O228" s="15">
        <v>1</v>
      </c>
      <c r="P228" s="10" t="str">
        <f>IF(L228="MISSING","MISSING",IF(O228=1,"PASS","DUPLICATE"))</f>
        <v>PASS</v>
      </c>
    </row>
    <row r="229" ht="22" customHeight="1">
      <c r="A229" s="15" t="inlineStr">
        <is>
          <t xml:space="preserve">Judges 14</t>
        </is>
      </c>
      <c r="B229" s="15">
        <v>225</v>
      </c>
      <c r="C229" s="15" t="inlineStr">
        <is>
          <t xml:space="preserve">Old Testament</t>
        </is>
      </c>
      <c r="D229" s="15">
        <v>7</v>
      </c>
      <c r="E229" s="15" t="inlineStr">
        <is>
          <t xml:space="preserve">Judges</t>
        </is>
      </c>
      <c r="F229" s="15">
        <v>14</v>
      </c>
      <c r="G229" s="15" t="inlineStr">
        <is>
          <t xml:space="preserve">v0.1</t>
        </is>
      </c>
      <c r="H229" s="15" t="inlineStr">
        <is>
          <t xml:space="preserve">Bible_Journey_Canon_Map_v0_1_Genesis_to_2Samuel.xlsx</t>
        </is>
      </c>
      <c r="I229" s="15" t="inlineStr">
        <is>
          <t xml:space="preserve">Chapter Map</t>
        </is>
      </c>
      <c r="J229" s="15" t="inlineStr">
        <is>
          <t xml:space="preserve">CRS-JDG-006</t>
        </is>
      </c>
      <c r="K229" s="15"/>
      <c r="L229" s="10" t="inlineStr">
        <is>
          <t xml:space="preserve">Mapped</t>
        </is>
      </c>
      <c r="M229" s="15"/>
      <c r="N229" s="15"/>
      <c r="O229" s="15">
        <v>1</v>
      </c>
      <c r="P229" s="10" t="str">
        <f>IF(L229="MISSING","MISSING",IF(O229=1,"PASS","DUPLICATE"))</f>
        <v>PASS</v>
      </c>
    </row>
    <row r="230" ht="22" customHeight="1">
      <c r="A230" s="15" t="inlineStr">
        <is>
          <t xml:space="preserve">Judges 15</t>
        </is>
      </c>
      <c r="B230" s="15">
        <v>226</v>
      </c>
      <c r="C230" s="15" t="inlineStr">
        <is>
          <t xml:space="preserve">Old Testament</t>
        </is>
      </c>
      <c r="D230" s="15">
        <v>7</v>
      </c>
      <c r="E230" s="15" t="inlineStr">
        <is>
          <t xml:space="preserve">Judges</t>
        </is>
      </c>
      <c r="F230" s="15">
        <v>15</v>
      </c>
      <c r="G230" s="15" t="inlineStr">
        <is>
          <t xml:space="preserve">v0.1</t>
        </is>
      </c>
      <c r="H230" s="15" t="inlineStr">
        <is>
          <t xml:space="preserve">Bible_Journey_Canon_Map_v0_1_Genesis_to_2Samuel.xlsx</t>
        </is>
      </c>
      <c r="I230" s="15" t="inlineStr">
        <is>
          <t xml:space="preserve">Chapter Map</t>
        </is>
      </c>
      <c r="J230" s="15" t="inlineStr">
        <is>
          <t xml:space="preserve">CRS-JDG-006</t>
        </is>
      </c>
      <c r="K230" s="15"/>
      <c r="L230" s="10" t="inlineStr">
        <is>
          <t xml:space="preserve">Mapped</t>
        </is>
      </c>
      <c r="M230" s="15"/>
      <c r="N230" s="15"/>
      <c r="O230" s="15">
        <v>1</v>
      </c>
      <c r="P230" s="10" t="str">
        <f>IF(L230="MISSING","MISSING",IF(O230=1,"PASS","DUPLICATE"))</f>
        <v>PASS</v>
      </c>
    </row>
    <row r="231" ht="22" customHeight="1">
      <c r="A231" s="15" t="inlineStr">
        <is>
          <t xml:space="preserve">Judges 16</t>
        </is>
      </c>
      <c r="B231" s="15">
        <v>227</v>
      </c>
      <c r="C231" s="15" t="inlineStr">
        <is>
          <t xml:space="preserve">Old Testament</t>
        </is>
      </c>
      <c r="D231" s="15">
        <v>7</v>
      </c>
      <c r="E231" s="15" t="inlineStr">
        <is>
          <t xml:space="preserve">Judges</t>
        </is>
      </c>
      <c r="F231" s="15">
        <v>16</v>
      </c>
      <c r="G231" s="15" t="inlineStr">
        <is>
          <t xml:space="preserve">v0.1</t>
        </is>
      </c>
      <c r="H231" s="15" t="inlineStr">
        <is>
          <t xml:space="preserve">Bible_Journey_Canon_Map_v0_1_Genesis_to_2Samuel.xlsx</t>
        </is>
      </c>
      <c r="I231" s="15" t="inlineStr">
        <is>
          <t xml:space="preserve">Chapter Map</t>
        </is>
      </c>
      <c r="J231" s="15" t="inlineStr">
        <is>
          <t xml:space="preserve">CRS-JDG-006</t>
        </is>
      </c>
      <c r="K231" s="15"/>
      <c r="L231" s="10" t="inlineStr">
        <is>
          <t xml:space="preserve">Mapped</t>
        </is>
      </c>
      <c r="M231" s="15"/>
      <c r="N231" s="15"/>
      <c r="O231" s="15">
        <v>1</v>
      </c>
      <c r="P231" s="10" t="str">
        <f>IF(L231="MISSING","MISSING",IF(O231=1,"PASS","DUPLICATE"))</f>
        <v>PASS</v>
      </c>
    </row>
    <row r="232" ht="22" customHeight="1">
      <c r="A232" s="15" t="inlineStr">
        <is>
          <t xml:space="preserve">Judges 17</t>
        </is>
      </c>
      <c r="B232" s="15">
        <v>228</v>
      </c>
      <c r="C232" s="15" t="inlineStr">
        <is>
          <t xml:space="preserve">Old Testament</t>
        </is>
      </c>
      <c r="D232" s="15">
        <v>7</v>
      </c>
      <c r="E232" s="15" t="inlineStr">
        <is>
          <t xml:space="preserve">Judges</t>
        </is>
      </c>
      <c r="F232" s="15">
        <v>17</v>
      </c>
      <c r="G232" s="15" t="inlineStr">
        <is>
          <t xml:space="preserve">v0.1</t>
        </is>
      </c>
      <c r="H232" s="15" t="inlineStr">
        <is>
          <t xml:space="preserve">Bible_Journey_Canon_Map_v0_1_Genesis_to_2Samuel.xlsx</t>
        </is>
      </c>
      <c r="I232" s="15" t="inlineStr">
        <is>
          <t xml:space="preserve">Chapter Map</t>
        </is>
      </c>
      <c r="J232" s="15" t="inlineStr">
        <is>
          <t xml:space="preserve">CRS-JDG-007</t>
        </is>
      </c>
      <c r="K232" s="15"/>
      <c r="L232" s="10" t="inlineStr">
        <is>
          <t xml:space="preserve">Mapped</t>
        </is>
      </c>
      <c r="M232" s="15"/>
      <c r="N232" s="15"/>
      <c r="O232" s="15">
        <v>1</v>
      </c>
      <c r="P232" s="10" t="str">
        <f>IF(L232="MISSING","MISSING",IF(O232=1,"PASS","DUPLICATE"))</f>
        <v>PASS</v>
      </c>
    </row>
    <row r="233" ht="22" customHeight="1">
      <c r="A233" s="15" t="inlineStr">
        <is>
          <t xml:space="preserve">Judges 18</t>
        </is>
      </c>
      <c r="B233" s="15">
        <v>229</v>
      </c>
      <c r="C233" s="15" t="inlineStr">
        <is>
          <t xml:space="preserve">Old Testament</t>
        </is>
      </c>
      <c r="D233" s="15">
        <v>7</v>
      </c>
      <c r="E233" s="15" t="inlineStr">
        <is>
          <t xml:space="preserve">Judges</t>
        </is>
      </c>
      <c r="F233" s="15">
        <v>18</v>
      </c>
      <c r="G233" s="15" t="inlineStr">
        <is>
          <t xml:space="preserve">v0.1</t>
        </is>
      </c>
      <c r="H233" s="15" t="inlineStr">
        <is>
          <t xml:space="preserve">Bible_Journey_Canon_Map_v0_1_Genesis_to_2Samuel.xlsx</t>
        </is>
      </c>
      <c r="I233" s="15" t="inlineStr">
        <is>
          <t xml:space="preserve">Chapter Map</t>
        </is>
      </c>
      <c r="J233" s="15" t="inlineStr">
        <is>
          <t xml:space="preserve">CRS-JDG-007</t>
        </is>
      </c>
      <c r="K233" s="15"/>
      <c r="L233" s="10" t="inlineStr">
        <is>
          <t xml:space="preserve">Mapped</t>
        </is>
      </c>
      <c r="M233" s="15"/>
      <c r="N233" s="15"/>
      <c r="O233" s="15">
        <v>1</v>
      </c>
      <c r="P233" s="10" t="str">
        <f>IF(L233="MISSING","MISSING",IF(O233=1,"PASS","DUPLICATE"))</f>
        <v>PASS</v>
      </c>
    </row>
    <row r="234" ht="22" customHeight="1">
      <c r="A234" s="15" t="inlineStr">
        <is>
          <t xml:space="preserve">Judges 19</t>
        </is>
      </c>
      <c r="B234" s="15">
        <v>230</v>
      </c>
      <c r="C234" s="15" t="inlineStr">
        <is>
          <t xml:space="preserve">Old Testament</t>
        </is>
      </c>
      <c r="D234" s="15">
        <v>7</v>
      </c>
      <c r="E234" s="15" t="inlineStr">
        <is>
          <t xml:space="preserve">Judges</t>
        </is>
      </c>
      <c r="F234" s="15">
        <v>19</v>
      </c>
      <c r="G234" s="15" t="inlineStr">
        <is>
          <t xml:space="preserve">v0.1</t>
        </is>
      </c>
      <c r="H234" s="15" t="inlineStr">
        <is>
          <t xml:space="preserve">Bible_Journey_Canon_Map_v0_1_Genesis_to_2Samuel.xlsx</t>
        </is>
      </c>
      <c r="I234" s="15" t="inlineStr">
        <is>
          <t xml:space="preserve">Chapter Map</t>
        </is>
      </c>
      <c r="J234" s="15" t="inlineStr">
        <is>
          <t xml:space="preserve">CRS-JDG-008</t>
        </is>
      </c>
      <c r="K234" s="15"/>
      <c r="L234" s="10" t="inlineStr">
        <is>
          <t xml:space="preserve">Mapped</t>
        </is>
      </c>
      <c r="M234" s="15"/>
      <c r="N234" s="15"/>
      <c r="O234" s="15">
        <v>1</v>
      </c>
      <c r="P234" s="10" t="str">
        <f>IF(L234="MISSING","MISSING",IF(O234=1,"PASS","DUPLICATE"))</f>
        <v>PASS</v>
      </c>
    </row>
    <row r="235" ht="22" customHeight="1">
      <c r="A235" s="15" t="inlineStr">
        <is>
          <t xml:space="preserve">Judges 20</t>
        </is>
      </c>
      <c r="B235" s="15">
        <v>231</v>
      </c>
      <c r="C235" s="15" t="inlineStr">
        <is>
          <t xml:space="preserve">Old Testament</t>
        </is>
      </c>
      <c r="D235" s="15">
        <v>7</v>
      </c>
      <c r="E235" s="15" t="inlineStr">
        <is>
          <t xml:space="preserve">Judges</t>
        </is>
      </c>
      <c r="F235" s="15">
        <v>20</v>
      </c>
      <c r="G235" s="15" t="inlineStr">
        <is>
          <t xml:space="preserve">v0.1</t>
        </is>
      </c>
      <c r="H235" s="15" t="inlineStr">
        <is>
          <t xml:space="preserve">Bible_Journey_Canon_Map_v0_1_Genesis_to_2Samuel.xlsx</t>
        </is>
      </c>
      <c r="I235" s="15" t="inlineStr">
        <is>
          <t xml:space="preserve">Chapter Map</t>
        </is>
      </c>
      <c r="J235" s="15" t="inlineStr">
        <is>
          <t xml:space="preserve">CRS-JDG-008</t>
        </is>
      </c>
      <c r="K235" s="15"/>
      <c r="L235" s="10" t="inlineStr">
        <is>
          <t xml:space="preserve">Mapped</t>
        </is>
      </c>
      <c r="M235" s="15"/>
      <c r="N235" s="15"/>
      <c r="O235" s="15">
        <v>1</v>
      </c>
      <c r="P235" s="10" t="str">
        <f>IF(L235="MISSING","MISSING",IF(O235=1,"PASS","DUPLICATE"))</f>
        <v>PASS</v>
      </c>
    </row>
    <row r="236" ht="22" customHeight="1">
      <c r="A236" s="15" t="inlineStr">
        <is>
          <t xml:space="preserve">Judges 21</t>
        </is>
      </c>
      <c r="B236" s="15">
        <v>232</v>
      </c>
      <c r="C236" s="15" t="inlineStr">
        <is>
          <t xml:space="preserve">Old Testament</t>
        </is>
      </c>
      <c r="D236" s="15">
        <v>7</v>
      </c>
      <c r="E236" s="15" t="inlineStr">
        <is>
          <t xml:space="preserve">Judges</t>
        </is>
      </c>
      <c r="F236" s="15">
        <v>21</v>
      </c>
      <c r="G236" s="15" t="inlineStr">
        <is>
          <t xml:space="preserve">v0.1</t>
        </is>
      </c>
      <c r="H236" s="15" t="inlineStr">
        <is>
          <t xml:space="preserve">Bible_Journey_Canon_Map_v0_1_Genesis_to_2Samuel.xlsx</t>
        </is>
      </c>
      <c r="I236" s="15" t="inlineStr">
        <is>
          <t xml:space="preserve">Chapter Map</t>
        </is>
      </c>
      <c r="J236" s="15" t="inlineStr">
        <is>
          <t xml:space="preserve">CRS-JDG-008</t>
        </is>
      </c>
      <c r="K236" s="15"/>
      <c r="L236" s="10" t="inlineStr">
        <is>
          <t xml:space="preserve">Mapped</t>
        </is>
      </c>
      <c r="M236" s="15"/>
      <c r="N236" s="15"/>
      <c r="O236" s="15">
        <v>1</v>
      </c>
      <c r="P236" s="10" t="str">
        <f>IF(L236="MISSING","MISSING",IF(O236=1,"PASS","DUPLICATE"))</f>
        <v>PASS</v>
      </c>
    </row>
    <row r="237" ht="22" customHeight="1">
      <c r="A237" s="15" t="inlineStr">
        <is>
          <t xml:space="preserve">Ruth 1</t>
        </is>
      </c>
      <c r="B237" s="15">
        <v>233</v>
      </c>
      <c r="C237" s="15" t="inlineStr">
        <is>
          <t xml:space="preserve">Old Testament</t>
        </is>
      </c>
      <c r="D237" s="15">
        <v>8</v>
      </c>
      <c r="E237" s="15" t="inlineStr">
        <is>
          <t xml:space="preserve">Ruth</t>
        </is>
      </c>
      <c r="F237" s="15">
        <v>1</v>
      </c>
      <c r="G237" s="15" t="inlineStr">
        <is>
          <t xml:space="preserve">v0.1</t>
        </is>
      </c>
      <c r="H237" s="15" t="inlineStr">
        <is>
          <t xml:space="preserve">Bible_Journey_Canon_Map_v0_1_Genesis_to_2Samuel.xlsx</t>
        </is>
      </c>
      <c r="I237" s="15" t="inlineStr">
        <is>
          <t xml:space="preserve">Chapter Map</t>
        </is>
      </c>
      <c r="J237" s="15" t="inlineStr">
        <is>
          <t xml:space="preserve">CRS-RUT-001</t>
        </is>
      </c>
      <c r="K237" s="15"/>
      <c r="L237" s="10" t="inlineStr">
        <is>
          <t xml:space="preserve">Mapped</t>
        </is>
      </c>
      <c r="M237" s="15"/>
      <c r="N237" s="15"/>
      <c r="O237" s="15">
        <v>1</v>
      </c>
      <c r="P237" s="10" t="str">
        <f>IF(L237="MISSING","MISSING",IF(O237=1,"PASS","DUPLICATE"))</f>
        <v>PASS</v>
      </c>
    </row>
    <row r="238" ht="22" customHeight="1">
      <c r="A238" s="15" t="inlineStr">
        <is>
          <t xml:space="preserve">Ruth 2</t>
        </is>
      </c>
      <c r="B238" s="15">
        <v>234</v>
      </c>
      <c r="C238" s="15" t="inlineStr">
        <is>
          <t xml:space="preserve">Old Testament</t>
        </is>
      </c>
      <c r="D238" s="15">
        <v>8</v>
      </c>
      <c r="E238" s="15" t="inlineStr">
        <is>
          <t xml:space="preserve">Ruth</t>
        </is>
      </c>
      <c r="F238" s="15">
        <v>2</v>
      </c>
      <c r="G238" s="15" t="inlineStr">
        <is>
          <t xml:space="preserve">v0.1</t>
        </is>
      </c>
      <c r="H238" s="15" t="inlineStr">
        <is>
          <t xml:space="preserve">Bible_Journey_Canon_Map_v0_1_Genesis_to_2Samuel.xlsx</t>
        </is>
      </c>
      <c r="I238" s="15" t="inlineStr">
        <is>
          <t xml:space="preserve">Chapter Map</t>
        </is>
      </c>
      <c r="J238" s="15" t="inlineStr">
        <is>
          <t xml:space="preserve">CRS-RUT-001</t>
        </is>
      </c>
      <c r="K238" s="15"/>
      <c r="L238" s="10" t="inlineStr">
        <is>
          <t xml:space="preserve">Mapped</t>
        </is>
      </c>
      <c r="M238" s="15"/>
      <c r="N238" s="15"/>
      <c r="O238" s="15">
        <v>1</v>
      </c>
      <c r="P238" s="10" t="str">
        <f>IF(L238="MISSING","MISSING",IF(O238=1,"PASS","DUPLICATE"))</f>
        <v>PASS</v>
      </c>
    </row>
    <row r="239" ht="22" customHeight="1">
      <c r="A239" s="15" t="inlineStr">
        <is>
          <t xml:space="preserve">Ruth 3</t>
        </is>
      </c>
      <c r="B239" s="15">
        <v>235</v>
      </c>
      <c r="C239" s="15" t="inlineStr">
        <is>
          <t xml:space="preserve">Old Testament</t>
        </is>
      </c>
      <c r="D239" s="15">
        <v>8</v>
      </c>
      <c r="E239" s="15" t="inlineStr">
        <is>
          <t xml:space="preserve">Ruth</t>
        </is>
      </c>
      <c r="F239" s="15">
        <v>3</v>
      </c>
      <c r="G239" s="15" t="inlineStr">
        <is>
          <t xml:space="preserve">v0.1</t>
        </is>
      </c>
      <c r="H239" s="15" t="inlineStr">
        <is>
          <t xml:space="preserve">Bible_Journey_Canon_Map_v0_1_Genesis_to_2Samuel.xlsx</t>
        </is>
      </c>
      <c r="I239" s="15" t="inlineStr">
        <is>
          <t xml:space="preserve">Chapter Map</t>
        </is>
      </c>
      <c r="J239" s="15" t="inlineStr">
        <is>
          <t xml:space="preserve">CRS-RUT-001</t>
        </is>
      </c>
      <c r="K239" s="15"/>
      <c r="L239" s="10" t="inlineStr">
        <is>
          <t xml:space="preserve">Mapped</t>
        </is>
      </c>
      <c r="M239" s="15"/>
      <c r="N239" s="15"/>
      <c r="O239" s="15">
        <v>1</v>
      </c>
      <c r="P239" s="10" t="str">
        <f>IF(L239="MISSING","MISSING",IF(O239=1,"PASS","DUPLICATE"))</f>
        <v>PASS</v>
      </c>
    </row>
    <row r="240" ht="22" customHeight="1">
      <c r="A240" s="15" t="inlineStr">
        <is>
          <t xml:space="preserve">Ruth 4</t>
        </is>
      </c>
      <c r="B240" s="15">
        <v>236</v>
      </c>
      <c r="C240" s="15" t="inlineStr">
        <is>
          <t xml:space="preserve">Old Testament</t>
        </is>
      </c>
      <c r="D240" s="15">
        <v>8</v>
      </c>
      <c r="E240" s="15" t="inlineStr">
        <is>
          <t xml:space="preserve">Ruth</t>
        </is>
      </c>
      <c r="F240" s="15">
        <v>4</v>
      </c>
      <c r="G240" s="15" t="inlineStr">
        <is>
          <t xml:space="preserve">v0.1</t>
        </is>
      </c>
      <c r="H240" s="15" t="inlineStr">
        <is>
          <t xml:space="preserve">Bible_Journey_Canon_Map_v0_1_Genesis_to_2Samuel.xlsx</t>
        </is>
      </c>
      <c r="I240" s="15" t="inlineStr">
        <is>
          <t xml:space="preserve">Chapter Map</t>
        </is>
      </c>
      <c r="J240" s="15" t="inlineStr">
        <is>
          <t xml:space="preserve">CRS-RUT-001</t>
        </is>
      </c>
      <c r="K240" s="15"/>
      <c r="L240" s="10" t="inlineStr">
        <is>
          <t xml:space="preserve">Mapped</t>
        </is>
      </c>
      <c r="M240" s="15"/>
      <c r="N240" s="15"/>
      <c r="O240" s="15">
        <v>1</v>
      </c>
      <c r="P240" s="10" t="str">
        <f>IF(L240="MISSING","MISSING",IF(O240=1,"PASS","DUPLICATE"))</f>
        <v>PASS</v>
      </c>
    </row>
    <row r="241" ht="22" customHeight="1">
      <c r="A241" s="15" t="inlineStr">
        <is>
          <t xml:space="preserve">1 Samuel 1</t>
        </is>
      </c>
      <c r="B241" s="15">
        <v>237</v>
      </c>
      <c r="C241" s="15" t="inlineStr">
        <is>
          <t xml:space="preserve">Old Testament</t>
        </is>
      </c>
      <c r="D241" s="15">
        <v>9</v>
      </c>
      <c r="E241" s="15" t="inlineStr">
        <is>
          <t xml:space="preserve">1 Samuel</t>
        </is>
      </c>
      <c r="F241" s="15">
        <v>1</v>
      </c>
      <c r="G241" s="15" t="inlineStr">
        <is>
          <t xml:space="preserve">v0.1</t>
        </is>
      </c>
      <c r="H241" s="15" t="inlineStr">
        <is>
          <t xml:space="preserve">Bible_Journey_Canon_Map_v0_1_Genesis_to_2Samuel.xlsx</t>
        </is>
      </c>
      <c r="I241" s="15" t="inlineStr">
        <is>
          <t xml:space="preserve">Chapter Map</t>
        </is>
      </c>
      <c r="J241" s="15" t="inlineStr">
        <is>
          <t xml:space="preserve">CRS-1SA-001</t>
        </is>
      </c>
      <c r="K241" s="15"/>
      <c r="L241" s="10" t="inlineStr">
        <is>
          <t xml:space="preserve">Mapped</t>
        </is>
      </c>
      <c r="M241" s="15"/>
      <c r="N241" s="15"/>
      <c r="O241" s="15">
        <v>1</v>
      </c>
      <c r="P241" s="10" t="str">
        <f>IF(L241="MISSING","MISSING",IF(O241=1,"PASS","DUPLICATE"))</f>
        <v>PASS</v>
      </c>
    </row>
    <row r="242" ht="22" customHeight="1">
      <c r="A242" s="15" t="inlineStr">
        <is>
          <t xml:space="preserve">1 Samuel 2</t>
        </is>
      </c>
      <c r="B242" s="15">
        <v>238</v>
      </c>
      <c r="C242" s="15" t="inlineStr">
        <is>
          <t xml:space="preserve">Old Testament</t>
        </is>
      </c>
      <c r="D242" s="15">
        <v>9</v>
      </c>
      <c r="E242" s="15" t="inlineStr">
        <is>
          <t xml:space="preserve">1 Samuel</t>
        </is>
      </c>
      <c r="F242" s="15">
        <v>2</v>
      </c>
      <c r="G242" s="15" t="inlineStr">
        <is>
          <t xml:space="preserve">v0.1</t>
        </is>
      </c>
      <c r="H242" s="15" t="inlineStr">
        <is>
          <t xml:space="preserve">Bible_Journey_Canon_Map_v0_1_Genesis_to_2Samuel.xlsx</t>
        </is>
      </c>
      <c r="I242" s="15" t="inlineStr">
        <is>
          <t xml:space="preserve">Chapter Map</t>
        </is>
      </c>
      <c r="J242" s="15" t="inlineStr">
        <is>
          <t xml:space="preserve">CRS-1SA-001</t>
        </is>
      </c>
      <c r="K242" s="15"/>
      <c r="L242" s="10" t="inlineStr">
        <is>
          <t xml:space="preserve">Mapped</t>
        </is>
      </c>
      <c r="M242" s="15"/>
      <c r="N242" s="15"/>
      <c r="O242" s="15">
        <v>1</v>
      </c>
      <c r="P242" s="10" t="str">
        <f>IF(L242="MISSING","MISSING",IF(O242=1,"PASS","DUPLICATE"))</f>
        <v>PASS</v>
      </c>
    </row>
    <row r="243" ht="22" customHeight="1">
      <c r="A243" s="15" t="inlineStr">
        <is>
          <t xml:space="preserve">1 Samuel 3</t>
        </is>
      </c>
      <c r="B243" s="15">
        <v>239</v>
      </c>
      <c r="C243" s="15" t="inlineStr">
        <is>
          <t xml:space="preserve">Old Testament</t>
        </is>
      </c>
      <c r="D243" s="15">
        <v>9</v>
      </c>
      <c r="E243" s="15" t="inlineStr">
        <is>
          <t xml:space="preserve">1 Samuel</t>
        </is>
      </c>
      <c r="F243" s="15">
        <v>3</v>
      </c>
      <c r="G243" s="15" t="inlineStr">
        <is>
          <t xml:space="preserve">v0.1</t>
        </is>
      </c>
      <c r="H243" s="15" t="inlineStr">
        <is>
          <t xml:space="preserve">Bible_Journey_Canon_Map_v0_1_Genesis_to_2Samuel.xlsx</t>
        </is>
      </c>
      <c r="I243" s="15" t="inlineStr">
        <is>
          <t xml:space="preserve">Chapter Map</t>
        </is>
      </c>
      <c r="J243" s="15" t="inlineStr">
        <is>
          <t xml:space="preserve">CRS-1SA-001</t>
        </is>
      </c>
      <c r="K243" s="15"/>
      <c r="L243" s="10" t="inlineStr">
        <is>
          <t xml:space="preserve">Mapped</t>
        </is>
      </c>
      <c r="M243" s="15"/>
      <c r="N243" s="15"/>
      <c r="O243" s="15">
        <v>1</v>
      </c>
      <c r="P243" s="10" t="str">
        <f>IF(L243="MISSING","MISSING",IF(O243=1,"PASS","DUPLICATE"))</f>
        <v>PASS</v>
      </c>
    </row>
    <row r="244" ht="22" customHeight="1">
      <c r="A244" s="15" t="inlineStr">
        <is>
          <t xml:space="preserve">1 Samuel 4</t>
        </is>
      </c>
      <c r="B244" s="15">
        <v>240</v>
      </c>
      <c r="C244" s="15" t="inlineStr">
        <is>
          <t xml:space="preserve">Old Testament</t>
        </is>
      </c>
      <c r="D244" s="15">
        <v>9</v>
      </c>
      <c r="E244" s="15" t="inlineStr">
        <is>
          <t xml:space="preserve">1 Samuel</t>
        </is>
      </c>
      <c r="F244" s="15">
        <v>4</v>
      </c>
      <c r="G244" s="15" t="inlineStr">
        <is>
          <t xml:space="preserve">v0.1</t>
        </is>
      </c>
      <c r="H244" s="15" t="inlineStr">
        <is>
          <t xml:space="preserve">Bible_Journey_Canon_Map_v0_1_Genesis_to_2Samuel.xlsx</t>
        </is>
      </c>
      <c r="I244" s="15" t="inlineStr">
        <is>
          <t xml:space="preserve">Chapter Map</t>
        </is>
      </c>
      <c r="J244" s="15" t="inlineStr">
        <is>
          <t xml:space="preserve">CRS-1SA-002</t>
        </is>
      </c>
      <c r="K244" s="15"/>
      <c r="L244" s="10" t="inlineStr">
        <is>
          <t xml:space="preserve">Mapped</t>
        </is>
      </c>
      <c r="M244" s="15"/>
      <c r="N244" s="15"/>
      <c r="O244" s="15">
        <v>1</v>
      </c>
      <c r="P244" s="10" t="str">
        <f>IF(L244="MISSING","MISSING",IF(O244=1,"PASS","DUPLICATE"))</f>
        <v>PASS</v>
      </c>
    </row>
    <row r="245" ht="22" customHeight="1">
      <c r="A245" s="15" t="inlineStr">
        <is>
          <t xml:space="preserve">1 Samuel 5</t>
        </is>
      </c>
      <c r="B245" s="15">
        <v>241</v>
      </c>
      <c r="C245" s="15" t="inlineStr">
        <is>
          <t xml:space="preserve">Old Testament</t>
        </is>
      </c>
      <c r="D245" s="15">
        <v>9</v>
      </c>
      <c r="E245" s="15" t="inlineStr">
        <is>
          <t xml:space="preserve">1 Samuel</t>
        </is>
      </c>
      <c r="F245" s="15">
        <v>5</v>
      </c>
      <c r="G245" s="15" t="inlineStr">
        <is>
          <t xml:space="preserve">v0.1</t>
        </is>
      </c>
      <c r="H245" s="15" t="inlineStr">
        <is>
          <t xml:space="preserve">Bible_Journey_Canon_Map_v0_1_Genesis_to_2Samuel.xlsx</t>
        </is>
      </c>
      <c r="I245" s="15" t="inlineStr">
        <is>
          <t xml:space="preserve">Chapter Map</t>
        </is>
      </c>
      <c r="J245" s="15" t="inlineStr">
        <is>
          <t xml:space="preserve">CRS-1SA-002</t>
        </is>
      </c>
      <c r="K245" s="15"/>
      <c r="L245" s="10" t="inlineStr">
        <is>
          <t xml:space="preserve">Mapped</t>
        </is>
      </c>
      <c r="M245" s="15"/>
      <c r="N245" s="15"/>
      <c r="O245" s="15">
        <v>1</v>
      </c>
      <c r="P245" s="10" t="str">
        <f>IF(L245="MISSING","MISSING",IF(O245=1,"PASS","DUPLICATE"))</f>
        <v>PASS</v>
      </c>
    </row>
    <row r="246" ht="22" customHeight="1">
      <c r="A246" s="15" t="inlineStr">
        <is>
          <t xml:space="preserve">1 Samuel 6</t>
        </is>
      </c>
      <c r="B246" s="15">
        <v>242</v>
      </c>
      <c r="C246" s="15" t="inlineStr">
        <is>
          <t xml:space="preserve">Old Testament</t>
        </is>
      </c>
      <c r="D246" s="15">
        <v>9</v>
      </c>
      <c r="E246" s="15" t="inlineStr">
        <is>
          <t xml:space="preserve">1 Samuel</t>
        </is>
      </c>
      <c r="F246" s="15">
        <v>6</v>
      </c>
      <c r="G246" s="15" t="inlineStr">
        <is>
          <t xml:space="preserve">v0.1</t>
        </is>
      </c>
      <c r="H246" s="15" t="inlineStr">
        <is>
          <t xml:space="preserve">Bible_Journey_Canon_Map_v0_1_Genesis_to_2Samuel.xlsx</t>
        </is>
      </c>
      <c r="I246" s="15" t="inlineStr">
        <is>
          <t xml:space="preserve">Chapter Map</t>
        </is>
      </c>
      <c r="J246" s="15" t="inlineStr">
        <is>
          <t xml:space="preserve">CRS-1SA-002</t>
        </is>
      </c>
      <c r="K246" s="15"/>
      <c r="L246" s="10" t="inlineStr">
        <is>
          <t xml:space="preserve">Mapped</t>
        </is>
      </c>
      <c r="M246" s="15"/>
      <c r="N246" s="15"/>
      <c r="O246" s="15">
        <v>1</v>
      </c>
      <c r="P246" s="10" t="str">
        <f>IF(L246="MISSING","MISSING",IF(O246=1,"PASS","DUPLICATE"))</f>
        <v>PASS</v>
      </c>
    </row>
    <row r="247" ht="22" customHeight="1">
      <c r="A247" s="15" t="inlineStr">
        <is>
          <t xml:space="preserve">1 Samuel 7</t>
        </is>
      </c>
      <c r="B247" s="15">
        <v>243</v>
      </c>
      <c r="C247" s="15" t="inlineStr">
        <is>
          <t xml:space="preserve">Old Testament</t>
        </is>
      </c>
      <c r="D247" s="15">
        <v>9</v>
      </c>
      <c r="E247" s="15" t="inlineStr">
        <is>
          <t xml:space="preserve">1 Samuel</t>
        </is>
      </c>
      <c r="F247" s="15">
        <v>7</v>
      </c>
      <c r="G247" s="15" t="inlineStr">
        <is>
          <t xml:space="preserve">v0.1</t>
        </is>
      </c>
      <c r="H247" s="15" t="inlineStr">
        <is>
          <t xml:space="preserve">Bible_Journey_Canon_Map_v0_1_Genesis_to_2Samuel.xlsx</t>
        </is>
      </c>
      <c r="I247" s="15" t="inlineStr">
        <is>
          <t xml:space="preserve">Chapter Map</t>
        </is>
      </c>
      <c r="J247" s="15" t="inlineStr">
        <is>
          <t xml:space="preserve">CRS-1SA-002</t>
        </is>
      </c>
      <c r="K247" s="15"/>
      <c r="L247" s="10" t="inlineStr">
        <is>
          <t xml:space="preserve">Mapped</t>
        </is>
      </c>
      <c r="M247" s="15"/>
      <c r="N247" s="15"/>
      <c r="O247" s="15">
        <v>1</v>
      </c>
      <c r="P247" s="10" t="str">
        <f>IF(L247="MISSING","MISSING",IF(O247=1,"PASS","DUPLICATE"))</f>
        <v>PASS</v>
      </c>
    </row>
    <row r="248" ht="22" customHeight="1">
      <c r="A248" s="15" t="inlineStr">
        <is>
          <t xml:space="preserve">1 Samuel 8</t>
        </is>
      </c>
      <c r="B248" s="15">
        <v>244</v>
      </c>
      <c r="C248" s="15" t="inlineStr">
        <is>
          <t xml:space="preserve">Old Testament</t>
        </is>
      </c>
      <c r="D248" s="15">
        <v>9</v>
      </c>
      <c r="E248" s="15" t="inlineStr">
        <is>
          <t xml:space="preserve">1 Samuel</t>
        </is>
      </c>
      <c r="F248" s="15">
        <v>8</v>
      </c>
      <c r="G248" s="15" t="inlineStr">
        <is>
          <t xml:space="preserve">v0.1</t>
        </is>
      </c>
      <c r="H248" s="15" t="inlineStr">
        <is>
          <t xml:space="preserve">Bible_Journey_Canon_Map_v0_1_Genesis_to_2Samuel.xlsx</t>
        </is>
      </c>
      <c r="I248" s="15" t="inlineStr">
        <is>
          <t xml:space="preserve">Chapter Map</t>
        </is>
      </c>
      <c r="J248" s="15" t="inlineStr">
        <is>
          <t xml:space="preserve">CRS-1SA-003</t>
        </is>
      </c>
      <c r="K248" s="15"/>
      <c r="L248" s="10" t="inlineStr">
        <is>
          <t xml:space="preserve">Mapped</t>
        </is>
      </c>
      <c r="M248" s="15"/>
      <c r="N248" s="15"/>
      <c r="O248" s="15">
        <v>1</v>
      </c>
      <c r="P248" s="10" t="str">
        <f>IF(L248="MISSING","MISSING",IF(O248=1,"PASS","DUPLICATE"))</f>
        <v>PASS</v>
      </c>
    </row>
    <row r="249" ht="22" customHeight="1">
      <c r="A249" s="15" t="inlineStr">
        <is>
          <t xml:space="preserve">1 Samuel 9</t>
        </is>
      </c>
      <c r="B249" s="15">
        <v>245</v>
      </c>
      <c r="C249" s="15" t="inlineStr">
        <is>
          <t xml:space="preserve">Old Testament</t>
        </is>
      </c>
      <c r="D249" s="15">
        <v>9</v>
      </c>
      <c r="E249" s="15" t="inlineStr">
        <is>
          <t xml:space="preserve">1 Samuel</t>
        </is>
      </c>
      <c r="F249" s="15">
        <v>9</v>
      </c>
      <c r="G249" s="15" t="inlineStr">
        <is>
          <t xml:space="preserve">v0.1</t>
        </is>
      </c>
      <c r="H249" s="15" t="inlineStr">
        <is>
          <t xml:space="preserve">Bible_Journey_Canon_Map_v0_1_Genesis_to_2Samuel.xlsx</t>
        </is>
      </c>
      <c r="I249" s="15" t="inlineStr">
        <is>
          <t xml:space="preserve">Chapter Map</t>
        </is>
      </c>
      <c r="J249" s="15" t="inlineStr">
        <is>
          <t xml:space="preserve">CRS-1SA-003</t>
        </is>
      </c>
      <c r="K249" s="15"/>
      <c r="L249" s="10" t="inlineStr">
        <is>
          <t xml:space="preserve">Mapped</t>
        </is>
      </c>
      <c r="M249" s="15"/>
      <c r="N249" s="15"/>
      <c r="O249" s="15">
        <v>1</v>
      </c>
      <c r="P249" s="10" t="str">
        <f>IF(L249="MISSING","MISSING",IF(O249=1,"PASS","DUPLICATE"))</f>
        <v>PASS</v>
      </c>
    </row>
    <row r="250" ht="22" customHeight="1">
      <c r="A250" s="15" t="inlineStr">
        <is>
          <t xml:space="preserve">1 Samuel 10</t>
        </is>
      </c>
      <c r="B250" s="15">
        <v>246</v>
      </c>
      <c r="C250" s="15" t="inlineStr">
        <is>
          <t xml:space="preserve">Old Testament</t>
        </is>
      </c>
      <c r="D250" s="15">
        <v>9</v>
      </c>
      <c r="E250" s="15" t="inlineStr">
        <is>
          <t xml:space="preserve">1 Samuel</t>
        </is>
      </c>
      <c r="F250" s="15">
        <v>10</v>
      </c>
      <c r="G250" s="15" t="inlineStr">
        <is>
          <t xml:space="preserve">v0.1</t>
        </is>
      </c>
      <c r="H250" s="15" t="inlineStr">
        <is>
          <t xml:space="preserve">Bible_Journey_Canon_Map_v0_1_Genesis_to_2Samuel.xlsx</t>
        </is>
      </c>
      <c r="I250" s="15" t="inlineStr">
        <is>
          <t xml:space="preserve">Chapter Map</t>
        </is>
      </c>
      <c r="J250" s="15" t="inlineStr">
        <is>
          <t xml:space="preserve">CRS-1SA-003</t>
        </is>
      </c>
      <c r="K250" s="15"/>
      <c r="L250" s="10" t="inlineStr">
        <is>
          <t xml:space="preserve">Mapped</t>
        </is>
      </c>
      <c r="M250" s="15"/>
      <c r="N250" s="15"/>
      <c r="O250" s="15">
        <v>1</v>
      </c>
      <c r="P250" s="10" t="str">
        <f>IF(L250="MISSING","MISSING",IF(O250=1,"PASS","DUPLICATE"))</f>
        <v>PASS</v>
      </c>
    </row>
    <row r="251" ht="22" customHeight="1">
      <c r="A251" s="15" t="inlineStr">
        <is>
          <t xml:space="preserve">1 Samuel 11</t>
        </is>
      </c>
      <c r="B251" s="15">
        <v>247</v>
      </c>
      <c r="C251" s="15" t="inlineStr">
        <is>
          <t xml:space="preserve">Old Testament</t>
        </is>
      </c>
      <c r="D251" s="15">
        <v>9</v>
      </c>
      <c r="E251" s="15" t="inlineStr">
        <is>
          <t xml:space="preserve">1 Samuel</t>
        </is>
      </c>
      <c r="F251" s="15">
        <v>11</v>
      </c>
      <c r="G251" s="15" t="inlineStr">
        <is>
          <t xml:space="preserve">v0.1</t>
        </is>
      </c>
      <c r="H251" s="15" t="inlineStr">
        <is>
          <t xml:space="preserve">Bible_Journey_Canon_Map_v0_1_Genesis_to_2Samuel.xlsx</t>
        </is>
      </c>
      <c r="I251" s="15" t="inlineStr">
        <is>
          <t xml:space="preserve">Chapter Map</t>
        </is>
      </c>
      <c r="J251" s="15" t="inlineStr">
        <is>
          <t xml:space="preserve">CRS-1SA-004</t>
        </is>
      </c>
      <c r="K251" s="15"/>
      <c r="L251" s="10" t="inlineStr">
        <is>
          <t xml:space="preserve">Mapped</t>
        </is>
      </c>
      <c r="M251" s="15"/>
      <c r="N251" s="15"/>
      <c r="O251" s="15">
        <v>1</v>
      </c>
      <c r="P251" s="10" t="str">
        <f>IF(L251="MISSING","MISSING",IF(O251=1,"PASS","DUPLICATE"))</f>
        <v>PASS</v>
      </c>
    </row>
    <row r="252" ht="22" customHeight="1">
      <c r="A252" s="15" t="inlineStr">
        <is>
          <t xml:space="preserve">1 Samuel 12</t>
        </is>
      </c>
      <c r="B252" s="15">
        <v>248</v>
      </c>
      <c r="C252" s="15" t="inlineStr">
        <is>
          <t xml:space="preserve">Old Testament</t>
        </is>
      </c>
      <c r="D252" s="15">
        <v>9</v>
      </c>
      <c r="E252" s="15" t="inlineStr">
        <is>
          <t xml:space="preserve">1 Samuel</t>
        </is>
      </c>
      <c r="F252" s="15">
        <v>12</v>
      </c>
      <c r="G252" s="15" t="inlineStr">
        <is>
          <t xml:space="preserve">v0.1</t>
        </is>
      </c>
      <c r="H252" s="15" t="inlineStr">
        <is>
          <t xml:space="preserve">Bible_Journey_Canon_Map_v0_1_Genesis_to_2Samuel.xlsx</t>
        </is>
      </c>
      <c r="I252" s="15" t="inlineStr">
        <is>
          <t xml:space="preserve">Chapter Map</t>
        </is>
      </c>
      <c r="J252" s="15" t="inlineStr">
        <is>
          <t xml:space="preserve">CRS-1SA-004</t>
        </is>
      </c>
      <c r="K252" s="15"/>
      <c r="L252" s="10" t="inlineStr">
        <is>
          <t xml:space="preserve">Mapped</t>
        </is>
      </c>
      <c r="M252" s="15"/>
      <c r="N252" s="15"/>
      <c r="O252" s="15">
        <v>1</v>
      </c>
      <c r="P252" s="10" t="str">
        <f>IF(L252="MISSING","MISSING",IF(O252=1,"PASS","DUPLICATE"))</f>
        <v>PASS</v>
      </c>
    </row>
    <row r="253" ht="22" customHeight="1">
      <c r="A253" s="15" t="inlineStr">
        <is>
          <t xml:space="preserve">1 Samuel 13</t>
        </is>
      </c>
      <c r="B253" s="15">
        <v>249</v>
      </c>
      <c r="C253" s="15" t="inlineStr">
        <is>
          <t xml:space="preserve">Old Testament</t>
        </is>
      </c>
      <c r="D253" s="15">
        <v>9</v>
      </c>
      <c r="E253" s="15" t="inlineStr">
        <is>
          <t xml:space="preserve">1 Samuel</t>
        </is>
      </c>
      <c r="F253" s="15">
        <v>13</v>
      </c>
      <c r="G253" s="15" t="inlineStr">
        <is>
          <t xml:space="preserve">v0.1</t>
        </is>
      </c>
      <c r="H253" s="15" t="inlineStr">
        <is>
          <t xml:space="preserve">Bible_Journey_Canon_Map_v0_1_Genesis_to_2Samuel.xlsx</t>
        </is>
      </c>
      <c r="I253" s="15" t="inlineStr">
        <is>
          <t xml:space="preserve">Chapter Map</t>
        </is>
      </c>
      <c r="J253" s="15" t="inlineStr">
        <is>
          <t xml:space="preserve">CRS-1SA-005</t>
        </is>
      </c>
      <c r="K253" s="15"/>
      <c r="L253" s="10" t="inlineStr">
        <is>
          <t xml:space="preserve">Mapped</t>
        </is>
      </c>
      <c r="M253" s="15"/>
      <c r="N253" s="15"/>
      <c r="O253" s="15">
        <v>1</v>
      </c>
      <c r="P253" s="10" t="str">
        <f>IF(L253="MISSING","MISSING",IF(O253=1,"PASS","DUPLICATE"))</f>
        <v>PASS</v>
      </c>
    </row>
    <row r="254" ht="22" customHeight="1">
      <c r="A254" s="15" t="inlineStr">
        <is>
          <t xml:space="preserve">1 Samuel 14</t>
        </is>
      </c>
      <c r="B254" s="15">
        <v>250</v>
      </c>
      <c r="C254" s="15" t="inlineStr">
        <is>
          <t xml:space="preserve">Old Testament</t>
        </is>
      </c>
      <c r="D254" s="15">
        <v>9</v>
      </c>
      <c r="E254" s="15" t="inlineStr">
        <is>
          <t xml:space="preserve">1 Samuel</t>
        </is>
      </c>
      <c r="F254" s="15">
        <v>14</v>
      </c>
      <c r="G254" s="15" t="inlineStr">
        <is>
          <t xml:space="preserve">v0.1</t>
        </is>
      </c>
      <c r="H254" s="15" t="inlineStr">
        <is>
          <t xml:space="preserve">Bible_Journey_Canon_Map_v0_1_Genesis_to_2Samuel.xlsx</t>
        </is>
      </c>
      <c r="I254" s="15" t="inlineStr">
        <is>
          <t xml:space="preserve">Chapter Map</t>
        </is>
      </c>
      <c r="J254" s="15" t="inlineStr">
        <is>
          <t xml:space="preserve">CRS-1SA-005</t>
        </is>
      </c>
      <c r="K254" s="15"/>
      <c r="L254" s="10" t="inlineStr">
        <is>
          <t xml:space="preserve">Mapped</t>
        </is>
      </c>
      <c r="M254" s="15"/>
      <c r="N254" s="15"/>
      <c r="O254" s="15">
        <v>1</v>
      </c>
      <c r="P254" s="10" t="str">
        <f>IF(L254="MISSING","MISSING",IF(O254=1,"PASS","DUPLICATE"))</f>
        <v>PASS</v>
      </c>
    </row>
    <row r="255" ht="22" customHeight="1">
      <c r="A255" s="15" t="inlineStr">
        <is>
          <t xml:space="preserve">1 Samuel 15</t>
        </is>
      </c>
      <c r="B255" s="15">
        <v>251</v>
      </c>
      <c r="C255" s="15" t="inlineStr">
        <is>
          <t xml:space="preserve">Old Testament</t>
        </is>
      </c>
      <c r="D255" s="15">
        <v>9</v>
      </c>
      <c r="E255" s="15" t="inlineStr">
        <is>
          <t xml:space="preserve">1 Samuel</t>
        </is>
      </c>
      <c r="F255" s="15">
        <v>15</v>
      </c>
      <c r="G255" s="15" t="inlineStr">
        <is>
          <t xml:space="preserve">v0.1</t>
        </is>
      </c>
      <c r="H255" s="15" t="inlineStr">
        <is>
          <t xml:space="preserve">Bible_Journey_Canon_Map_v0_1_Genesis_to_2Samuel.xlsx</t>
        </is>
      </c>
      <c r="I255" s="15" t="inlineStr">
        <is>
          <t xml:space="preserve">Chapter Map</t>
        </is>
      </c>
      <c r="J255" s="15" t="inlineStr">
        <is>
          <t xml:space="preserve">CRS-1SA-005</t>
        </is>
      </c>
      <c r="K255" s="15"/>
      <c r="L255" s="10" t="inlineStr">
        <is>
          <t xml:space="preserve">Mapped</t>
        </is>
      </c>
      <c r="M255" s="15"/>
      <c r="N255" s="15"/>
      <c r="O255" s="15">
        <v>1</v>
      </c>
      <c r="P255" s="10" t="str">
        <f>IF(L255="MISSING","MISSING",IF(O255=1,"PASS","DUPLICATE"))</f>
        <v>PASS</v>
      </c>
    </row>
    <row r="256" ht="22" customHeight="1">
      <c r="A256" s="15" t="inlineStr">
        <is>
          <t xml:space="preserve">1 Samuel 16</t>
        </is>
      </c>
      <c r="B256" s="15">
        <v>252</v>
      </c>
      <c r="C256" s="15" t="inlineStr">
        <is>
          <t xml:space="preserve">Old Testament</t>
        </is>
      </c>
      <c r="D256" s="15">
        <v>9</v>
      </c>
      <c r="E256" s="15" t="inlineStr">
        <is>
          <t xml:space="preserve">1 Samuel</t>
        </is>
      </c>
      <c r="F256" s="15">
        <v>16</v>
      </c>
      <c r="G256" s="15" t="inlineStr">
        <is>
          <t xml:space="preserve">v0.1</t>
        </is>
      </c>
      <c r="H256" s="15" t="inlineStr">
        <is>
          <t xml:space="preserve">Bible_Journey_Canon_Map_v0_1_Genesis_to_2Samuel.xlsx</t>
        </is>
      </c>
      <c r="I256" s="15" t="inlineStr">
        <is>
          <t xml:space="preserve">Chapter Map</t>
        </is>
      </c>
      <c r="J256" s="15" t="inlineStr">
        <is>
          <t xml:space="preserve">CRS-1SA-006</t>
        </is>
      </c>
      <c r="K256" s="15"/>
      <c r="L256" s="10" t="inlineStr">
        <is>
          <t xml:space="preserve">Mapped</t>
        </is>
      </c>
      <c r="M256" s="15"/>
      <c r="N256" s="15"/>
      <c r="O256" s="15">
        <v>1</v>
      </c>
      <c r="P256" s="10" t="str">
        <f>IF(L256="MISSING","MISSING",IF(O256=1,"PASS","DUPLICATE"))</f>
        <v>PASS</v>
      </c>
    </row>
    <row r="257" ht="22" customHeight="1">
      <c r="A257" s="15" t="inlineStr">
        <is>
          <t xml:space="preserve">1 Samuel 17</t>
        </is>
      </c>
      <c r="B257" s="15">
        <v>253</v>
      </c>
      <c r="C257" s="15" t="inlineStr">
        <is>
          <t xml:space="preserve">Old Testament</t>
        </is>
      </c>
      <c r="D257" s="15">
        <v>9</v>
      </c>
      <c r="E257" s="15" t="inlineStr">
        <is>
          <t xml:space="preserve">1 Samuel</t>
        </is>
      </c>
      <c r="F257" s="15">
        <v>17</v>
      </c>
      <c r="G257" s="15" t="inlineStr">
        <is>
          <t xml:space="preserve">v0.1</t>
        </is>
      </c>
      <c r="H257" s="15" t="inlineStr">
        <is>
          <t xml:space="preserve">Bible_Journey_Canon_Map_v0_1_Genesis_to_2Samuel.xlsx</t>
        </is>
      </c>
      <c r="I257" s="15" t="inlineStr">
        <is>
          <t xml:space="preserve">Chapter Map</t>
        </is>
      </c>
      <c r="J257" s="15" t="inlineStr">
        <is>
          <t xml:space="preserve">CRS-1SA-007</t>
        </is>
      </c>
      <c r="K257" s="15"/>
      <c r="L257" s="10" t="inlineStr">
        <is>
          <t xml:space="preserve">Mapped</t>
        </is>
      </c>
      <c r="M257" s="15"/>
      <c r="N257" s="15"/>
      <c r="O257" s="15">
        <v>1</v>
      </c>
      <c r="P257" s="10" t="str">
        <f>IF(L257="MISSING","MISSING",IF(O257=1,"PASS","DUPLICATE"))</f>
        <v>PASS</v>
      </c>
    </row>
    <row r="258" ht="22" customHeight="1">
      <c r="A258" s="15" t="inlineStr">
        <is>
          <t xml:space="preserve">1 Samuel 18</t>
        </is>
      </c>
      <c r="B258" s="15">
        <v>254</v>
      </c>
      <c r="C258" s="15" t="inlineStr">
        <is>
          <t xml:space="preserve">Old Testament</t>
        </is>
      </c>
      <c r="D258" s="15">
        <v>9</v>
      </c>
      <c r="E258" s="15" t="inlineStr">
        <is>
          <t xml:space="preserve">1 Samuel</t>
        </is>
      </c>
      <c r="F258" s="15">
        <v>18</v>
      </c>
      <c r="G258" s="15" t="inlineStr">
        <is>
          <t xml:space="preserve">v0.1</t>
        </is>
      </c>
      <c r="H258" s="15" t="inlineStr">
        <is>
          <t xml:space="preserve">Bible_Journey_Canon_Map_v0_1_Genesis_to_2Samuel.xlsx</t>
        </is>
      </c>
      <c r="I258" s="15" t="inlineStr">
        <is>
          <t xml:space="preserve">Chapter Map</t>
        </is>
      </c>
      <c r="J258" s="15" t="inlineStr">
        <is>
          <t xml:space="preserve">CRS-1SA-008</t>
        </is>
      </c>
      <c r="K258" s="15"/>
      <c r="L258" s="10" t="inlineStr">
        <is>
          <t xml:space="preserve">Mapped</t>
        </is>
      </c>
      <c r="M258" s="15"/>
      <c r="N258" s="15"/>
      <c r="O258" s="15">
        <v>1</v>
      </c>
      <c r="P258" s="10" t="str">
        <f>IF(L258="MISSING","MISSING",IF(O258=1,"PASS","DUPLICATE"))</f>
        <v>PASS</v>
      </c>
    </row>
    <row r="259" ht="22" customHeight="1">
      <c r="A259" s="15" t="inlineStr">
        <is>
          <t xml:space="preserve">1 Samuel 19</t>
        </is>
      </c>
      <c r="B259" s="15">
        <v>255</v>
      </c>
      <c r="C259" s="15" t="inlineStr">
        <is>
          <t xml:space="preserve">Old Testament</t>
        </is>
      </c>
      <c r="D259" s="15">
        <v>9</v>
      </c>
      <c r="E259" s="15" t="inlineStr">
        <is>
          <t xml:space="preserve">1 Samuel</t>
        </is>
      </c>
      <c r="F259" s="15">
        <v>19</v>
      </c>
      <c r="G259" s="15" t="inlineStr">
        <is>
          <t xml:space="preserve">v0.1</t>
        </is>
      </c>
      <c r="H259" s="15" t="inlineStr">
        <is>
          <t xml:space="preserve">Bible_Journey_Canon_Map_v0_1_Genesis_to_2Samuel.xlsx</t>
        </is>
      </c>
      <c r="I259" s="15" t="inlineStr">
        <is>
          <t xml:space="preserve">Chapter Map</t>
        </is>
      </c>
      <c r="J259" s="15" t="inlineStr">
        <is>
          <t xml:space="preserve">CRS-1SA-009</t>
        </is>
      </c>
      <c r="K259" s="15"/>
      <c r="L259" s="10" t="inlineStr">
        <is>
          <t xml:space="preserve">Mapped</t>
        </is>
      </c>
      <c r="M259" s="15"/>
      <c r="N259" s="15"/>
      <c r="O259" s="15">
        <v>1</v>
      </c>
      <c r="P259" s="10" t="str">
        <f>IF(L259="MISSING","MISSING",IF(O259=1,"PASS","DUPLICATE"))</f>
        <v>PASS</v>
      </c>
    </row>
    <row r="260" ht="22" customHeight="1">
      <c r="A260" s="15" t="inlineStr">
        <is>
          <t xml:space="preserve">1 Samuel 20</t>
        </is>
      </c>
      <c r="B260" s="15">
        <v>256</v>
      </c>
      <c r="C260" s="15" t="inlineStr">
        <is>
          <t xml:space="preserve">Old Testament</t>
        </is>
      </c>
      <c r="D260" s="15">
        <v>9</v>
      </c>
      <c r="E260" s="15" t="inlineStr">
        <is>
          <t xml:space="preserve">1 Samuel</t>
        </is>
      </c>
      <c r="F260" s="15">
        <v>20</v>
      </c>
      <c r="G260" s="15" t="inlineStr">
        <is>
          <t xml:space="preserve">v0.1</t>
        </is>
      </c>
      <c r="H260" s="15" t="inlineStr">
        <is>
          <t xml:space="preserve">Bible_Journey_Canon_Map_v0_1_Genesis_to_2Samuel.xlsx</t>
        </is>
      </c>
      <c r="I260" s="15" t="inlineStr">
        <is>
          <t xml:space="preserve">Chapter Map</t>
        </is>
      </c>
      <c r="J260" s="15" t="inlineStr">
        <is>
          <t xml:space="preserve">CRS-1SA-010</t>
        </is>
      </c>
      <c r="K260" s="15"/>
      <c r="L260" s="10" t="inlineStr">
        <is>
          <t xml:space="preserve">Mapped</t>
        </is>
      </c>
      <c r="M260" s="15"/>
      <c r="N260" s="15"/>
      <c r="O260" s="15">
        <v>1</v>
      </c>
      <c r="P260" s="10" t="str">
        <f>IF(L260="MISSING","MISSING",IF(O260=1,"PASS","DUPLICATE"))</f>
        <v>PASS</v>
      </c>
    </row>
    <row r="261" ht="22" customHeight="1">
      <c r="A261" s="15" t="inlineStr">
        <is>
          <t xml:space="preserve">1 Samuel 21</t>
        </is>
      </c>
      <c r="B261" s="15">
        <v>257</v>
      </c>
      <c r="C261" s="15" t="inlineStr">
        <is>
          <t xml:space="preserve">Old Testament</t>
        </is>
      </c>
      <c r="D261" s="15">
        <v>9</v>
      </c>
      <c r="E261" s="15" t="inlineStr">
        <is>
          <t xml:space="preserve">1 Samuel</t>
        </is>
      </c>
      <c r="F261" s="15">
        <v>21</v>
      </c>
      <c r="G261" s="15" t="inlineStr">
        <is>
          <t xml:space="preserve">v0.1</t>
        </is>
      </c>
      <c r="H261" s="15" t="inlineStr">
        <is>
          <t xml:space="preserve">Bible_Journey_Canon_Map_v0_1_Genesis_to_2Samuel.xlsx</t>
        </is>
      </c>
      <c r="I261" s="15" t="inlineStr">
        <is>
          <t xml:space="preserve">Chapter Map</t>
        </is>
      </c>
      <c r="J261" s="15" t="inlineStr">
        <is>
          <t xml:space="preserve">CRS-1SA-011</t>
        </is>
      </c>
      <c r="K261" s="15"/>
      <c r="L261" s="10" t="inlineStr">
        <is>
          <t xml:space="preserve">Mapped</t>
        </is>
      </c>
      <c r="M261" s="15"/>
      <c r="N261" s="15"/>
      <c r="O261" s="15">
        <v>1</v>
      </c>
      <c r="P261" s="10" t="str">
        <f>IF(L261="MISSING","MISSING",IF(O261=1,"PASS","DUPLICATE"))</f>
        <v>PASS</v>
      </c>
    </row>
    <row r="262" ht="22" customHeight="1">
      <c r="A262" s="15" t="inlineStr">
        <is>
          <t xml:space="preserve">1 Samuel 22</t>
        </is>
      </c>
      <c r="B262" s="15">
        <v>258</v>
      </c>
      <c r="C262" s="15" t="inlineStr">
        <is>
          <t xml:space="preserve">Old Testament</t>
        </is>
      </c>
      <c r="D262" s="15">
        <v>9</v>
      </c>
      <c r="E262" s="15" t="inlineStr">
        <is>
          <t xml:space="preserve">1 Samuel</t>
        </is>
      </c>
      <c r="F262" s="15">
        <v>22</v>
      </c>
      <c r="G262" s="15" t="inlineStr">
        <is>
          <t xml:space="preserve">v0.1</t>
        </is>
      </c>
      <c r="H262" s="15" t="inlineStr">
        <is>
          <t xml:space="preserve">Bible_Journey_Canon_Map_v0_1_Genesis_to_2Samuel.xlsx</t>
        </is>
      </c>
      <c r="I262" s="15" t="inlineStr">
        <is>
          <t xml:space="preserve">Chapter Map</t>
        </is>
      </c>
      <c r="J262" s="15" t="inlineStr">
        <is>
          <t xml:space="preserve">CRS-1SA-012</t>
        </is>
      </c>
      <c r="K262" s="15"/>
      <c r="L262" s="10" t="inlineStr">
        <is>
          <t xml:space="preserve">Mapped</t>
        </is>
      </c>
      <c r="M262" s="15"/>
      <c r="N262" s="15"/>
      <c r="O262" s="15">
        <v>1</v>
      </c>
      <c r="P262" s="10" t="str">
        <f>IF(L262="MISSING","MISSING",IF(O262=1,"PASS","DUPLICATE"))</f>
        <v>PASS</v>
      </c>
    </row>
    <row r="263" ht="22" customHeight="1">
      <c r="A263" s="15" t="inlineStr">
        <is>
          <t xml:space="preserve">1 Samuel 23</t>
        </is>
      </c>
      <c r="B263" s="15">
        <v>259</v>
      </c>
      <c r="C263" s="15" t="inlineStr">
        <is>
          <t xml:space="preserve">Old Testament</t>
        </is>
      </c>
      <c r="D263" s="15">
        <v>9</v>
      </c>
      <c r="E263" s="15" t="inlineStr">
        <is>
          <t xml:space="preserve">1 Samuel</t>
        </is>
      </c>
      <c r="F263" s="15">
        <v>23</v>
      </c>
      <c r="G263" s="15" t="inlineStr">
        <is>
          <t xml:space="preserve">v0.1</t>
        </is>
      </c>
      <c r="H263" s="15" t="inlineStr">
        <is>
          <t xml:space="preserve">Bible_Journey_Canon_Map_v0_1_Genesis_to_2Samuel.xlsx</t>
        </is>
      </c>
      <c r="I263" s="15" t="inlineStr">
        <is>
          <t xml:space="preserve">Chapter Map</t>
        </is>
      </c>
      <c r="J263" s="15" t="inlineStr">
        <is>
          <t xml:space="preserve">CRS-1SA-013</t>
        </is>
      </c>
      <c r="K263" s="15"/>
      <c r="L263" s="10" t="inlineStr">
        <is>
          <t xml:space="preserve">Mapped</t>
        </is>
      </c>
      <c r="M263" s="15"/>
      <c r="N263" s="15"/>
      <c r="O263" s="15">
        <v>1</v>
      </c>
      <c r="P263" s="10" t="str">
        <f>IF(L263="MISSING","MISSING",IF(O263=1,"PASS","DUPLICATE"))</f>
        <v>PASS</v>
      </c>
    </row>
    <row r="264" ht="22" customHeight="1">
      <c r="A264" s="15" t="inlineStr">
        <is>
          <t xml:space="preserve">1 Samuel 24</t>
        </is>
      </c>
      <c r="B264" s="15">
        <v>260</v>
      </c>
      <c r="C264" s="15" t="inlineStr">
        <is>
          <t xml:space="preserve">Old Testament</t>
        </is>
      </c>
      <c r="D264" s="15">
        <v>9</v>
      </c>
      <c r="E264" s="15" t="inlineStr">
        <is>
          <t xml:space="preserve">1 Samuel</t>
        </is>
      </c>
      <c r="F264" s="15">
        <v>24</v>
      </c>
      <c r="G264" s="15" t="inlineStr">
        <is>
          <t xml:space="preserve">v0.1</t>
        </is>
      </c>
      <c r="H264" s="15" t="inlineStr">
        <is>
          <t xml:space="preserve">Bible_Journey_Canon_Map_v0_1_Genesis_to_2Samuel.xlsx</t>
        </is>
      </c>
      <c r="I264" s="15" t="inlineStr">
        <is>
          <t xml:space="preserve">Chapter Map</t>
        </is>
      </c>
      <c r="J264" s="15" t="inlineStr">
        <is>
          <t xml:space="preserve">CRS-1SA-014</t>
        </is>
      </c>
      <c r="K264" s="15"/>
      <c r="L264" s="10" t="inlineStr">
        <is>
          <t xml:space="preserve">Mapped</t>
        </is>
      </c>
      <c r="M264" s="15"/>
      <c r="N264" s="15"/>
      <c r="O264" s="15">
        <v>1</v>
      </c>
      <c r="P264" s="10" t="str">
        <f>IF(L264="MISSING","MISSING",IF(O264=1,"PASS","DUPLICATE"))</f>
        <v>PASS</v>
      </c>
    </row>
    <row r="265" ht="22" customHeight="1">
      <c r="A265" s="15" t="inlineStr">
        <is>
          <t xml:space="preserve">1 Samuel 25</t>
        </is>
      </c>
      <c r="B265" s="15">
        <v>261</v>
      </c>
      <c r="C265" s="15" t="inlineStr">
        <is>
          <t xml:space="preserve">Old Testament</t>
        </is>
      </c>
      <c r="D265" s="15">
        <v>9</v>
      </c>
      <c r="E265" s="15" t="inlineStr">
        <is>
          <t xml:space="preserve">1 Samuel</t>
        </is>
      </c>
      <c r="F265" s="15">
        <v>25</v>
      </c>
      <c r="G265" s="15" t="inlineStr">
        <is>
          <t xml:space="preserve">v0.1</t>
        </is>
      </c>
      <c r="H265" s="15" t="inlineStr">
        <is>
          <t xml:space="preserve">Bible_Journey_Canon_Map_v0_1_Genesis_to_2Samuel.xlsx</t>
        </is>
      </c>
      <c r="I265" s="15" t="inlineStr">
        <is>
          <t xml:space="preserve">Chapter Map</t>
        </is>
      </c>
      <c r="J265" s="15" t="inlineStr">
        <is>
          <t xml:space="preserve">CRS-1SA-015</t>
        </is>
      </c>
      <c r="K265" s="15"/>
      <c r="L265" s="10" t="inlineStr">
        <is>
          <t xml:space="preserve">Mapped</t>
        </is>
      </c>
      <c r="M265" s="15"/>
      <c r="N265" s="15"/>
      <c r="O265" s="15">
        <v>1</v>
      </c>
      <c r="P265" s="10" t="str">
        <f>IF(L265="MISSING","MISSING",IF(O265=1,"PASS","DUPLICATE"))</f>
        <v>PASS</v>
      </c>
    </row>
    <row r="266" ht="22" customHeight="1">
      <c r="A266" s="15" t="inlineStr">
        <is>
          <t xml:space="preserve">1 Samuel 26</t>
        </is>
      </c>
      <c r="B266" s="15">
        <v>262</v>
      </c>
      <c r="C266" s="15" t="inlineStr">
        <is>
          <t xml:space="preserve">Old Testament</t>
        </is>
      </c>
      <c r="D266" s="15">
        <v>9</v>
      </c>
      <c r="E266" s="15" t="inlineStr">
        <is>
          <t xml:space="preserve">1 Samuel</t>
        </is>
      </c>
      <c r="F266" s="15">
        <v>26</v>
      </c>
      <c r="G266" s="15" t="inlineStr">
        <is>
          <t xml:space="preserve">v0.1</t>
        </is>
      </c>
      <c r="H266" s="15" t="inlineStr">
        <is>
          <t xml:space="preserve">Bible_Journey_Canon_Map_v0_1_Genesis_to_2Samuel.xlsx</t>
        </is>
      </c>
      <c r="I266" s="15" t="inlineStr">
        <is>
          <t xml:space="preserve">Chapter Map</t>
        </is>
      </c>
      <c r="J266" s="15" t="inlineStr">
        <is>
          <t xml:space="preserve">CRS-1SA-016</t>
        </is>
      </c>
      <c r="K266" s="15"/>
      <c r="L266" s="10" t="inlineStr">
        <is>
          <t xml:space="preserve">Mapped</t>
        </is>
      </c>
      <c r="M266" s="15"/>
      <c r="N266" s="15"/>
      <c r="O266" s="15">
        <v>1</v>
      </c>
      <c r="P266" s="10" t="str">
        <f>IF(L266="MISSING","MISSING",IF(O266=1,"PASS","DUPLICATE"))</f>
        <v>PASS</v>
      </c>
    </row>
    <row r="267" ht="22" customHeight="1">
      <c r="A267" s="15" t="inlineStr">
        <is>
          <t xml:space="preserve">1 Samuel 27</t>
        </is>
      </c>
      <c r="B267" s="15">
        <v>263</v>
      </c>
      <c r="C267" s="15" t="inlineStr">
        <is>
          <t xml:space="preserve">Old Testament</t>
        </is>
      </c>
      <c r="D267" s="15">
        <v>9</v>
      </c>
      <c r="E267" s="15" t="inlineStr">
        <is>
          <t xml:space="preserve">1 Samuel</t>
        </is>
      </c>
      <c r="F267" s="15">
        <v>27</v>
      </c>
      <c r="G267" s="15" t="inlineStr">
        <is>
          <t xml:space="preserve">v0.1</t>
        </is>
      </c>
      <c r="H267" s="15" t="inlineStr">
        <is>
          <t xml:space="preserve">Bible_Journey_Canon_Map_v0_1_Genesis_to_2Samuel.xlsx</t>
        </is>
      </c>
      <c r="I267" s="15" t="inlineStr">
        <is>
          <t xml:space="preserve">Chapter Map</t>
        </is>
      </c>
      <c r="J267" s="15" t="inlineStr">
        <is>
          <t xml:space="preserve">CRS-1SA-017</t>
        </is>
      </c>
      <c r="K267" s="15"/>
      <c r="L267" s="10" t="inlineStr">
        <is>
          <t xml:space="preserve">Mapped</t>
        </is>
      </c>
      <c r="M267" s="15"/>
      <c r="N267" s="15"/>
      <c r="O267" s="15">
        <v>1</v>
      </c>
      <c r="P267" s="10" t="str">
        <f>IF(L267="MISSING","MISSING",IF(O267=1,"PASS","DUPLICATE"))</f>
        <v>PASS</v>
      </c>
    </row>
    <row r="268" ht="22" customHeight="1">
      <c r="A268" s="15" t="inlineStr">
        <is>
          <t xml:space="preserve">1 Samuel 28</t>
        </is>
      </c>
      <c r="B268" s="15">
        <v>264</v>
      </c>
      <c r="C268" s="15" t="inlineStr">
        <is>
          <t xml:space="preserve">Old Testament</t>
        </is>
      </c>
      <c r="D268" s="15">
        <v>9</v>
      </c>
      <c r="E268" s="15" t="inlineStr">
        <is>
          <t xml:space="preserve">1 Samuel</t>
        </is>
      </c>
      <c r="F268" s="15">
        <v>28</v>
      </c>
      <c r="G268" s="15" t="inlineStr">
        <is>
          <t xml:space="preserve">v0.1</t>
        </is>
      </c>
      <c r="H268" s="15" t="inlineStr">
        <is>
          <t xml:space="preserve">Bible_Journey_Canon_Map_v0_1_Genesis_to_2Samuel.xlsx</t>
        </is>
      </c>
      <c r="I268" s="15" t="inlineStr">
        <is>
          <t xml:space="preserve">Chapter Map</t>
        </is>
      </c>
      <c r="J268" s="15" t="inlineStr">
        <is>
          <t xml:space="preserve">CRS-1SA-018</t>
        </is>
      </c>
      <c r="K268" s="15"/>
      <c r="L268" s="10" t="inlineStr">
        <is>
          <t xml:space="preserve">Mapped</t>
        </is>
      </c>
      <c r="M268" s="15"/>
      <c r="N268" s="15"/>
      <c r="O268" s="15">
        <v>1</v>
      </c>
      <c r="P268" s="10" t="str">
        <f>IF(L268="MISSING","MISSING",IF(O268=1,"PASS","DUPLICATE"))</f>
        <v>PASS</v>
      </c>
    </row>
    <row r="269" ht="22" customHeight="1">
      <c r="A269" s="15" t="inlineStr">
        <is>
          <t xml:space="preserve">1 Samuel 29</t>
        </is>
      </c>
      <c r="B269" s="15">
        <v>265</v>
      </c>
      <c r="C269" s="15" t="inlineStr">
        <is>
          <t xml:space="preserve">Old Testament</t>
        </is>
      </c>
      <c r="D269" s="15">
        <v>9</v>
      </c>
      <c r="E269" s="15" t="inlineStr">
        <is>
          <t xml:space="preserve">1 Samuel</t>
        </is>
      </c>
      <c r="F269" s="15">
        <v>29</v>
      </c>
      <c r="G269" s="15" t="inlineStr">
        <is>
          <t xml:space="preserve">v0.1</t>
        </is>
      </c>
      <c r="H269" s="15" t="inlineStr">
        <is>
          <t xml:space="preserve">Bible_Journey_Canon_Map_v0_1_Genesis_to_2Samuel.xlsx</t>
        </is>
      </c>
      <c r="I269" s="15" t="inlineStr">
        <is>
          <t xml:space="preserve">Chapter Map</t>
        </is>
      </c>
      <c r="J269" s="15" t="inlineStr">
        <is>
          <t xml:space="preserve">CRS-1SA-019</t>
        </is>
      </c>
      <c r="K269" s="15"/>
      <c r="L269" s="10" t="inlineStr">
        <is>
          <t xml:space="preserve">Mapped</t>
        </is>
      </c>
      <c r="M269" s="15"/>
      <c r="N269" s="15"/>
      <c r="O269" s="15">
        <v>1</v>
      </c>
      <c r="P269" s="10" t="str">
        <f>IF(L269="MISSING","MISSING",IF(O269=1,"PASS","DUPLICATE"))</f>
        <v>PASS</v>
      </c>
    </row>
    <row r="270" ht="22" customHeight="1">
      <c r="A270" s="15" t="inlineStr">
        <is>
          <t xml:space="preserve">1 Samuel 30</t>
        </is>
      </c>
      <c r="B270" s="15">
        <v>266</v>
      </c>
      <c r="C270" s="15" t="inlineStr">
        <is>
          <t xml:space="preserve">Old Testament</t>
        </is>
      </c>
      <c r="D270" s="15">
        <v>9</v>
      </c>
      <c r="E270" s="15" t="inlineStr">
        <is>
          <t xml:space="preserve">1 Samuel</t>
        </is>
      </c>
      <c r="F270" s="15">
        <v>30</v>
      </c>
      <c r="G270" s="15" t="inlineStr">
        <is>
          <t xml:space="preserve">v0.1</t>
        </is>
      </c>
      <c r="H270" s="15" t="inlineStr">
        <is>
          <t xml:space="preserve">Bible_Journey_Canon_Map_v0_1_Genesis_to_2Samuel.xlsx</t>
        </is>
      </c>
      <c r="I270" s="15" t="inlineStr">
        <is>
          <t xml:space="preserve">Chapter Map</t>
        </is>
      </c>
      <c r="J270" s="15" t="inlineStr">
        <is>
          <t xml:space="preserve">CRS-1SA-020</t>
        </is>
      </c>
      <c r="K270" s="15"/>
      <c r="L270" s="10" t="inlineStr">
        <is>
          <t xml:space="preserve">Mapped</t>
        </is>
      </c>
      <c r="M270" s="15"/>
      <c r="N270" s="15"/>
      <c r="O270" s="15">
        <v>1</v>
      </c>
      <c r="P270" s="10" t="str">
        <f>IF(L270="MISSING","MISSING",IF(O270=1,"PASS","DUPLICATE"))</f>
        <v>PASS</v>
      </c>
    </row>
    <row r="271" ht="22" customHeight="1">
      <c r="A271" s="15" t="inlineStr">
        <is>
          <t xml:space="preserve">1 Samuel 31</t>
        </is>
      </c>
      <c r="B271" s="15">
        <v>267</v>
      </c>
      <c r="C271" s="15" t="inlineStr">
        <is>
          <t xml:space="preserve">Old Testament</t>
        </is>
      </c>
      <c r="D271" s="15">
        <v>9</v>
      </c>
      <c r="E271" s="15" t="inlineStr">
        <is>
          <t xml:space="preserve">1 Samuel</t>
        </is>
      </c>
      <c r="F271" s="15">
        <v>31</v>
      </c>
      <c r="G271" s="15" t="inlineStr">
        <is>
          <t xml:space="preserve">v0.1</t>
        </is>
      </c>
      <c r="H271" s="15" t="inlineStr">
        <is>
          <t xml:space="preserve">Bible_Journey_Canon_Map_v0_1_Genesis_to_2Samuel.xlsx</t>
        </is>
      </c>
      <c r="I271" s="15" t="inlineStr">
        <is>
          <t xml:space="preserve">Chapter Map</t>
        </is>
      </c>
      <c r="J271" s="15" t="inlineStr">
        <is>
          <t xml:space="preserve">CRS-1SA-021</t>
        </is>
      </c>
      <c r="K271" s="15"/>
      <c r="L271" s="10" t="inlineStr">
        <is>
          <t xml:space="preserve">Mapped</t>
        </is>
      </c>
      <c r="M271" s="15"/>
      <c r="N271" s="15"/>
      <c r="O271" s="15">
        <v>1</v>
      </c>
      <c r="P271" s="10" t="str">
        <f>IF(L271="MISSING","MISSING",IF(O271=1,"PASS","DUPLICATE"))</f>
        <v>PASS</v>
      </c>
    </row>
    <row r="272" ht="22" customHeight="1">
      <c r="A272" s="15" t="inlineStr">
        <is>
          <t xml:space="preserve">2 Samuel 1</t>
        </is>
      </c>
      <c r="B272" s="15">
        <v>268</v>
      </c>
      <c r="C272" s="15" t="inlineStr">
        <is>
          <t xml:space="preserve">Old Testament</t>
        </is>
      </c>
      <c r="D272" s="15">
        <v>10</v>
      </c>
      <c r="E272" s="15" t="inlineStr">
        <is>
          <t xml:space="preserve">2 Samuel</t>
        </is>
      </c>
      <c r="F272" s="15">
        <v>1</v>
      </c>
      <c r="G272" s="15" t="inlineStr">
        <is>
          <t xml:space="preserve">v0.1</t>
        </is>
      </c>
      <c r="H272" s="15" t="inlineStr">
        <is>
          <t xml:space="preserve">Bible_Journey_Canon_Map_v0_1_Genesis_to_2Samuel.xlsx</t>
        </is>
      </c>
      <c r="I272" s="15" t="inlineStr">
        <is>
          <t xml:space="preserve">Chapter Map</t>
        </is>
      </c>
      <c r="J272" s="15" t="inlineStr">
        <is>
          <t xml:space="preserve">CRS-2SA-001</t>
        </is>
      </c>
      <c r="K272" s="15"/>
      <c r="L272" s="10" t="inlineStr">
        <is>
          <t xml:space="preserve">Mapped</t>
        </is>
      </c>
      <c r="M272" s="15"/>
      <c r="N272" s="15"/>
      <c r="O272" s="15">
        <v>1</v>
      </c>
      <c r="P272" s="10" t="str">
        <f>IF(L272="MISSING","MISSING",IF(O272=1,"PASS","DUPLICATE"))</f>
        <v>PASS</v>
      </c>
    </row>
    <row r="273" ht="22" customHeight="1">
      <c r="A273" s="15" t="inlineStr">
        <is>
          <t xml:space="preserve">2 Samuel 2</t>
        </is>
      </c>
      <c r="B273" s="15">
        <v>269</v>
      </c>
      <c r="C273" s="15" t="inlineStr">
        <is>
          <t xml:space="preserve">Old Testament</t>
        </is>
      </c>
      <c r="D273" s="15">
        <v>10</v>
      </c>
      <c r="E273" s="15" t="inlineStr">
        <is>
          <t xml:space="preserve">2 Samuel</t>
        </is>
      </c>
      <c r="F273" s="15">
        <v>2</v>
      </c>
      <c r="G273" s="15" t="inlineStr">
        <is>
          <t xml:space="preserve">v0.1</t>
        </is>
      </c>
      <c r="H273" s="15" t="inlineStr">
        <is>
          <t xml:space="preserve">Bible_Journey_Canon_Map_v0_1_Genesis_to_2Samuel.xlsx</t>
        </is>
      </c>
      <c r="I273" s="15" t="inlineStr">
        <is>
          <t xml:space="preserve">Chapter Map</t>
        </is>
      </c>
      <c r="J273" s="15" t="inlineStr">
        <is>
          <t xml:space="preserve">CRS-2SA-001</t>
        </is>
      </c>
      <c r="K273" s="15"/>
      <c r="L273" s="10" t="inlineStr">
        <is>
          <t xml:space="preserve">Mapped</t>
        </is>
      </c>
      <c r="M273" s="15"/>
      <c r="N273" s="15"/>
      <c r="O273" s="15">
        <v>1</v>
      </c>
      <c r="P273" s="10" t="str">
        <f>IF(L273="MISSING","MISSING",IF(O273=1,"PASS","DUPLICATE"))</f>
        <v>PASS</v>
      </c>
    </row>
    <row r="274" ht="22" customHeight="1">
      <c r="A274" s="15" t="inlineStr">
        <is>
          <t xml:space="preserve">2 Samuel 3</t>
        </is>
      </c>
      <c r="B274" s="15">
        <v>270</v>
      </c>
      <c r="C274" s="15" t="inlineStr">
        <is>
          <t xml:space="preserve">Old Testament</t>
        </is>
      </c>
      <c r="D274" s="15">
        <v>10</v>
      </c>
      <c r="E274" s="15" t="inlineStr">
        <is>
          <t xml:space="preserve">2 Samuel</t>
        </is>
      </c>
      <c r="F274" s="15">
        <v>3</v>
      </c>
      <c r="G274" s="15" t="inlineStr">
        <is>
          <t xml:space="preserve">v0.1</t>
        </is>
      </c>
      <c r="H274" s="15" t="inlineStr">
        <is>
          <t xml:space="preserve">Bible_Journey_Canon_Map_v0_1_Genesis_to_2Samuel.xlsx</t>
        </is>
      </c>
      <c r="I274" s="15" t="inlineStr">
        <is>
          <t xml:space="preserve">Chapter Map</t>
        </is>
      </c>
      <c r="J274" s="15" t="inlineStr">
        <is>
          <t xml:space="preserve">CRS-2SA-002</t>
        </is>
      </c>
      <c r="K274" s="15"/>
      <c r="L274" s="10" t="inlineStr">
        <is>
          <t xml:space="preserve">Mapped</t>
        </is>
      </c>
      <c r="M274" s="15"/>
      <c r="N274" s="15"/>
      <c r="O274" s="15">
        <v>1</v>
      </c>
      <c r="P274" s="10" t="str">
        <f>IF(L274="MISSING","MISSING",IF(O274=1,"PASS","DUPLICATE"))</f>
        <v>PASS</v>
      </c>
    </row>
    <row r="275" ht="22" customHeight="1">
      <c r="A275" s="15" t="inlineStr">
        <is>
          <t xml:space="preserve">2 Samuel 4</t>
        </is>
      </c>
      <c r="B275" s="15">
        <v>271</v>
      </c>
      <c r="C275" s="15" t="inlineStr">
        <is>
          <t xml:space="preserve">Old Testament</t>
        </is>
      </c>
      <c r="D275" s="15">
        <v>10</v>
      </c>
      <c r="E275" s="15" t="inlineStr">
        <is>
          <t xml:space="preserve">2 Samuel</t>
        </is>
      </c>
      <c r="F275" s="15">
        <v>4</v>
      </c>
      <c r="G275" s="15" t="inlineStr">
        <is>
          <t xml:space="preserve">v0.1</t>
        </is>
      </c>
      <c r="H275" s="15" t="inlineStr">
        <is>
          <t xml:space="preserve">Bible_Journey_Canon_Map_v0_1_Genesis_to_2Samuel.xlsx</t>
        </is>
      </c>
      <c r="I275" s="15" t="inlineStr">
        <is>
          <t xml:space="preserve">Chapter Map</t>
        </is>
      </c>
      <c r="J275" s="15" t="inlineStr">
        <is>
          <t xml:space="preserve">CRS-2SA-002</t>
        </is>
      </c>
      <c r="K275" s="15"/>
      <c r="L275" s="10" t="inlineStr">
        <is>
          <t xml:space="preserve">Mapped</t>
        </is>
      </c>
      <c r="M275" s="15"/>
      <c r="N275" s="15"/>
      <c r="O275" s="15">
        <v>1</v>
      </c>
      <c r="P275" s="10" t="str">
        <f>IF(L275="MISSING","MISSING",IF(O275=1,"PASS","DUPLICATE"))</f>
        <v>PASS</v>
      </c>
    </row>
    <row r="276" ht="22" customHeight="1">
      <c r="A276" s="15" t="inlineStr">
        <is>
          <t xml:space="preserve">2 Samuel 5</t>
        </is>
      </c>
      <c r="B276" s="15">
        <v>272</v>
      </c>
      <c r="C276" s="15" t="inlineStr">
        <is>
          <t xml:space="preserve">Old Testament</t>
        </is>
      </c>
      <c r="D276" s="15">
        <v>10</v>
      </c>
      <c r="E276" s="15" t="inlineStr">
        <is>
          <t xml:space="preserve">2 Samuel</t>
        </is>
      </c>
      <c r="F276" s="15">
        <v>5</v>
      </c>
      <c r="G276" s="15" t="inlineStr">
        <is>
          <t xml:space="preserve">v0.1</t>
        </is>
      </c>
      <c r="H276" s="15" t="inlineStr">
        <is>
          <t xml:space="preserve">Bible_Journey_Canon_Map_v0_1_Genesis_to_2Samuel.xlsx</t>
        </is>
      </c>
      <c r="I276" s="15" t="inlineStr">
        <is>
          <t xml:space="preserve">Chapter Map</t>
        </is>
      </c>
      <c r="J276" s="15" t="inlineStr">
        <is>
          <t xml:space="preserve">CRS-2SA-003</t>
        </is>
      </c>
      <c r="K276" s="15"/>
      <c r="L276" s="10" t="inlineStr">
        <is>
          <t xml:space="preserve">Mapped</t>
        </is>
      </c>
      <c r="M276" s="15"/>
      <c r="N276" s="15"/>
      <c r="O276" s="15">
        <v>1</v>
      </c>
      <c r="P276" s="10" t="str">
        <f>IF(L276="MISSING","MISSING",IF(O276=1,"PASS","DUPLICATE"))</f>
        <v>PASS</v>
      </c>
    </row>
    <row r="277" ht="22" customHeight="1">
      <c r="A277" s="15" t="inlineStr">
        <is>
          <t xml:space="preserve">2 Samuel 6</t>
        </is>
      </c>
      <c r="B277" s="15">
        <v>273</v>
      </c>
      <c r="C277" s="15" t="inlineStr">
        <is>
          <t xml:space="preserve">Old Testament</t>
        </is>
      </c>
      <c r="D277" s="15">
        <v>10</v>
      </c>
      <c r="E277" s="15" t="inlineStr">
        <is>
          <t xml:space="preserve">2 Samuel</t>
        </is>
      </c>
      <c r="F277" s="15">
        <v>6</v>
      </c>
      <c r="G277" s="15" t="inlineStr">
        <is>
          <t xml:space="preserve">v0.1</t>
        </is>
      </c>
      <c r="H277" s="15" t="inlineStr">
        <is>
          <t xml:space="preserve">Bible_Journey_Canon_Map_v0_1_Genesis_to_2Samuel.xlsx</t>
        </is>
      </c>
      <c r="I277" s="15" t="inlineStr">
        <is>
          <t xml:space="preserve">Chapter Map</t>
        </is>
      </c>
      <c r="J277" s="15" t="inlineStr">
        <is>
          <t xml:space="preserve">CRS-2SA-004</t>
        </is>
      </c>
      <c r="K277" s="15"/>
      <c r="L277" s="10" t="inlineStr">
        <is>
          <t xml:space="preserve">Mapped</t>
        </is>
      </c>
      <c r="M277" s="15"/>
      <c r="N277" s="15"/>
      <c r="O277" s="15">
        <v>1</v>
      </c>
      <c r="P277" s="10" t="str">
        <f>IF(L277="MISSING","MISSING",IF(O277=1,"PASS","DUPLICATE"))</f>
        <v>PASS</v>
      </c>
    </row>
    <row r="278" ht="22" customHeight="1">
      <c r="A278" s="15" t="inlineStr">
        <is>
          <t xml:space="preserve">2 Samuel 7</t>
        </is>
      </c>
      <c r="B278" s="15">
        <v>274</v>
      </c>
      <c r="C278" s="15" t="inlineStr">
        <is>
          <t xml:space="preserve">Old Testament</t>
        </is>
      </c>
      <c r="D278" s="15">
        <v>10</v>
      </c>
      <c r="E278" s="15" t="inlineStr">
        <is>
          <t xml:space="preserve">2 Samuel</t>
        </is>
      </c>
      <c r="F278" s="15">
        <v>7</v>
      </c>
      <c r="G278" s="15" t="inlineStr">
        <is>
          <t xml:space="preserve">v0.1</t>
        </is>
      </c>
      <c r="H278" s="15" t="inlineStr">
        <is>
          <t xml:space="preserve">Bible_Journey_Canon_Map_v0_1_Genesis_to_2Samuel.xlsx</t>
        </is>
      </c>
      <c r="I278" s="15" t="inlineStr">
        <is>
          <t xml:space="preserve">Chapter Map</t>
        </is>
      </c>
      <c r="J278" s="15" t="inlineStr">
        <is>
          <t xml:space="preserve">CRS-2SA-005</t>
        </is>
      </c>
      <c r="K278" s="15"/>
      <c r="L278" s="10" t="inlineStr">
        <is>
          <t xml:space="preserve">Mapped</t>
        </is>
      </c>
      <c r="M278" s="15"/>
      <c r="N278" s="15"/>
      <c r="O278" s="15">
        <v>1</v>
      </c>
      <c r="P278" s="10" t="str">
        <f>IF(L278="MISSING","MISSING",IF(O278=1,"PASS","DUPLICATE"))</f>
        <v>PASS</v>
      </c>
    </row>
    <row r="279" ht="22" customHeight="1">
      <c r="A279" s="15" t="inlineStr">
        <is>
          <t xml:space="preserve">2 Samuel 8</t>
        </is>
      </c>
      <c r="B279" s="15">
        <v>275</v>
      </c>
      <c r="C279" s="15" t="inlineStr">
        <is>
          <t xml:space="preserve">Old Testament</t>
        </is>
      </c>
      <c r="D279" s="15">
        <v>10</v>
      </c>
      <c r="E279" s="15" t="inlineStr">
        <is>
          <t xml:space="preserve">2 Samuel</t>
        </is>
      </c>
      <c r="F279" s="15">
        <v>8</v>
      </c>
      <c r="G279" s="15" t="inlineStr">
        <is>
          <t xml:space="preserve">v0.1</t>
        </is>
      </c>
      <c r="H279" s="15" t="inlineStr">
        <is>
          <t xml:space="preserve">Bible_Journey_Canon_Map_v0_1_Genesis_to_2Samuel.xlsx</t>
        </is>
      </c>
      <c r="I279" s="15" t="inlineStr">
        <is>
          <t xml:space="preserve">Chapter Map</t>
        </is>
      </c>
      <c r="J279" s="15" t="inlineStr">
        <is>
          <t xml:space="preserve">CRS-2SA-006</t>
        </is>
      </c>
      <c r="K279" s="15"/>
      <c r="L279" s="10" t="inlineStr">
        <is>
          <t xml:space="preserve">Mapped</t>
        </is>
      </c>
      <c r="M279" s="15"/>
      <c r="N279" s="15"/>
      <c r="O279" s="15">
        <v>1</v>
      </c>
      <c r="P279" s="10" t="str">
        <f>IF(L279="MISSING","MISSING",IF(O279=1,"PASS","DUPLICATE"))</f>
        <v>PASS</v>
      </c>
    </row>
    <row r="280" ht="22" customHeight="1">
      <c r="A280" s="15" t="inlineStr">
        <is>
          <t xml:space="preserve">2 Samuel 9</t>
        </is>
      </c>
      <c r="B280" s="15">
        <v>276</v>
      </c>
      <c r="C280" s="15" t="inlineStr">
        <is>
          <t xml:space="preserve">Old Testament</t>
        </is>
      </c>
      <c r="D280" s="15">
        <v>10</v>
      </c>
      <c r="E280" s="15" t="inlineStr">
        <is>
          <t xml:space="preserve">2 Samuel</t>
        </is>
      </c>
      <c r="F280" s="15">
        <v>9</v>
      </c>
      <c r="G280" s="15" t="inlineStr">
        <is>
          <t xml:space="preserve">v0.1</t>
        </is>
      </c>
      <c r="H280" s="15" t="inlineStr">
        <is>
          <t xml:space="preserve">Bible_Journey_Canon_Map_v0_1_Genesis_to_2Samuel.xlsx</t>
        </is>
      </c>
      <c r="I280" s="15" t="inlineStr">
        <is>
          <t xml:space="preserve">Chapter Map</t>
        </is>
      </c>
      <c r="J280" s="15" t="inlineStr">
        <is>
          <t xml:space="preserve">CRS-2SA-007</t>
        </is>
      </c>
      <c r="K280" s="15"/>
      <c r="L280" s="10" t="inlineStr">
        <is>
          <t xml:space="preserve">Mapped</t>
        </is>
      </c>
      <c r="M280" s="15"/>
      <c r="N280" s="15"/>
      <c r="O280" s="15">
        <v>1</v>
      </c>
      <c r="P280" s="10" t="str">
        <f>IF(L280="MISSING","MISSING",IF(O280=1,"PASS","DUPLICATE"))</f>
        <v>PASS</v>
      </c>
    </row>
    <row r="281" ht="22" customHeight="1">
      <c r="A281" s="15" t="inlineStr">
        <is>
          <t xml:space="preserve">2 Samuel 10</t>
        </is>
      </c>
      <c r="B281" s="15">
        <v>277</v>
      </c>
      <c r="C281" s="15" t="inlineStr">
        <is>
          <t xml:space="preserve">Old Testament</t>
        </is>
      </c>
      <c r="D281" s="15">
        <v>10</v>
      </c>
      <c r="E281" s="15" t="inlineStr">
        <is>
          <t xml:space="preserve">2 Samuel</t>
        </is>
      </c>
      <c r="F281" s="15">
        <v>10</v>
      </c>
      <c r="G281" s="15" t="inlineStr">
        <is>
          <t xml:space="preserve">v0.1</t>
        </is>
      </c>
      <c r="H281" s="15" t="inlineStr">
        <is>
          <t xml:space="preserve">Bible_Journey_Canon_Map_v0_1_Genesis_to_2Samuel.xlsx</t>
        </is>
      </c>
      <c r="I281" s="15" t="inlineStr">
        <is>
          <t xml:space="preserve">Chapter Map</t>
        </is>
      </c>
      <c r="J281" s="15" t="inlineStr">
        <is>
          <t xml:space="preserve">CRS-2SA-008</t>
        </is>
      </c>
      <c r="K281" s="15"/>
      <c r="L281" s="10" t="inlineStr">
        <is>
          <t xml:space="preserve">Mapped</t>
        </is>
      </c>
      <c r="M281" s="15"/>
      <c r="N281" s="15"/>
      <c r="O281" s="15">
        <v>1</v>
      </c>
      <c r="P281" s="10" t="str">
        <f>IF(L281="MISSING","MISSING",IF(O281=1,"PASS","DUPLICATE"))</f>
        <v>PASS</v>
      </c>
    </row>
    <row r="282" ht="22" customHeight="1">
      <c r="A282" s="15" t="inlineStr">
        <is>
          <t xml:space="preserve">2 Samuel 11</t>
        </is>
      </c>
      <c r="B282" s="15">
        <v>278</v>
      </c>
      <c r="C282" s="15" t="inlineStr">
        <is>
          <t xml:space="preserve">Old Testament</t>
        </is>
      </c>
      <c r="D282" s="15">
        <v>10</v>
      </c>
      <c r="E282" s="15" t="inlineStr">
        <is>
          <t xml:space="preserve">2 Samuel</t>
        </is>
      </c>
      <c r="F282" s="15">
        <v>11</v>
      </c>
      <c r="G282" s="15" t="inlineStr">
        <is>
          <t xml:space="preserve">v0.1</t>
        </is>
      </c>
      <c r="H282" s="15" t="inlineStr">
        <is>
          <t xml:space="preserve">Bible_Journey_Canon_Map_v0_1_Genesis_to_2Samuel.xlsx</t>
        </is>
      </c>
      <c r="I282" s="15" t="inlineStr">
        <is>
          <t xml:space="preserve">Chapter Map</t>
        </is>
      </c>
      <c r="J282" s="15" t="inlineStr">
        <is>
          <t xml:space="preserve">CRS-2SA-009</t>
        </is>
      </c>
      <c r="K282" s="15"/>
      <c r="L282" s="10" t="inlineStr">
        <is>
          <t xml:space="preserve">Mapped</t>
        </is>
      </c>
      <c r="M282" s="15"/>
      <c r="N282" s="15"/>
      <c r="O282" s="15">
        <v>1</v>
      </c>
      <c r="P282" s="10" t="str">
        <f>IF(L282="MISSING","MISSING",IF(O282=1,"PASS","DUPLICATE"))</f>
        <v>PASS</v>
      </c>
    </row>
    <row r="283" ht="22" customHeight="1">
      <c r="A283" s="15" t="inlineStr">
        <is>
          <t xml:space="preserve">2 Samuel 12</t>
        </is>
      </c>
      <c r="B283" s="15">
        <v>279</v>
      </c>
      <c r="C283" s="15" t="inlineStr">
        <is>
          <t xml:space="preserve">Old Testament</t>
        </is>
      </c>
      <c r="D283" s="15">
        <v>10</v>
      </c>
      <c r="E283" s="15" t="inlineStr">
        <is>
          <t xml:space="preserve">2 Samuel</t>
        </is>
      </c>
      <c r="F283" s="15">
        <v>12</v>
      </c>
      <c r="G283" s="15" t="inlineStr">
        <is>
          <t xml:space="preserve">v0.1</t>
        </is>
      </c>
      <c r="H283" s="15" t="inlineStr">
        <is>
          <t xml:space="preserve">Bible_Journey_Canon_Map_v0_1_Genesis_to_2Samuel.xlsx</t>
        </is>
      </c>
      <c r="I283" s="15" t="inlineStr">
        <is>
          <t xml:space="preserve">Chapter Map</t>
        </is>
      </c>
      <c r="J283" s="15" t="inlineStr">
        <is>
          <t xml:space="preserve">CRS-2SA-010</t>
        </is>
      </c>
      <c r="K283" s="15"/>
      <c r="L283" s="10" t="inlineStr">
        <is>
          <t xml:space="preserve">Mapped</t>
        </is>
      </c>
      <c r="M283" s="15"/>
      <c r="N283" s="15"/>
      <c r="O283" s="15">
        <v>1</v>
      </c>
      <c r="P283" s="10" t="str">
        <f>IF(L283="MISSING","MISSING",IF(O283=1,"PASS","DUPLICATE"))</f>
        <v>PASS</v>
      </c>
    </row>
    <row r="284" ht="22" customHeight="1">
      <c r="A284" s="15" t="inlineStr">
        <is>
          <t xml:space="preserve">2 Samuel 13</t>
        </is>
      </c>
      <c r="B284" s="15">
        <v>280</v>
      </c>
      <c r="C284" s="15" t="inlineStr">
        <is>
          <t xml:space="preserve">Old Testament</t>
        </is>
      </c>
      <c r="D284" s="15">
        <v>10</v>
      </c>
      <c r="E284" s="15" t="inlineStr">
        <is>
          <t xml:space="preserve">2 Samuel</t>
        </is>
      </c>
      <c r="F284" s="15">
        <v>13</v>
      </c>
      <c r="G284" s="15" t="inlineStr">
        <is>
          <t xml:space="preserve">v0.1</t>
        </is>
      </c>
      <c r="H284" s="15" t="inlineStr">
        <is>
          <t xml:space="preserve">Bible_Journey_Canon_Map_v0_1_Genesis_to_2Samuel.xlsx</t>
        </is>
      </c>
      <c r="I284" s="15" t="inlineStr">
        <is>
          <t xml:space="preserve">Chapter Map</t>
        </is>
      </c>
      <c r="J284" s="15" t="inlineStr">
        <is>
          <t xml:space="preserve">CRS-2SA-011</t>
        </is>
      </c>
      <c r="K284" s="15"/>
      <c r="L284" s="10" t="inlineStr">
        <is>
          <t xml:space="preserve">Mapped</t>
        </is>
      </c>
      <c r="M284" s="15"/>
      <c r="N284" s="15"/>
      <c r="O284" s="15">
        <v>1</v>
      </c>
      <c r="P284" s="10" t="str">
        <f>IF(L284="MISSING","MISSING",IF(O284=1,"PASS","DUPLICATE"))</f>
        <v>PASS</v>
      </c>
    </row>
    <row r="285" ht="22" customHeight="1">
      <c r="A285" s="15" t="inlineStr">
        <is>
          <t xml:space="preserve">2 Samuel 14</t>
        </is>
      </c>
      <c r="B285" s="15">
        <v>281</v>
      </c>
      <c r="C285" s="15" t="inlineStr">
        <is>
          <t xml:space="preserve">Old Testament</t>
        </is>
      </c>
      <c r="D285" s="15">
        <v>10</v>
      </c>
      <c r="E285" s="15" t="inlineStr">
        <is>
          <t xml:space="preserve">2 Samuel</t>
        </is>
      </c>
      <c r="F285" s="15">
        <v>14</v>
      </c>
      <c r="G285" s="15" t="inlineStr">
        <is>
          <t xml:space="preserve">v0.1</t>
        </is>
      </c>
      <c r="H285" s="15" t="inlineStr">
        <is>
          <t xml:space="preserve">Bible_Journey_Canon_Map_v0_1_Genesis_to_2Samuel.xlsx</t>
        </is>
      </c>
      <c r="I285" s="15" t="inlineStr">
        <is>
          <t xml:space="preserve">Chapter Map</t>
        </is>
      </c>
      <c r="J285" s="15" t="inlineStr">
        <is>
          <t xml:space="preserve">CRS-2SA-012</t>
        </is>
      </c>
      <c r="K285" s="15"/>
      <c r="L285" s="10" t="inlineStr">
        <is>
          <t xml:space="preserve">Mapped</t>
        </is>
      </c>
      <c r="M285" s="15"/>
      <c r="N285" s="15"/>
      <c r="O285" s="15">
        <v>1</v>
      </c>
      <c r="P285" s="10" t="str">
        <f>IF(L285="MISSING","MISSING",IF(O285=1,"PASS","DUPLICATE"))</f>
        <v>PASS</v>
      </c>
    </row>
    <row r="286" ht="22" customHeight="1">
      <c r="A286" s="15" t="inlineStr">
        <is>
          <t xml:space="preserve">2 Samuel 15</t>
        </is>
      </c>
      <c r="B286" s="15">
        <v>282</v>
      </c>
      <c r="C286" s="15" t="inlineStr">
        <is>
          <t xml:space="preserve">Old Testament</t>
        </is>
      </c>
      <c r="D286" s="15">
        <v>10</v>
      </c>
      <c r="E286" s="15" t="inlineStr">
        <is>
          <t xml:space="preserve">2 Samuel</t>
        </is>
      </c>
      <c r="F286" s="15">
        <v>15</v>
      </c>
      <c r="G286" s="15" t="inlineStr">
        <is>
          <t xml:space="preserve">v0.1</t>
        </is>
      </c>
      <c r="H286" s="15" t="inlineStr">
        <is>
          <t xml:space="preserve">Bible_Journey_Canon_Map_v0_1_Genesis_to_2Samuel.xlsx</t>
        </is>
      </c>
      <c r="I286" s="15" t="inlineStr">
        <is>
          <t xml:space="preserve">Chapter Map</t>
        </is>
      </c>
      <c r="J286" s="15" t="inlineStr">
        <is>
          <t xml:space="preserve">CRS-2SA-013</t>
        </is>
      </c>
      <c r="K286" s="15"/>
      <c r="L286" s="10" t="inlineStr">
        <is>
          <t xml:space="preserve">Mapped</t>
        </is>
      </c>
      <c r="M286" s="15"/>
      <c r="N286" s="15"/>
      <c r="O286" s="15">
        <v>1</v>
      </c>
      <c r="P286" s="10" t="str">
        <f>IF(L286="MISSING","MISSING",IF(O286=1,"PASS","DUPLICATE"))</f>
        <v>PASS</v>
      </c>
    </row>
    <row r="287" ht="22" customHeight="1">
      <c r="A287" s="15" t="inlineStr">
        <is>
          <t xml:space="preserve">2 Samuel 16</t>
        </is>
      </c>
      <c r="B287" s="15">
        <v>283</v>
      </c>
      <c r="C287" s="15" t="inlineStr">
        <is>
          <t xml:space="preserve">Old Testament</t>
        </is>
      </c>
      <c r="D287" s="15">
        <v>10</v>
      </c>
      <c r="E287" s="15" t="inlineStr">
        <is>
          <t xml:space="preserve">2 Samuel</t>
        </is>
      </c>
      <c r="F287" s="15">
        <v>16</v>
      </c>
      <c r="G287" s="15" t="inlineStr">
        <is>
          <t xml:space="preserve">v0.1</t>
        </is>
      </c>
      <c r="H287" s="15" t="inlineStr">
        <is>
          <t xml:space="preserve">Bible_Journey_Canon_Map_v0_1_Genesis_to_2Samuel.xlsx</t>
        </is>
      </c>
      <c r="I287" s="15" t="inlineStr">
        <is>
          <t xml:space="preserve">Chapter Map</t>
        </is>
      </c>
      <c r="J287" s="15" t="inlineStr">
        <is>
          <t xml:space="preserve">CRS-2SA-014</t>
        </is>
      </c>
      <c r="K287" s="15"/>
      <c r="L287" s="10" t="inlineStr">
        <is>
          <t xml:space="preserve">Mapped</t>
        </is>
      </c>
      <c r="M287" s="15"/>
      <c r="N287" s="15"/>
      <c r="O287" s="15">
        <v>1</v>
      </c>
      <c r="P287" s="10" t="str">
        <f>IF(L287="MISSING","MISSING",IF(O287=1,"PASS","DUPLICATE"))</f>
        <v>PASS</v>
      </c>
    </row>
    <row r="288" ht="22" customHeight="1">
      <c r="A288" s="15" t="inlineStr">
        <is>
          <t xml:space="preserve">2 Samuel 17</t>
        </is>
      </c>
      <c r="B288" s="15">
        <v>284</v>
      </c>
      <c r="C288" s="15" t="inlineStr">
        <is>
          <t xml:space="preserve">Old Testament</t>
        </is>
      </c>
      <c r="D288" s="15">
        <v>10</v>
      </c>
      <c r="E288" s="15" t="inlineStr">
        <is>
          <t xml:space="preserve">2 Samuel</t>
        </is>
      </c>
      <c r="F288" s="15">
        <v>17</v>
      </c>
      <c r="G288" s="15" t="inlineStr">
        <is>
          <t xml:space="preserve">v0.1</t>
        </is>
      </c>
      <c r="H288" s="15" t="inlineStr">
        <is>
          <t xml:space="preserve">Bible_Journey_Canon_Map_v0_1_Genesis_to_2Samuel.xlsx</t>
        </is>
      </c>
      <c r="I288" s="15" t="inlineStr">
        <is>
          <t xml:space="preserve">Chapter Map</t>
        </is>
      </c>
      <c r="J288" s="15" t="inlineStr">
        <is>
          <t xml:space="preserve">CRS-2SA-015</t>
        </is>
      </c>
      <c r="K288" s="15"/>
      <c r="L288" s="10" t="inlineStr">
        <is>
          <t xml:space="preserve">Mapped</t>
        </is>
      </c>
      <c r="M288" s="15"/>
      <c r="N288" s="15"/>
      <c r="O288" s="15">
        <v>1</v>
      </c>
      <c r="P288" s="10" t="str">
        <f>IF(L288="MISSING","MISSING",IF(O288=1,"PASS","DUPLICATE"))</f>
        <v>PASS</v>
      </c>
    </row>
    <row r="289" ht="22" customHeight="1">
      <c r="A289" s="15" t="inlineStr">
        <is>
          <t xml:space="preserve">2 Samuel 18</t>
        </is>
      </c>
      <c r="B289" s="15">
        <v>285</v>
      </c>
      <c r="C289" s="15" t="inlineStr">
        <is>
          <t xml:space="preserve">Old Testament</t>
        </is>
      </c>
      <c r="D289" s="15">
        <v>10</v>
      </c>
      <c r="E289" s="15" t="inlineStr">
        <is>
          <t xml:space="preserve">2 Samuel</t>
        </is>
      </c>
      <c r="F289" s="15">
        <v>18</v>
      </c>
      <c r="G289" s="15" t="inlineStr">
        <is>
          <t xml:space="preserve">v0.1</t>
        </is>
      </c>
      <c r="H289" s="15" t="inlineStr">
        <is>
          <t xml:space="preserve">Bible_Journey_Canon_Map_v0_1_Genesis_to_2Samuel.xlsx</t>
        </is>
      </c>
      <c r="I289" s="15" t="inlineStr">
        <is>
          <t xml:space="preserve">Chapter Map</t>
        </is>
      </c>
      <c r="J289" s="15" t="inlineStr">
        <is>
          <t xml:space="preserve">CRS-2SA-016</t>
        </is>
      </c>
      <c r="K289" s="15"/>
      <c r="L289" s="10" t="inlineStr">
        <is>
          <t xml:space="preserve">Mapped</t>
        </is>
      </c>
      <c r="M289" s="15"/>
      <c r="N289" s="15"/>
      <c r="O289" s="15">
        <v>1</v>
      </c>
      <c r="P289" s="10" t="str">
        <f>IF(L289="MISSING","MISSING",IF(O289=1,"PASS","DUPLICATE"))</f>
        <v>PASS</v>
      </c>
    </row>
    <row r="290" ht="22" customHeight="1">
      <c r="A290" s="15" t="inlineStr">
        <is>
          <t xml:space="preserve">2 Samuel 19</t>
        </is>
      </c>
      <c r="B290" s="15">
        <v>286</v>
      </c>
      <c r="C290" s="15" t="inlineStr">
        <is>
          <t xml:space="preserve">Old Testament</t>
        </is>
      </c>
      <c r="D290" s="15">
        <v>10</v>
      </c>
      <c r="E290" s="15" t="inlineStr">
        <is>
          <t xml:space="preserve">2 Samuel</t>
        </is>
      </c>
      <c r="F290" s="15">
        <v>19</v>
      </c>
      <c r="G290" s="15" t="inlineStr">
        <is>
          <t xml:space="preserve">v0.1</t>
        </is>
      </c>
      <c r="H290" s="15" t="inlineStr">
        <is>
          <t xml:space="preserve">Bible_Journey_Canon_Map_v0_1_Genesis_to_2Samuel.xlsx</t>
        </is>
      </c>
      <c r="I290" s="15" t="inlineStr">
        <is>
          <t xml:space="preserve">Chapter Map</t>
        </is>
      </c>
      <c r="J290" s="15" t="inlineStr">
        <is>
          <t xml:space="preserve">CRS-2SA-017</t>
        </is>
      </c>
      <c r="K290" s="15"/>
      <c r="L290" s="10" t="inlineStr">
        <is>
          <t xml:space="preserve">Mapped</t>
        </is>
      </c>
      <c r="M290" s="15"/>
      <c r="N290" s="15"/>
      <c r="O290" s="15">
        <v>1</v>
      </c>
      <c r="P290" s="10" t="str">
        <f>IF(L290="MISSING","MISSING",IF(O290=1,"PASS","DUPLICATE"))</f>
        <v>PASS</v>
      </c>
    </row>
    <row r="291" ht="22" customHeight="1">
      <c r="A291" s="15" t="inlineStr">
        <is>
          <t xml:space="preserve">2 Samuel 20</t>
        </is>
      </c>
      <c r="B291" s="15">
        <v>287</v>
      </c>
      <c r="C291" s="15" t="inlineStr">
        <is>
          <t xml:space="preserve">Old Testament</t>
        </is>
      </c>
      <c r="D291" s="15">
        <v>10</v>
      </c>
      <c r="E291" s="15" t="inlineStr">
        <is>
          <t xml:space="preserve">2 Samuel</t>
        </is>
      </c>
      <c r="F291" s="15">
        <v>20</v>
      </c>
      <c r="G291" s="15" t="inlineStr">
        <is>
          <t xml:space="preserve">v0.1</t>
        </is>
      </c>
      <c r="H291" s="15" t="inlineStr">
        <is>
          <t xml:space="preserve">Bible_Journey_Canon_Map_v0_1_Genesis_to_2Samuel.xlsx</t>
        </is>
      </c>
      <c r="I291" s="15" t="inlineStr">
        <is>
          <t xml:space="preserve">Chapter Map</t>
        </is>
      </c>
      <c r="J291" s="15" t="inlineStr">
        <is>
          <t xml:space="preserve">CRS-2SA-017</t>
        </is>
      </c>
      <c r="K291" s="15"/>
      <c r="L291" s="10" t="inlineStr">
        <is>
          <t xml:space="preserve">Mapped</t>
        </is>
      </c>
      <c r="M291" s="15"/>
      <c r="N291" s="15"/>
      <c r="O291" s="15">
        <v>1</v>
      </c>
      <c r="P291" s="10" t="str">
        <f>IF(L291="MISSING","MISSING",IF(O291=1,"PASS","DUPLICATE"))</f>
        <v>PASS</v>
      </c>
    </row>
    <row r="292" ht="22" customHeight="1">
      <c r="A292" s="15" t="inlineStr">
        <is>
          <t xml:space="preserve">2 Samuel 21</t>
        </is>
      </c>
      <c r="B292" s="15">
        <v>288</v>
      </c>
      <c r="C292" s="15" t="inlineStr">
        <is>
          <t xml:space="preserve">Old Testament</t>
        </is>
      </c>
      <c r="D292" s="15">
        <v>10</v>
      </c>
      <c r="E292" s="15" t="inlineStr">
        <is>
          <t xml:space="preserve">2 Samuel</t>
        </is>
      </c>
      <c r="F292" s="15">
        <v>21</v>
      </c>
      <c r="G292" s="15" t="inlineStr">
        <is>
          <t xml:space="preserve">v0.1</t>
        </is>
      </c>
      <c r="H292" s="15" t="inlineStr">
        <is>
          <t xml:space="preserve">Bible_Journey_Canon_Map_v0_1_Genesis_to_2Samuel.xlsx</t>
        </is>
      </c>
      <c r="I292" s="15" t="inlineStr">
        <is>
          <t xml:space="preserve">Chapter Map</t>
        </is>
      </c>
      <c r="J292" s="15" t="inlineStr">
        <is>
          <t xml:space="preserve">CRS-2SA-018</t>
        </is>
      </c>
      <c r="K292" s="15"/>
      <c r="L292" s="10" t="inlineStr">
        <is>
          <t xml:space="preserve">Mapped</t>
        </is>
      </c>
      <c r="M292" s="15"/>
      <c r="N292" s="15"/>
      <c r="O292" s="15">
        <v>1</v>
      </c>
      <c r="P292" s="10" t="str">
        <f>IF(L292="MISSING","MISSING",IF(O292=1,"PASS","DUPLICATE"))</f>
        <v>PASS</v>
      </c>
    </row>
    <row r="293" ht="22" customHeight="1">
      <c r="A293" s="15" t="inlineStr">
        <is>
          <t xml:space="preserve">2 Samuel 22</t>
        </is>
      </c>
      <c r="B293" s="15">
        <v>289</v>
      </c>
      <c r="C293" s="15" t="inlineStr">
        <is>
          <t xml:space="preserve">Old Testament</t>
        </is>
      </c>
      <c r="D293" s="15">
        <v>10</v>
      </c>
      <c r="E293" s="15" t="inlineStr">
        <is>
          <t xml:space="preserve">2 Samuel</t>
        </is>
      </c>
      <c r="F293" s="15">
        <v>22</v>
      </c>
      <c r="G293" s="15" t="inlineStr">
        <is>
          <t xml:space="preserve">v0.1</t>
        </is>
      </c>
      <c r="H293" s="15" t="inlineStr">
        <is>
          <t xml:space="preserve">Bible_Journey_Canon_Map_v0_1_Genesis_to_2Samuel.xlsx</t>
        </is>
      </c>
      <c r="I293" s="15" t="inlineStr">
        <is>
          <t xml:space="preserve">Chapter Map</t>
        </is>
      </c>
      <c r="J293" s="15" t="inlineStr">
        <is>
          <t xml:space="preserve">CRS-2SA-019</t>
        </is>
      </c>
      <c r="K293" s="15"/>
      <c r="L293" s="10" t="inlineStr">
        <is>
          <t xml:space="preserve">Mapped</t>
        </is>
      </c>
      <c r="M293" s="15"/>
      <c r="N293" s="15"/>
      <c r="O293" s="15">
        <v>1</v>
      </c>
      <c r="P293" s="10" t="str">
        <f>IF(L293="MISSING","MISSING",IF(O293=1,"PASS","DUPLICATE"))</f>
        <v>PASS</v>
      </c>
    </row>
    <row r="294" ht="22" customHeight="1">
      <c r="A294" s="15" t="inlineStr">
        <is>
          <t xml:space="preserve">2 Samuel 23</t>
        </is>
      </c>
      <c r="B294" s="15">
        <v>290</v>
      </c>
      <c r="C294" s="15" t="inlineStr">
        <is>
          <t xml:space="preserve">Old Testament</t>
        </is>
      </c>
      <c r="D294" s="15">
        <v>10</v>
      </c>
      <c r="E294" s="15" t="inlineStr">
        <is>
          <t xml:space="preserve">2 Samuel</t>
        </is>
      </c>
      <c r="F294" s="15">
        <v>23</v>
      </c>
      <c r="G294" s="15" t="inlineStr">
        <is>
          <t xml:space="preserve">v0.1</t>
        </is>
      </c>
      <c r="H294" s="15" t="inlineStr">
        <is>
          <t xml:space="preserve">Bible_Journey_Canon_Map_v0_1_Genesis_to_2Samuel.xlsx</t>
        </is>
      </c>
      <c r="I294" s="15" t="inlineStr">
        <is>
          <t xml:space="preserve">Chapter Map</t>
        </is>
      </c>
      <c r="J294" s="15" t="inlineStr">
        <is>
          <t xml:space="preserve">CRS-2SA-020</t>
        </is>
      </c>
      <c r="K294" s="15"/>
      <c r="L294" s="10" t="inlineStr">
        <is>
          <t xml:space="preserve">Mapped</t>
        </is>
      </c>
      <c r="M294" s="15"/>
      <c r="N294" s="15"/>
      <c r="O294" s="15">
        <v>1</v>
      </c>
      <c r="P294" s="10" t="str">
        <f>IF(L294="MISSING","MISSING",IF(O294=1,"PASS","DUPLICATE"))</f>
        <v>PASS</v>
      </c>
    </row>
    <row r="295" ht="22" customHeight="1">
      <c r="A295" s="15" t="inlineStr">
        <is>
          <t xml:space="preserve">2 Samuel 24</t>
        </is>
      </c>
      <c r="B295" s="15">
        <v>291</v>
      </c>
      <c r="C295" s="15" t="inlineStr">
        <is>
          <t xml:space="preserve">Old Testament</t>
        </is>
      </c>
      <c r="D295" s="15">
        <v>10</v>
      </c>
      <c r="E295" s="15" t="inlineStr">
        <is>
          <t xml:space="preserve">2 Samuel</t>
        </is>
      </c>
      <c r="F295" s="15">
        <v>24</v>
      </c>
      <c r="G295" s="15" t="inlineStr">
        <is>
          <t xml:space="preserve">v0.1</t>
        </is>
      </c>
      <c r="H295" s="15" t="inlineStr">
        <is>
          <t xml:space="preserve">Bible_Journey_Canon_Map_v0_1_Genesis_to_2Samuel.xlsx</t>
        </is>
      </c>
      <c r="I295" s="15" t="inlineStr">
        <is>
          <t xml:space="preserve">Chapter Map</t>
        </is>
      </c>
      <c r="J295" s="15" t="inlineStr">
        <is>
          <t xml:space="preserve">CRS-2SA-021</t>
        </is>
      </c>
      <c r="K295" s="15"/>
      <c r="L295" s="10" t="inlineStr">
        <is>
          <t xml:space="preserve">Mapped</t>
        </is>
      </c>
      <c r="M295" s="15"/>
      <c r="N295" s="15"/>
      <c r="O295" s="15">
        <v>1</v>
      </c>
      <c r="P295" s="10" t="str">
        <f>IF(L295="MISSING","MISSING",IF(O295=1,"PASS","DUPLICATE"))</f>
        <v>PASS</v>
      </c>
    </row>
    <row r="296" ht="22" customHeight="1">
      <c r="A296" s="15" t="inlineStr">
        <is>
          <t xml:space="preserve">1 Kings 1</t>
        </is>
      </c>
      <c r="B296" s="15">
        <v>292</v>
      </c>
      <c r="C296" s="15" t="inlineStr">
        <is>
          <t xml:space="preserve">Old Testament</t>
        </is>
      </c>
      <c r="D296" s="15">
        <v>11</v>
      </c>
      <c r="E296" s="15" t="inlineStr">
        <is>
          <t xml:space="preserve">1 Kings</t>
        </is>
      </c>
      <c r="F296" s="15">
        <v>1</v>
      </c>
      <c r="G296" s="15" t="inlineStr">
        <is>
          <t xml:space="preserve">v0.2</t>
        </is>
      </c>
      <c r="H296" s="15" t="inlineStr">
        <is>
          <t xml:space="preserve">Bible_Journey_Canon_Map_v0_2_Chronicles_Psalms_Job_1Kings.xlsx</t>
        </is>
      </c>
      <c r="I296" s="15" t="inlineStr">
        <is>
          <t xml:space="preserve">Chapter Map</t>
        </is>
      </c>
      <c r="J296" s="15" t="inlineStr">
        <is>
          <t xml:space="preserve">CRS-1KG-001</t>
        </is>
      </c>
      <c r="K296" s="15"/>
      <c r="L296" s="10" t="inlineStr">
        <is>
          <t xml:space="preserve">Mapped</t>
        </is>
      </c>
      <c r="M296" s="15"/>
      <c r="N296" s="15"/>
      <c r="O296" s="15">
        <v>1</v>
      </c>
      <c r="P296" s="10" t="str">
        <f>IF(L296="MISSING","MISSING",IF(O296=1,"PASS","DUPLICATE"))</f>
        <v>PASS</v>
      </c>
    </row>
    <row r="297" ht="22" customHeight="1">
      <c r="A297" s="15" t="inlineStr">
        <is>
          <t xml:space="preserve">1 Kings 2</t>
        </is>
      </c>
      <c r="B297" s="15">
        <v>293</v>
      </c>
      <c r="C297" s="15" t="inlineStr">
        <is>
          <t xml:space="preserve">Old Testament</t>
        </is>
      </c>
      <c r="D297" s="15">
        <v>11</v>
      </c>
      <c r="E297" s="15" t="inlineStr">
        <is>
          <t xml:space="preserve">1 Kings</t>
        </is>
      </c>
      <c r="F297" s="15">
        <v>2</v>
      </c>
      <c r="G297" s="15" t="inlineStr">
        <is>
          <t xml:space="preserve">v0.2</t>
        </is>
      </c>
      <c r="H297" s="15" t="inlineStr">
        <is>
          <t xml:space="preserve">Bible_Journey_Canon_Map_v0_2_Chronicles_Psalms_Job_1Kings.xlsx</t>
        </is>
      </c>
      <c r="I297" s="15" t="inlineStr">
        <is>
          <t xml:space="preserve">Chapter Map</t>
        </is>
      </c>
      <c r="J297" s="15" t="inlineStr">
        <is>
          <t xml:space="preserve">CRS-1KG-002</t>
        </is>
      </c>
      <c r="K297" s="15"/>
      <c r="L297" s="10" t="inlineStr">
        <is>
          <t xml:space="preserve">Mapped</t>
        </is>
      </c>
      <c r="M297" s="15"/>
      <c r="N297" s="15"/>
      <c r="O297" s="15">
        <v>1</v>
      </c>
      <c r="P297" s="10" t="str">
        <f>IF(L297="MISSING","MISSING",IF(O297=1,"PASS","DUPLICATE"))</f>
        <v>PASS</v>
      </c>
    </row>
    <row r="298" ht="22" customHeight="1">
      <c r="A298" s="15" t="inlineStr">
        <is>
          <t xml:space="preserve">1 Kings 3</t>
        </is>
      </c>
      <c r="B298" s="15">
        <v>294</v>
      </c>
      <c r="C298" s="15" t="inlineStr">
        <is>
          <t xml:space="preserve">Old Testament</t>
        </is>
      </c>
      <c r="D298" s="15">
        <v>11</v>
      </c>
      <c r="E298" s="15" t="inlineStr">
        <is>
          <t xml:space="preserve">1 Kings</t>
        </is>
      </c>
      <c r="F298" s="15">
        <v>3</v>
      </c>
      <c r="G298" s="15" t="inlineStr">
        <is>
          <t xml:space="preserve">v0.2</t>
        </is>
      </c>
      <c r="H298" s="15" t="inlineStr">
        <is>
          <t xml:space="preserve">Bible_Journey_Canon_Map_v0_2_Chronicles_Psalms_Job_1Kings.xlsx</t>
        </is>
      </c>
      <c r="I298" s="15" t="inlineStr">
        <is>
          <t xml:space="preserve">Chapter Map</t>
        </is>
      </c>
      <c r="J298" s="15" t="inlineStr">
        <is>
          <t xml:space="preserve">CRS-1KG-003</t>
        </is>
      </c>
      <c r="K298" s="15"/>
      <c r="L298" s="10" t="inlineStr">
        <is>
          <t xml:space="preserve">Mapped</t>
        </is>
      </c>
      <c r="M298" s="15" t="inlineStr">
        <is>
          <t xml:space="preserve">Future: 2 Chronicles 1</t>
        </is>
      </c>
      <c r="N298" s="15"/>
      <c r="O298" s="15">
        <v>1</v>
      </c>
      <c r="P298" s="10" t="str">
        <f>IF(L298="MISSING","MISSING",IF(O298=1,"PASS","DUPLICATE"))</f>
        <v>PASS</v>
      </c>
    </row>
    <row r="299" ht="22" customHeight="1">
      <c r="A299" s="15" t="inlineStr">
        <is>
          <t xml:space="preserve">1 Kings 4</t>
        </is>
      </c>
      <c r="B299" s="15">
        <v>295</v>
      </c>
      <c r="C299" s="15" t="inlineStr">
        <is>
          <t xml:space="preserve">Old Testament</t>
        </is>
      </c>
      <c r="D299" s="15">
        <v>11</v>
      </c>
      <c r="E299" s="15" t="inlineStr">
        <is>
          <t xml:space="preserve">1 Kings</t>
        </is>
      </c>
      <c r="F299" s="15">
        <v>4</v>
      </c>
      <c r="G299" s="15" t="inlineStr">
        <is>
          <t xml:space="preserve">v0.2</t>
        </is>
      </c>
      <c r="H299" s="15" t="inlineStr">
        <is>
          <t xml:space="preserve">Bible_Journey_Canon_Map_v0_2_Chronicles_Psalms_Job_1Kings.xlsx</t>
        </is>
      </c>
      <c r="I299" s="15" t="inlineStr">
        <is>
          <t xml:space="preserve">Chapter Map</t>
        </is>
      </c>
      <c r="J299" s="15" t="inlineStr">
        <is>
          <t xml:space="preserve">CRS-1KG-004</t>
        </is>
      </c>
      <c r="K299" s="15"/>
      <c r="L299" s="10" t="inlineStr">
        <is>
          <t xml:space="preserve">Mapped</t>
        </is>
      </c>
      <c r="M299" s="15"/>
      <c r="N299" s="15"/>
      <c r="O299" s="15">
        <v>1</v>
      </c>
      <c r="P299" s="10" t="str">
        <f>IF(L299="MISSING","MISSING",IF(O299=1,"PASS","DUPLICATE"))</f>
        <v>PASS</v>
      </c>
    </row>
    <row r="300" ht="22" customHeight="1">
      <c r="A300" s="15" t="inlineStr">
        <is>
          <t xml:space="preserve">1 Kings 5</t>
        </is>
      </c>
      <c r="B300" s="15">
        <v>296</v>
      </c>
      <c r="C300" s="15" t="inlineStr">
        <is>
          <t xml:space="preserve">Old Testament</t>
        </is>
      </c>
      <c r="D300" s="15">
        <v>11</v>
      </c>
      <c r="E300" s="15" t="inlineStr">
        <is>
          <t xml:space="preserve">1 Kings</t>
        </is>
      </c>
      <c r="F300" s="15">
        <v>5</v>
      </c>
      <c r="G300" s="15" t="inlineStr">
        <is>
          <t xml:space="preserve">v0.2</t>
        </is>
      </c>
      <c r="H300" s="15" t="inlineStr">
        <is>
          <t xml:space="preserve">Bible_Journey_Canon_Map_v0_2_Chronicles_Psalms_Job_1Kings.xlsx</t>
        </is>
      </c>
      <c r="I300" s="15" t="inlineStr">
        <is>
          <t xml:space="preserve">Chapter Map</t>
        </is>
      </c>
      <c r="J300" s="15" t="inlineStr">
        <is>
          <t xml:space="preserve">CRS-1KG-005</t>
        </is>
      </c>
      <c r="K300" s="15"/>
      <c r="L300" s="10" t="inlineStr">
        <is>
          <t xml:space="preserve">Mapped</t>
        </is>
      </c>
      <c r="M300" s="15" t="inlineStr">
        <is>
          <t xml:space="preserve">Future: 2 Chronicles 2-3</t>
        </is>
      </c>
      <c r="N300" s="15"/>
      <c r="O300" s="15">
        <v>1</v>
      </c>
      <c r="P300" s="10" t="str">
        <f>IF(L300="MISSING","MISSING",IF(O300=1,"PASS","DUPLICATE"))</f>
        <v>PASS</v>
      </c>
    </row>
    <row r="301" ht="22" customHeight="1">
      <c r="A301" s="15" t="inlineStr">
        <is>
          <t xml:space="preserve">1 Kings 6</t>
        </is>
      </c>
      <c r="B301" s="15">
        <v>297</v>
      </c>
      <c r="C301" s="15" t="inlineStr">
        <is>
          <t xml:space="preserve">Old Testament</t>
        </is>
      </c>
      <c r="D301" s="15">
        <v>11</v>
      </c>
      <c r="E301" s="15" t="inlineStr">
        <is>
          <t xml:space="preserve">1 Kings</t>
        </is>
      </c>
      <c r="F301" s="15">
        <v>6</v>
      </c>
      <c r="G301" s="15" t="inlineStr">
        <is>
          <t xml:space="preserve">v0.2</t>
        </is>
      </c>
      <c r="H301" s="15" t="inlineStr">
        <is>
          <t xml:space="preserve">Bible_Journey_Canon_Map_v0_2_Chronicles_Psalms_Job_1Kings.xlsx</t>
        </is>
      </c>
      <c r="I301" s="15" t="inlineStr">
        <is>
          <t xml:space="preserve">Chapter Map</t>
        </is>
      </c>
      <c r="J301" s="15" t="inlineStr">
        <is>
          <t xml:space="preserve">CRS-1KG-005</t>
        </is>
      </c>
      <c r="K301" s="15"/>
      <c r="L301" s="10" t="inlineStr">
        <is>
          <t xml:space="preserve">Mapped</t>
        </is>
      </c>
      <c r="M301" s="15" t="inlineStr">
        <is>
          <t xml:space="preserve">Future: 2 Chronicles 2-3</t>
        </is>
      </c>
      <c r="N301" s="15"/>
      <c r="O301" s="15">
        <v>1</v>
      </c>
      <c r="P301" s="10" t="str">
        <f>IF(L301="MISSING","MISSING",IF(O301=1,"PASS","DUPLICATE"))</f>
        <v>PASS</v>
      </c>
    </row>
    <row r="302" ht="22" customHeight="1">
      <c r="A302" s="15" t="inlineStr">
        <is>
          <t xml:space="preserve">1 Kings 7</t>
        </is>
      </c>
      <c r="B302" s="15">
        <v>298</v>
      </c>
      <c r="C302" s="15" t="inlineStr">
        <is>
          <t xml:space="preserve">Old Testament</t>
        </is>
      </c>
      <c r="D302" s="15">
        <v>11</v>
      </c>
      <c r="E302" s="15" t="inlineStr">
        <is>
          <t xml:space="preserve">1 Kings</t>
        </is>
      </c>
      <c r="F302" s="15">
        <v>7</v>
      </c>
      <c r="G302" s="15" t="inlineStr">
        <is>
          <t xml:space="preserve">v0.2</t>
        </is>
      </c>
      <c r="H302" s="15" t="inlineStr">
        <is>
          <t xml:space="preserve">Bible_Journey_Canon_Map_v0_2_Chronicles_Psalms_Job_1Kings.xlsx</t>
        </is>
      </c>
      <c r="I302" s="15" t="inlineStr">
        <is>
          <t xml:space="preserve">Chapter Map</t>
        </is>
      </c>
      <c r="J302" s="15" t="inlineStr">
        <is>
          <t xml:space="preserve">CRS-1KG-006</t>
        </is>
      </c>
      <c r="K302" s="15"/>
      <c r="L302" s="10" t="inlineStr">
        <is>
          <t xml:space="preserve">Mapped</t>
        </is>
      </c>
      <c r="M302" s="15"/>
      <c r="N302" s="15"/>
      <c r="O302" s="15">
        <v>1</v>
      </c>
      <c r="P302" s="10" t="str">
        <f>IF(L302="MISSING","MISSING",IF(O302=1,"PASS","DUPLICATE"))</f>
        <v>PASS</v>
      </c>
    </row>
    <row r="303" ht="22" customHeight="1">
      <c r="A303" s="15" t="inlineStr">
        <is>
          <t xml:space="preserve">1 Kings 8</t>
        </is>
      </c>
      <c r="B303" s="15">
        <v>299</v>
      </c>
      <c r="C303" s="15" t="inlineStr">
        <is>
          <t xml:space="preserve">Old Testament</t>
        </is>
      </c>
      <c r="D303" s="15">
        <v>11</v>
      </c>
      <c r="E303" s="15" t="inlineStr">
        <is>
          <t xml:space="preserve">1 Kings</t>
        </is>
      </c>
      <c r="F303" s="15">
        <v>8</v>
      </c>
      <c r="G303" s="15" t="inlineStr">
        <is>
          <t xml:space="preserve">v0.2</t>
        </is>
      </c>
      <c r="H303" s="15" t="inlineStr">
        <is>
          <t xml:space="preserve">Bible_Journey_Canon_Map_v0_2_Chronicles_Psalms_Job_1Kings.xlsx</t>
        </is>
      </c>
      <c r="I303" s="15" t="inlineStr">
        <is>
          <t xml:space="preserve">Chapter Map</t>
        </is>
      </c>
      <c r="J303" s="15" t="inlineStr">
        <is>
          <t xml:space="preserve">CRS-1KG-007</t>
        </is>
      </c>
      <c r="K303" s="15"/>
      <c r="L303" s="10" t="inlineStr">
        <is>
          <t xml:space="preserve">Mapped</t>
        </is>
      </c>
      <c r="M303" s="15" t="inlineStr">
        <is>
          <t xml:space="preserve">Future: 2 Chronicles 5-7</t>
        </is>
      </c>
      <c r="N303" s="15"/>
      <c r="O303" s="15">
        <v>1</v>
      </c>
      <c r="P303" s="10" t="str">
        <f>IF(L303="MISSING","MISSING",IF(O303=1,"PASS","DUPLICATE"))</f>
        <v>PASS</v>
      </c>
    </row>
    <row r="304" ht="22" customHeight="1">
      <c r="A304" s="15" t="inlineStr">
        <is>
          <t xml:space="preserve">1 Kings 9</t>
        </is>
      </c>
      <c r="B304" s="15">
        <v>300</v>
      </c>
      <c r="C304" s="15" t="inlineStr">
        <is>
          <t xml:space="preserve">Old Testament</t>
        </is>
      </c>
      <c r="D304" s="15">
        <v>11</v>
      </c>
      <c r="E304" s="15" t="inlineStr">
        <is>
          <t xml:space="preserve">1 Kings</t>
        </is>
      </c>
      <c r="F304" s="15">
        <v>9</v>
      </c>
      <c r="G304" s="15" t="inlineStr">
        <is>
          <t xml:space="preserve">v0.2</t>
        </is>
      </c>
      <c r="H304" s="15" t="inlineStr">
        <is>
          <t xml:space="preserve">Bible_Journey_Canon_Map_v0_2_Chronicles_Psalms_Job_1Kings.xlsx</t>
        </is>
      </c>
      <c r="I304" s="15" t="inlineStr">
        <is>
          <t xml:space="preserve">Chapter Map</t>
        </is>
      </c>
      <c r="J304" s="15" t="inlineStr">
        <is>
          <t xml:space="preserve">CRS-1KG-008</t>
        </is>
      </c>
      <c r="K304" s="15"/>
      <c r="L304" s="10" t="inlineStr">
        <is>
          <t xml:space="preserve">Mapped</t>
        </is>
      </c>
      <c r="M304" s="15"/>
      <c r="N304" s="15"/>
      <c r="O304" s="15">
        <v>1</v>
      </c>
      <c r="P304" s="10" t="str">
        <f>IF(L304="MISSING","MISSING",IF(O304=1,"PASS","DUPLICATE"))</f>
        <v>PASS</v>
      </c>
    </row>
    <row r="305" ht="22" customHeight="1">
      <c r="A305" s="15" t="inlineStr">
        <is>
          <t xml:space="preserve">1 Kings 10</t>
        </is>
      </c>
      <c r="B305" s="15">
        <v>301</v>
      </c>
      <c r="C305" s="15" t="inlineStr">
        <is>
          <t xml:space="preserve">Old Testament</t>
        </is>
      </c>
      <c r="D305" s="15">
        <v>11</v>
      </c>
      <c r="E305" s="15" t="inlineStr">
        <is>
          <t xml:space="preserve">1 Kings</t>
        </is>
      </c>
      <c r="F305" s="15">
        <v>10</v>
      </c>
      <c r="G305" s="15" t="inlineStr">
        <is>
          <t xml:space="preserve">v0.2</t>
        </is>
      </c>
      <c r="H305" s="15" t="inlineStr">
        <is>
          <t xml:space="preserve">Bible_Journey_Canon_Map_v0_2_Chronicles_Psalms_Job_1Kings.xlsx</t>
        </is>
      </c>
      <c r="I305" s="15" t="inlineStr">
        <is>
          <t xml:space="preserve">Chapter Map</t>
        </is>
      </c>
      <c r="J305" s="15" t="inlineStr">
        <is>
          <t xml:space="preserve">CRS-1KG-009</t>
        </is>
      </c>
      <c r="K305" s="15"/>
      <c r="L305" s="10" t="inlineStr">
        <is>
          <t xml:space="preserve">Mapped</t>
        </is>
      </c>
      <c r="M305" s="15" t="inlineStr">
        <is>
          <t xml:space="preserve">Future: 2 Chronicles 9</t>
        </is>
      </c>
      <c r="N305" s="15"/>
      <c r="O305" s="15">
        <v>1</v>
      </c>
      <c r="P305" s="10" t="str">
        <f>IF(L305="MISSING","MISSING",IF(O305=1,"PASS","DUPLICATE"))</f>
        <v>PASS</v>
      </c>
    </row>
    <row r="306" ht="22" customHeight="1">
      <c r="A306" s="15" t="inlineStr">
        <is>
          <t xml:space="preserve">1 Kings 11</t>
        </is>
      </c>
      <c r="B306" s="15">
        <v>302</v>
      </c>
      <c r="C306" s="15" t="inlineStr">
        <is>
          <t xml:space="preserve">Old Testament</t>
        </is>
      </c>
      <c r="D306" s="15">
        <v>11</v>
      </c>
      <c r="E306" s="15" t="inlineStr">
        <is>
          <t xml:space="preserve">1 Kings</t>
        </is>
      </c>
      <c r="F306" s="15">
        <v>11</v>
      </c>
      <c r="G306" s="15" t="inlineStr">
        <is>
          <t xml:space="preserve">v0.2</t>
        </is>
      </c>
      <c r="H306" s="15" t="inlineStr">
        <is>
          <t xml:space="preserve">Bible_Journey_Canon_Map_v0_2_Chronicles_Psalms_Job_1Kings.xlsx</t>
        </is>
      </c>
      <c r="I306" s="15" t="inlineStr">
        <is>
          <t xml:space="preserve">Chapter Map</t>
        </is>
      </c>
      <c r="J306" s="15" t="inlineStr">
        <is>
          <t xml:space="preserve">CRS-1KG-010</t>
        </is>
      </c>
      <c r="K306" s="15"/>
      <c r="L306" s="10" t="inlineStr">
        <is>
          <t xml:space="preserve">Mapped</t>
        </is>
      </c>
      <c r="M306" s="15"/>
      <c r="N306" s="15"/>
      <c r="O306" s="15">
        <v>1</v>
      </c>
      <c r="P306" s="10" t="str">
        <f>IF(L306="MISSING","MISSING",IF(O306=1,"PASS","DUPLICATE"))</f>
        <v>PASS</v>
      </c>
    </row>
    <row r="307" ht="22" customHeight="1">
      <c r="A307" s="15" t="inlineStr">
        <is>
          <t xml:space="preserve">1 Kings 12</t>
        </is>
      </c>
      <c r="B307" s="15">
        <v>303</v>
      </c>
      <c r="C307" s="15" t="inlineStr">
        <is>
          <t xml:space="preserve">Old Testament</t>
        </is>
      </c>
      <c r="D307" s="15">
        <v>11</v>
      </c>
      <c r="E307" s="15" t="inlineStr">
        <is>
          <t xml:space="preserve">1 Kings</t>
        </is>
      </c>
      <c r="F307" s="15">
        <v>12</v>
      </c>
      <c r="G307" s="15" t="inlineStr">
        <is>
          <t xml:space="preserve">v0.2</t>
        </is>
      </c>
      <c r="H307" s="15" t="inlineStr">
        <is>
          <t xml:space="preserve">Bible_Journey_Canon_Map_v0_2_Chronicles_Psalms_Job_1Kings.xlsx</t>
        </is>
      </c>
      <c r="I307" s="15" t="inlineStr">
        <is>
          <t xml:space="preserve">Chapter Map</t>
        </is>
      </c>
      <c r="J307" s="15" t="inlineStr">
        <is>
          <t xml:space="preserve">CRS-1KG-011</t>
        </is>
      </c>
      <c r="K307" s="15"/>
      <c r="L307" s="10" t="inlineStr">
        <is>
          <t xml:space="preserve">Mapped</t>
        </is>
      </c>
      <c r="M307" s="15" t="inlineStr">
        <is>
          <t xml:space="preserve">Future: 2 Chronicles 10</t>
        </is>
      </c>
      <c r="N307" s="15"/>
      <c r="O307" s="15">
        <v>1</v>
      </c>
      <c r="P307" s="10" t="str">
        <f>IF(L307="MISSING","MISSING",IF(O307=1,"PASS","DUPLICATE"))</f>
        <v>PASS</v>
      </c>
    </row>
    <row r="308" ht="22" customHeight="1">
      <c r="A308" s="15" t="inlineStr">
        <is>
          <t xml:space="preserve">1 Kings 13</t>
        </is>
      </c>
      <c r="B308" s="15">
        <v>304</v>
      </c>
      <c r="C308" s="15" t="inlineStr">
        <is>
          <t xml:space="preserve">Old Testament</t>
        </is>
      </c>
      <c r="D308" s="15">
        <v>11</v>
      </c>
      <c r="E308" s="15" t="inlineStr">
        <is>
          <t xml:space="preserve">1 Kings</t>
        </is>
      </c>
      <c r="F308" s="15">
        <v>13</v>
      </c>
      <c r="G308" s="15" t="inlineStr">
        <is>
          <t xml:space="preserve">v0.2</t>
        </is>
      </c>
      <c r="H308" s="15" t="inlineStr">
        <is>
          <t xml:space="preserve">Bible_Journey_Canon_Map_v0_2_Chronicles_Psalms_Job_1Kings.xlsx</t>
        </is>
      </c>
      <c r="I308" s="15" t="inlineStr">
        <is>
          <t xml:space="preserve">Chapter Map</t>
        </is>
      </c>
      <c r="J308" s="15" t="inlineStr">
        <is>
          <t xml:space="preserve">CRS-1KG-012</t>
        </is>
      </c>
      <c r="K308" s="15"/>
      <c r="L308" s="10" t="inlineStr">
        <is>
          <t xml:space="preserve">Mapped</t>
        </is>
      </c>
      <c r="M308" s="15"/>
      <c r="N308" s="15"/>
      <c r="O308" s="15">
        <v>1</v>
      </c>
      <c r="P308" s="10" t="str">
        <f>IF(L308="MISSING","MISSING",IF(O308=1,"PASS","DUPLICATE"))</f>
        <v>PASS</v>
      </c>
    </row>
    <row r="309" ht="22" customHeight="1">
      <c r="A309" s="15" t="inlineStr">
        <is>
          <t xml:space="preserve">1 Kings 14</t>
        </is>
      </c>
      <c r="B309" s="15">
        <v>305</v>
      </c>
      <c r="C309" s="15" t="inlineStr">
        <is>
          <t xml:space="preserve">Old Testament</t>
        </is>
      </c>
      <c r="D309" s="15">
        <v>11</v>
      </c>
      <c r="E309" s="15" t="inlineStr">
        <is>
          <t xml:space="preserve">1 Kings</t>
        </is>
      </c>
      <c r="F309" s="15">
        <v>14</v>
      </c>
      <c r="G309" s="15" t="inlineStr">
        <is>
          <t xml:space="preserve">v0.2</t>
        </is>
      </c>
      <c r="H309" s="15" t="inlineStr">
        <is>
          <t xml:space="preserve">Bible_Journey_Canon_Map_v0_2_Chronicles_Psalms_Job_1Kings.xlsx</t>
        </is>
      </c>
      <c r="I309" s="15" t="inlineStr">
        <is>
          <t xml:space="preserve">Chapter Map</t>
        </is>
      </c>
      <c r="J309" s="15" t="inlineStr">
        <is>
          <t xml:space="preserve">CRS-1KG-013</t>
        </is>
      </c>
      <c r="K309" s="15"/>
      <c r="L309" s="10" t="inlineStr">
        <is>
          <t xml:space="preserve">Mapped</t>
        </is>
      </c>
      <c r="M309" s="15" t="inlineStr">
        <is>
          <t xml:space="preserve">Future: 2 Chronicles 12</t>
        </is>
      </c>
      <c r="N309" s="15"/>
      <c r="O309" s="15">
        <v>1</v>
      </c>
      <c r="P309" s="10" t="str">
        <f>IF(L309="MISSING","MISSING",IF(O309=1,"PASS","DUPLICATE"))</f>
        <v>PASS</v>
      </c>
    </row>
    <row r="310" ht="22" customHeight="1">
      <c r="A310" s="15" t="inlineStr">
        <is>
          <t xml:space="preserve">1 Kings 15</t>
        </is>
      </c>
      <c r="B310" s="15">
        <v>306</v>
      </c>
      <c r="C310" s="15" t="inlineStr">
        <is>
          <t xml:space="preserve">Old Testament</t>
        </is>
      </c>
      <c r="D310" s="15">
        <v>11</v>
      </c>
      <c r="E310" s="15" t="inlineStr">
        <is>
          <t xml:space="preserve">1 Kings</t>
        </is>
      </c>
      <c r="F310" s="15">
        <v>15</v>
      </c>
      <c r="G310" s="15" t="inlineStr">
        <is>
          <t xml:space="preserve">v0.2</t>
        </is>
      </c>
      <c r="H310" s="15" t="inlineStr">
        <is>
          <t xml:space="preserve">Bible_Journey_Canon_Map_v0_2_Chronicles_Psalms_Job_1Kings.xlsx</t>
        </is>
      </c>
      <c r="I310" s="15" t="inlineStr">
        <is>
          <t xml:space="preserve">Chapter Map</t>
        </is>
      </c>
      <c r="J310" s="15" t="inlineStr">
        <is>
          <t xml:space="preserve">CRS-1KG-014</t>
        </is>
      </c>
      <c r="K310" s="15"/>
      <c r="L310" s="10" t="inlineStr">
        <is>
          <t xml:space="preserve">Mapped</t>
        </is>
      </c>
      <c r="M310" s="15" t="inlineStr">
        <is>
          <t xml:space="preserve">Future: 2 Chronicles 13-16</t>
        </is>
      </c>
      <c r="N310" s="15"/>
      <c r="O310" s="15">
        <v>1</v>
      </c>
      <c r="P310" s="10" t="str">
        <f>IF(L310="MISSING","MISSING",IF(O310=1,"PASS","DUPLICATE"))</f>
        <v>PASS</v>
      </c>
    </row>
    <row r="311" ht="22" customHeight="1">
      <c r="A311" s="15" t="inlineStr">
        <is>
          <t xml:space="preserve">1 Kings 16</t>
        </is>
      </c>
      <c r="B311" s="15">
        <v>307</v>
      </c>
      <c r="C311" s="15" t="inlineStr">
        <is>
          <t xml:space="preserve">Old Testament</t>
        </is>
      </c>
      <c r="D311" s="15">
        <v>11</v>
      </c>
      <c r="E311" s="15" t="inlineStr">
        <is>
          <t xml:space="preserve">1 Kings</t>
        </is>
      </c>
      <c r="F311" s="15">
        <v>16</v>
      </c>
      <c r="G311" s="15" t="inlineStr">
        <is>
          <t xml:space="preserve">v0.2</t>
        </is>
      </c>
      <c r="H311" s="15" t="inlineStr">
        <is>
          <t xml:space="preserve">Bible_Journey_Canon_Map_v0_2_Chronicles_Psalms_Job_1Kings.xlsx</t>
        </is>
      </c>
      <c r="I311" s="15" t="inlineStr">
        <is>
          <t xml:space="preserve">Chapter Map</t>
        </is>
      </c>
      <c r="J311" s="15" t="inlineStr">
        <is>
          <t xml:space="preserve">CRS-1KG-015</t>
        </is>
      </c>
      <c r="K311" s="15"/>
      <c r="L311" s="10" t="inlineStr">
        <is>
          <t xml:space="preserve">Mapped</t>
        </is>
      </c>
      <c r="M311" s="15"/>
      <c r="N311" s="15"/>
      <c r="O311" s="15">
        <v>1</v>
      </c>
      <c r="P311" s="10" t="str">
        <f>IF(L311="MISSING","MISSING",IF(O311=1,"PASS","DUPLICATE"))</f>
        <v>PASS</v>
      </c>
    </row>
    <row r="312" ht="22" customHeight="1">
      <c r="A312" s="15" t="inlineStr">
        <is>
          <t xml:space="preserve">1 Kings 17</t>
        </is>
      </c>
      <c r="B312" s="15">
        <v>308</v>
      </c>
      <c r="C312" s="15" t="inlineStr">
        <is>
          <t xml:space="preserve">Old Testament</t>
        </is>
      </c>
      <c r="D312" s="15">
        <v>11</v>
      </c>
      <c r="E312" s="15" t="inlineStr">
        <is>
          <t xml:space="preserve">1 Kings</t>
        </is>
      </c>
      <c r="F312" s="15">
        <v>17</v>
      </c>
      <c r="G312" s="15" t="inlineStr">
        <is>
          <t xml:space="preserve">v0.2</t>
        </is>
      </c>
      <c r="H312" s="15" t="inlineStr">
        <is>
          <t xml:space="preserve">Bible_Journey_Canon_Map_v0_2_Chronicles_Psalms_Job_1Kings.xlsx</t>
        </is>
      </c>
      <c r="I312" s="15" t="inlineStr">
        <is>
          <t xml:space="preserve">Chapter Map</t>
        </is>
      </c>
      <c r="J312" s="15" t="inlineStr">
        <is>
          <t xml:space="preserve">CRS-1KG-016</t>
        </is>
      </c>
      <c r="K312" s="15"/>
      <c r="L312" s="10" t="inlineStr">
        <is>
          <t xml:space="preserve">Mapped</t>
        </is>
      </c>
      <c r="M312" s="15"/>
      <c r="N312" s="15"/>
      <c r="O312" s="15">
        <v>1</v>
      </c>
      <c r="P312" s="10" t="str">
        <f>IF(L312="MISSING","MISSING",IF(O312=1,"PASS","DUPLICATE"))</f>
        <v>PASS</v>
      </c>
    </row>
    <row r="313" ht="22" customHeight="1">
      <c r="A313" s="15" t="inlineStr">
        <is>
          <t xml:space="preserve">1 Kings 18</t>
        </is>
      </c>
      <c r="B313" s="15">
        <v>309</v>
      </c>
      <c r="C313" s="15" t="inlineStr">
        <is>
          <t xml:space="preserve">Old Testament</t>
        </is>
      </c>
      <c r="D313" s="15">
        <v>11</v>
      </c>
      <c r="E313" s="15" t="inlineStr">
        <is>
          <t xml:space="preserve">1 Kings</t>
        </is>
      </c>
      <c r="F313" s="15">
        <v>18</v>
      </c>
      <c r="G313" s="15" t="inlineStr">
        <is>
          <t xml:space="preserve">v0.2</t>
        </is>
      </c>
      <c r="H313" s="15" t="inlineStr">
        <is>
          <t xml:space="preserve">Bible_Journey_Canon_Map_v0_2_Chronicles_Psalms_Job_1Kings.xlsx</t>
        </is>
      </c>
      <c r="I313" s="15" t="inlineStr">
        <is>
          <t xml:space="preserve">Chapter Map</t>
        </is>
      </c>
      <c r="J313" s="15" t="inlineStr">
        <is>
          <t xml:space="preserve">CRS-1KG-017</t>
        </is>
      </c>
      <c r="K313" s="15"/>
      <c r="L313" s="10" t="inlineStr">
        <is>
          <t xml:space="preserve">Mapped</t>
        </is>
      </c>
      <c r="M313" s="15"/>
      <c r="N313" s="15"/>
      <c r="O313" s="15">
        <v>1</v>
      </c>
      <c r="P313" s="10" t="str">
        <f>IF(L313="MISSING","MISSING",IF(O313=1,"PASS","DUPLICATE"))</f>
        <v>PASS</v>
      </c>
    </row>
    <row r="314" ht="22" customHeight="1">
      <c r="A314" s="15" t="inlineStr">
        <is>
          <t xml:space="preserve">1 Kings 19</t>
        </is>
      </c>
      <c r="B314" s="15">
        <v>310</v>
      </c>
      <c r="C314" s="15" t="inlineStr">
        <is>
          <t xml:space="preserve">Old Testament</t>
        </is>
      </c>
      <c r="D314" s="15">
        <v>11</v>
      </c>
      <c r="E314" s="15" t="inlineStr">
        <is>
          <t xml:space="preserve">1 Kings</t>
        </is>
      </c>
      <c r="F314" s="15">
        <v>19</v>
      </c>
      <c r="G314" s="15" t="inlineStr">
        <is>
          <t xml:space="preserve">v0.2</t>
        </is>
      </c>
      <c r="H314" s="15" t="inlineStr">
        <is>
          <t xml:space="preserve">Bible_Journey_Canon_Map_v0_2_Chronicles_Psalms_Job_1Kings.xlsx</t>
        </is>
      </c>
      <c r="I314" s="15" t="inlineStr">
        <is>
          <t xml:space="preserve">Chapter Map</t>
        </is>
      </c>
      <c r="J314" s="15" t="inlineStr">
        <is>
          <t xml:space="preserve">CRS-1KG-018</t>
        </is>
      </c>
      <c r="K314" s="15"/>
      <c r="L314" s="10" t="inlineStr">
        <is>
          <t xml:space="preserve">Mapped</t>
        </is>
      </c>
      <c r="M314" s="15"/>
      <c r="N314" s="15"/>
      <c r="O314" s="15">
        <v>1</v>
      </c>
      <c r="P314" s="10" t="str">
        <f>IF(L314="MISSING","MISSING",IF(O314=1,"PASS","DUPLICATE"))</f>
        <v>PASS</v>
      </c>
    </row>
    <row r="315" ht="22" customHeight="1">
      <c r="A315" s="15" t="inlineStr">
        <is>
          <t xml:space="preserve">1 Kings 20</t>
        </is>
      </c>
      <c r="B315" s="15">
        <v>311</v>
      </c>
      <c r="C315" s="15" t="inlineStr">
        <is>
          <t xml:space="preserve">Old Testament</t>
        </is>
      </c>
      <c r="D315" s="15">
        <v>11</v>
      </c>
      <c r="E315" s="15" t="inlineStr">
        <is>
          <t xml:space="preserve">1 Kings</t>
        </is>
      </c>
      <c r="F315" s="15">
        <v>20</v>
      </c>
      <c r="G315" s="15" t="inlineStr">
        <is>
          <t xml:space="preserve">v0.2</t>
        </is>
      </c>
      <c r="H315" s="15" t="inlineStr">
        <is>
          <t xml:space="preserve">Bible_Journey_Canon_Map_v0_2_Chronicles_Psalms_Job_1Kings.xlsx</t>
        </is>
      </c>
      <c r="I315" s="15" t="inlineStr">
        <is>
          <t xml:space="preserve">Chapter Map</t>
        </is>
      </c>
      <c r="J315" s="15" t="inlineStr">
        <is>
          <t xml:space="preserve">CRS-1KG-019</t>
        </is>
      </c>
      <c r="K315" s="15"/>
      <c r="L315" s="10" t="inlineStr">
        <is>
          <t xml:space="preserve">Mapped</t>
        </is>
      </c>
      <c r="M315" s="15"/>
      <c r="N315" s="15"/>
      <c r="O315" s="15">
        <v>1</v>
      </c>
      <c r="P315" s="10" t="str">
        <f>IF(L315="MISSING","MISSING",IF(O315=1,"PASS","DUPLICATE"))</f>
        <v>PASS</v>
      </c>
    </row>
    <row r="316" ht="22" customHeight="1">
      <c r="A316" s="15" t="inlineStr">
        <is>
          <t xml:space="preserve">1 Kings 21</t>
        </is>
      </c>
      <c r="B316" s="15">
        <v>312</v>
      </c>
      <c r="C316" s="15" t="inlineStr">
        <is>
          <t xml:space="preserve">Old Testament</t>
        </is>
      </c>
      <c r="D316" s="15">
        <v>11</v>
      </c>
      <c r="E316" s="15" t="inlineStr">
        <is>
          <t xml:space="preserve">1 Kings</t>
        </is>
      </c>
      <c r="F316" s="15">
        <v>21</v>
      </c>
      <c r="G316" s="15" t="inlineStr">
        <is>
          <t xml:space="preserve">v0.2</t>
        </is>
      </c>
      <c r="H316" s="15" t="inlineStr">
        <is>
          <t xml:space="preserve">Bible_Journey_Canon_Map_v0_2_Chronicles_Psalms_Job_1Kings.xlsx</t>
        </is>
      </c>
      <c r="I316" s="15" t="inlineStr">
        <is>
          <t xml:space="preserve">Chapter Map</t>
        </is>
      </c>
      <c r="J316" s="15" t="inlineStr">
        <is>
          <t xml:space="preserve">CRS-1KG-020</t>
        </is>
      </c>
      <c r="K316" s="15"/>
      <c r="L316" s="10" t="inlineStr">
        <is>
          <t xml:space="preserve">Mapped</t>
        </is>
      </c>
      <c r="M316" s="15"/>
      <c r="N316" s="15"/>
      <c r="O316" s="15">
        <v>1</v>
      </c>
      <c r="P316" s="10" t="str">
        <f>IF(L316="MISSING","MISSING",IF(O316=1,"PASS","DUPLICATE"))</f>
        <v>PASS</v>
      </c>
    </row>
    <row r="317" ht="22" customHeight="1">
      <c r="A317" s="15" t="inlineStr">
        <is>
          <t xml:space="preserve">1 Kings 22</t>
        </is>
      </c>
      <c r="B317" s="15">
        <v>313</v>
      </c>
      <c r="C317" s="15" t="inlineStr">
        <is>
          <t xml:space="preserve">Old Testament</t>
        </is>
      </c>
      <c r="D317" s="15">
        <v>11</v>
      </c>
      <c r="E317" s="15" t="inlineStr">
        <is>
          <t xml:space="preserve">1 Kings</t>
        </is>
      </c>
      <c r="F317" s="15">
        <v>22</v>
      </c>
      <c r="G317" s="15" t="inlineStr">
        <is>
          <t xml:space="preserve">v0.2</t>
        </is>
      </c>
      <c r="H317" s="15" t="inlineStr">
        <is>
          <t xml:space="preserve">Bible_Journey_Canon_Map_v0_2_Chronicles_Psalms_Job_1Kings.xlsx</t>
        </is>
      </c>
      <c r="I317" s="15" t="inlineStr">
        <is>
          <t xml:space="preserve">Chapter Map</t>
        </is>
      </c>
      <c r="J317" s="15" t="inlineStr">
        <is>
          <t xml:space="preserve">CRS-1KG-021</t>
        </is>
      </c>
      <c r="K317" s="15"/>
      <c r="L317" s="10" t="inlineStr">
        <is>
          <t xml:space="preserve">Mapped</t>
        </is>
      </c>
      <c r="M317" s="15" t="inlineStr">
        <is>
          <t xml:space="preserve">Future: 2 Chronicles 18</t>
        </is>
      </c>
      <c r="N317" s="15"/>
      <c r="O317" s="15">
        <v>1</v>
      </c>
      <c r="P317" s="10" t="str">
        <f>IF(L317="MISSING","MISSING",IF(O317=1,"PASS","DUPLICATE"))</f>
        <v>PASS</v>
      </c>
    </row>
    <row r="318" ht="22" customHeight="1">
      <c r="A318" s="15" t="inlineStr">
        <is>
          <t xml:space="preserve">2 Kings 1</t>
        </is>
      </c>
      <c r="B318" s="15">
        <v>314</v>
      </c>
      <c r="C318" s="15" t="inlineStr">
        <is>
          <t xml:space="preserve">Old Testament</t>
        </is>
      </c>
      <c r="D318" s="15">
        <v>12</v>
      </c>
      <c r="E318" s="15" t="inlineStr">
        <is>
          <t xml:space="preserve">2 Kings</t>
        </is>
      </c>
      <c r="F318" s="15">
        <v>1</v>
      </c>
      <c r="G318" s="15" t="inlineStr">
        <is>
          <t xml:space="preserve">v0.3</t>
        </is>
      </c>
      <c r="H318" s="15" t="inlineStr">
        <is>
          <t xml:space="preserve">Bible_Journey_Canon_Map_v0_3_2Chronicles_Wisdom_2Kings.xlsx</t>
        </is>
      </c>
      <c r="I318" s="15" t="inlineStr">
        <is>
          <t xml:space="preserve">Chapter Map</t>
        </is>
      </c>
      <c r="J318" s="15" t="inlineStr">
        <is>
          <t xml:space="preserve">CRS-2K-001</t>
        </is>
      </c>
      <c r="K318" s="15"/>
      <c r="L318" s="10" t="inlineStr">
        <is>
          <t xml:space="preserve">Mapped</t>
        </is>
      </c>
      <c r="M318" s="15" t="inlineStr">
        <is>
          <t xml:space="preserve">Ahaziah's inquiry and Elijah's judgment. No Chronicles parallel.</t>
        </is>
      </c>
      <c r="N318" s="15"/>
      <c r="O318" s="15">
        <v>1</v>
      </c>
      <c r="P318" s="10" t="str">
        <f>IF(L318="MISSING","MISSING",IF(O318=1,"PASS","DUPLICATE"))</f>
        <v>PASS</v>
      </c>
    </row>
    <row r="319" ht="22" customHeight="1">
      <c r="A319" s="15" t="inlineStr">
        <is>
          <t xml:space="preserve">2 Kings 2</t>
        </is>
      </c>
      <c r="B319" s="15">
        <v>315</v>
      </c>
      <c r="C319" s="15" t="inlineStr">
        <is>
          <t xml:space="preserve">Old Testament</t>
        </is>
      </c>
      <c r="D319" s="15">
        <v>12</v>
      </c>
      <c r="E319" s="15" t="inlineStr">
        <is>
          <t xml:space="preserve">2 Kings</t>
        </is>
      </c>
      <c r="F319" s="15">
        <v>2</v>
      </c>
      <c r="G319" s="15" t="inlineStr">
        <is>
          <t xml:space="preserve">v0.3</t>
        </is>
      </c>
      <c r="H319" s="15" t="inlineStr">
        <is>
          <t xml:space="preserve">Bible_Journey_Canon_Map_v0_3_2Chronicles_Wisdom_2Kings.xlsx</t>
        </is>
      </c>
      <c r="I319" s="15" t="inlineStr">
        <is>
          <t xml:space="preserve">Chapter Map</t>
        </is>
      </c>
      <c r="J319" s="15" t="inlineStr">
        <is>
          <t xml:space="preserve">CRS-2K-002</t>
        </is>
      </c>
      <c r="K319" s="15"/>
      <c r="L319" s="10" t="inlineStr">
        <is>
          <t xml:space="preserve">Mapped</t>
        </is>
      </c>
      <c r="M319" s="15" t="inlineStr">
        <is>
          <t xml:space="preserve">Elijah's departure and the public transition to Elisha.</t>
        </is>
      </c>
      <c r="N319" s="15"/>
      <c r="O319" s="15">
        <v>1</v>
      </c>
      <c r="P319" s="10" t="str">
        <f>IF(L319="MISSING","MISSING",IF(O319=1,"PASS","DUPLICATE"))</f>
        <v>PASS</v>
      </c>
    </row>
    <row r="320" ht="22" customHeight="1">
      <c r="A320" s="15" t="inlineStr">
        <is>
          <t xml:space="preserve">2 Kings 3</t>
        </is>
      </c>
      <c r="B320" s="15">
        <v>316</v>
      </c>
      <c r="C320" s="15" t="inlineStr">
        <is>
          <t xml:space="preserve">Old Testament</t>
        </is>
      </c>
      <c r="D320" s="15">
        <v>12</v>
      </c>
      <c r="E320" s="15" t="inlineStr">
        <is>
          <t xml:space="preserve">2 Kings</t>
        </is>
      </c>
      <c r="F320" s="15">
        <v>3</v>
      </c>
      <c r="G320" s="15" t="inlineStr">
        <is>
          <t xml:space="preserve">v0.3</t>
        </is>
      </c>
      <c r="H320" s="15" t="inlineStr">
        <is>
          <t xml:space="preserve">Bible_Journey_Canon_Map_v0_3_2Chronicles_Wisdom_2Kings.xlsx</t>
        </is>
      </c>
      <c r="I320" s="15" t="inlineStr">
        <is>
          <t xml:space="preserve">Chapter Map</t>
        </is>
      </c>
      <c r="J320" s="15" t="inlineStr">
        <is>
          <t xml:space="preserve">CRS-2K-003</t>
        </is>
      </c>
      <c r="K320" s="15"/>
      <c r="L320" s="10" t="inlineStr">
        <is>
          <t xml:space="preserve">Mapped</t>
        </is>
      </c>
      <c r="M320" s="15" t="inlineStr">
        <is>
          <t xml:space="preserve">A coalition campaign narrated through the role of Elisha.</t>
        </is>
      </c>
      <c r="N320" s="15"/>
      <c r="O320" s="15">
        <v>1</v>
      </c>
      <c r="P320" s="10" t="str">
        <f>IF(L320="MISSING","MISSING",IF(O320=1,"PASS","DUPLICATE"))</f>
        <v>PASS</v>
      </c>
    </row>
    <row r="321" ht="22" customHeight="1">
      <c r="A321" s="15" t="inlineStr">
        <is>
          <t xml:space="preserve">2 Kings 4</t>
        </is>
      </c>
      <c r="B321" s="15">
        <v>317</v>
      </c>
      <c r="C321" s="15" t="inlineStr">
        <is>
          <t xml:space="preserve">Old Testament</t>
        </is>
      </c>
      <c r="D321" s="15">
        <v>12</v>
      </c>
      <c r="E321" s="15" t="inlineStr">
        <is>
          <t xml:space="preserve">2 Kings</t>
        </is>
      </c>
      <c r="F321" s="15">
        <v>4</v>
      </c>
      <c r="G321" s="15" t="inlineStr">
        <is>
          <t xml:space="preserve">v0.3</t>
        </is>
      </c>
      <c r="H321" s="15" t="inlineStr">
        <is>
          <t xml:space="preserve">Bible_Journey_Canon_Map_v0_3_2Chronicles_Wisdom_2Kings.xlsx</t>
        </is>
      </c>
      <c r="I321" s="15" t="inlineStr">
        <is>
          <t xml:space="preserve">Chapter Map</t>
        </is>
      </c>
      <c r="J321" s="15" t="inlineStr">
        <is>
          <t xml:space="preserve">CRS-2K-004</t>
        </is>
      </c>
      <c r="K321" s="15"/>
      <c r="L321" s="10" t="inlineStr">
        <is>
          <t xml:space="preserve">Mapped</t>
        </is>
      </c>
      <c r="M321" s="15" t="inlineStr">
        <is>
          <t xml:space="preserve">A linked cycle of Elisha narratives; retain as one canonical chapter for the first mapping pass.</t>
        </is>
      </c>
      <c r="N321" s="15"/>
      <c r="O321" s="15">
        <v>1</v>
      </c>
      <c r="P321" s="10" t="str">
        <f>IF(L321="MISSING","MISSING",IF(O321=1,"PASS","DUPLICATE"))</f>
        <v>PASS</v>
      </c>
    </row>
    <row r="322" ht="22" customHeight="1">
      <c r="A322" s="15" t="inlineStr">
        <is>
          <t xml:space="preserve">2 Kings 5</t>
        </is>
      </c>
      <c r="B322" s="15">
        <v>318</v>
      </c>
      <c r="C322" s="15" t="inlineStr">
        <is>
          <t xml:space="preserve">Old Testament</t>
        </is>
      </c>
      <c r="D322" s="15">
        <v>12</v>
      </c>
      <c r="E322" s="15" t="inlineStr">
        <is>
          <t xml:space="preserve">2 Kings</t>
        </is>
      </c>
      <c r="F322" s="15">
        <v>5</v>
      </c>
      <c r="G322" s="15" t="inlineStr">
        <is>
          <t xml:space="preserve">v0.3</t>
        </is>
      </c>
      <c r="H322" s="15" t="inlineStr">
        <is>
          <t xml:space="preserve">Bible_Journey_Canon_Map_v0_3_2Chronicles_Wisdom_2Kings.xlsx</t>
        </is>
      </c>
      <c r="I322" s="15" t="inlineStr">
        <is>
          <t xml:space="preserve">Chapter Map</t>
        </is>
      </c>
      <c r="J322" s="15" t="inlineStr">
        <is>
          <t xml:space="preserve">CRS-2K-005</t>
        </is>
      </c>
      <c r="K322" s="15"/>
      <c r="L322" s="10" t="inlineStr">
        <is>
          <t xml:space="preserve">Mapped</t>
        </is>
      </c>
      <c r="M322" s="15" t="inlineStr">
        <is>
          <t xml:space="preserve">A distinct healing and mission-to-Aram narrative.</t>
        </is>
      </c>
      <c r="N322" s="15"/>
      <c r="O322" s="15">
        <v>1</v>
      </c>
      <c r="P322" s="10" t="str">
        <f>IF(L322="MISSING","MISSING",IF(O322=1,"PASS","DUPLICATE"))</f>
        <v>PASS</v>
      </c>
    </row>
    <row r="323" ht="22" customHeight="1">
      <c r="A323" s="15" t="inlineStr">
        <is>
          <t xml:space="preserve">2 Kings 6</t>
        </is>
      </c>
      <c r="B323" s="15">
        <v>319</v>
      </c>
      <c r="C323" s="15" t="inlineStr">
        <is>
          <t xml:space="preserve">Old Testament</t>
        </is>
      </c>
      <c r="D323" s="15">
        <v>12</v>
      </c>
      <c r="E323" s="15" t="inlineStr">
        <is>
          <t xml:space="preserve">2 Kings</t>
        </is>
      </c>
      <c r="F323" s="15">
        <v>6</v>
      </c>
      <c r="G323" s="15" t="inlineStr">
        <is>
          <t xml:space="preserve">v0.3</t>
        </is>
      </c>
      <c r="H323" s="15" t="inlineStr">
        <is>
          <t xml:space="preserve">Bible_Journey_Canon_Map_v0_3_2Chronicles_Wisdom_2Kings.xlsx</t>
        </is>
      </c>
      <c r="I323" s="15" t="inlineStr">
        <is>
          <t xml:space="preserve">Chapter Map</t>
        </is>
      </c>
      <c r="J323" s="15" t="inlineStr">
        <is>
          <t xml:space="preserve">CRS-2K-006</t>
        </is>
      </c>
      <c r="K323" s="15"/>
      <c r="L323" s="10" t="inlineStr">
        <is>
          <t xml:space="preserve">Mapped</t>
        </is>
      </c>
      <c r="M323" s="15" t="inlineStr">
        <is>
          <t xml:space="preserve">Contains multiple scenes; future scene-level splits may refine this chapter.</t>
        </is>
      </c>
      <c r="N323" s="15"/>
      <c r="O323" s="15">
        <v>1</v>
      </c>
      <c r="P323" s="10" t="str">
        <f>IF(L323="MISSING","MISSING",IF(O323=1,"PASS","DUPLICATE"))</f>
        <v>PASS</v>
      </c>
    </row>
    <row r="324" ht="22" customHeight="1">
      <c r="A324" s="15" t="inlineStr">
        <is>
          <t xml:space="preserve">2 Kings 7</t>
        </is>
      </c>
      <c r="B324" s="15">
        <v>320</v>
      </c>
      <c r="C324" s="15" t="inlineStr">
        <is>
          <t xml:space="preserve">Old Testament</t>
        </is>
      </c>
      <c r="D324" s="15">
        <v>12</v>
      </c>
      <c r="E324" s="15" t="inlineStr">
        <is>
          <t xml:space="preserve">2 Kings</t>
        </is>
      </c>
      <c r="F324" s="15">
        <v>7</v>
      </c>
      <c r="G324" s="15" t="inlineStr">
        <is>
          <t xml:space="preserve">v0.3</t>
        </is>
      </c>
      <c r="H324" s="15" t="inlineStr">
        <is>
          <t xml:space="preserve">Bible_Journey_Canon_Map_v0_3_2Chronicles_Wisdom_2Kings.xlsx</t>
        </is>
      </c>
      <c r="I324" s="15" t="inlineStr">
        <is>
          <t xml:space="preserve">Chapter Map</t>
        </is>
      </c>
      <c r="J324" s="15" t="inlineStr">
        <is>
          <t xml:space="preserve">CRS-2K-007</t>
        </is>
      </c>
      <c r="K324" s="15"/>
      <c r="L324" s="10" t="inlineStr">
        <is>
          <t xml:space="preserve">Mapped</t>
        </is>
      </c>
      <c r="M324" s="15" t="inlineStr">
        <is>
          <t xml:space="preserve">A discrete narrative continuation of the siege introduced in 2 Kings 6.</t>
        </is>
      </c>
      <c r="N324" s="15"/>
      <c r="O324" s="15">
        <v>1</v>
      </c>
      <c r="P324" s="10" t="str">
        <f>IF(L324="MISSING","MISSING",IF(O324=1,"PASS","DUPLICATE"))</f>
        <v>PASS</v>
      </c>
    </row>
    <row r="325" ht="22" customHeight="1">
      <c r="A325" s="15" t="inlineStr">
        <is>
          <t xml:space="preserve">2 Kings 8</t>
        </is>
      </c>
      <c r="B325" s="15">
        <v>321</v>
      </c>
      <c r="C325" s="15" t="inlineStr">
        <is>
          <t xml:space="preserve">Old Testament</t>
        </is>
      </c>
      <c r="D325" s="15">
        <v>12</v>
      </c>
      <c r="E325" s="15" t="inlineStr">
        <is>
          <t xml:space="preserve">2 Kings</t>
        </is>
      </c>
      <c r="F325" s="15">
        <v>8</v>
      </c>
      <c r="G325" s="15" t="inlineStr">
        <is>
          <t xml:space="preserve">v0.3</t>
        </is>
      </c>
      <c r="H325" s="15" t="inlineStr">
        <is>
          <t xml:space="preserve">Bible_Journey_Canon_Map_v0_3_2Chronicles_Wisdom_2Kings.xlsx</t>
        </is>
      </c>
      <c r="I325" s="15" t="inlineStr">
        <is>
          <t xml:space="preserve">Chapter Map</t>
        </is>
      </c>
      <c r="J325" s="15" t="inlineStr">
        <is>
          <t xml:space="preserve">CRS-2K-008A / CRS-2K-008B</t>
        </is>
      </c>
      <c r="K325" s="15"/>
      <c r="L325" s="10" t="inlineStr">
        <is>
          <t xml:space="preserve">Mapped with scene split</t>
        </is>
      </c>
      <c r="M325" s="15" t="inlineStr">
        <is>
          <t xml:space="preserve">2 Kings 8:1-15 belongs to CRS-2K-008A; 2 Kings 8:16-29 belongs to CRS-2K-008B.</t>
        </is>
      </c>
      <c r="N325" s="15"/>
      <c r="O325" s="15">
        <v>1</v>
      </c>
      <c r="P325" s="10" t="str">
        <f>IF(L325="MISSING","MISSING",IF(O325=1,"PASS","DUPLICATE"))</f>
        <v>PASS</v>
      </c>
    </row>
    <row r="326" ht="22" customHeight="1">
      <c r="A326" s="15" t="inlineStr">
        <is>
          <t xml:space="preserve">2 Kings 9</t>
        </is>
      </c>
      <c r="B326" s="15">
        <v>322</v>
      </c>
      <c r="C326" s="15" t="inlineStr">
        <is>
          <t xml:space="preserve">Old Testament</t>
        </is>
      </c>
      <c r="D326" s="15">
        <v>12</v>
      </c>
      <c r="E326" s="15" t="inlineStr">
        <is>
          <t xml:space="preserve">2 Kings</t>
        </is>
      </c>
      <c r="F326" s="15">
        <v>9</v>
      </c>
      <c r="G326" s="15" t="inlineStr">
        <is>
          <t xml:space="preserve">v0.3</t>
        </is>
      </c>
      <c r="H326" s="15" t="inlineStr">
        <is>
          <t xml:space="preserve">Bible_Journey_Canon_Map_v0_3_2Chronicles_Wisdom_2Kings.xlsx</t>
        </is>
      </c>
      <c r="I326" s="15" t="inlineStr">
        <is>
          <t xml:space="preserve">Chapter Map</t>
        </is>
      </c>
      <c r="J326" s="15" t="inlineStr">
        <is>
          <t xml:space="preserve">CRS-2K-009</t>
        </is>
      </c>
      <c r="K326" s="15"/>
      <c r="L326" s="10" t="inlineStr">
        <is>
          <t xml:space="preserve">Mapped</t>
        </is>
      </c>
      <c r="M326" s="15" t="inlineStr">
        <is>
          <t xml:space="preserve">Jehu's anointing and overthrow of Joram / Jezebel sequence.</t>
        </is>
      </c>
      <c r="N326" s="15"/>
      <c r="O326" s="15">
        <v>1</v>
      </c>
      <c r="P326" s="10" t="str">
        <f>IF(L326="MISSING","MISSING",IF(O326=1,"PASS","DUPLICATE"))</f>
        <v>PASS</v>
      </c>
    </row>
    <row r="327" ht="22" customHeight="1">
      <c r="A327" s="15" t="inlineStr">
        <is>
          <t xml:space="preserve">2 Kings 10</t>
        </is>
      </c>
      <c r="B327" s="15">
        <v>323</v>
      </c>
      <c r="C327" s="15" t="inlineStr">
        <is>
          <t xml:space="preserve">Old Testament</t>
        </is>
      </c>
      <c r="D327" s="15">
        <v>12</v>
      </c>
      <c r="E327" s="15" t="inlineStr">
        <is>
          <t xml:space="preserve">2 Kings</t>
        </is>
      </c>
      <c r="F327" s="15">
        <v>10</v>
      </c>
      <c r="G327" s="15" t="inlineStr">
        <is>
          <t xml:space="preserve">v0.3</t>
        </is>
      </c>
      <c r="H327" s="15" t="inlineStr">
        <is>
          <t xml:space="preserve">Bible_Journey_Canon_Map_v0_3_2Chronicles_Wisdom_2Kings.xlsx</t>
        </is>
      </c>
      <c r="I327" s="15" t="inlineStr">
        <is>
          <t xml:space="preserve">Chapter Map</t>
        </is>
      </c>
      <c r="J327" s="15" t="inlineStr">
        <is>
          <t xml:space="preserve">CRS-2K-010</t>
        </is>
      </c>
      <c r="K327" s="15"/>
      <c r="L327" s="10" t="inlineStr">
        <is>
          <t xml:space="preserve">Mapped</t>
        </is>
      </c>
      <c r="M327" s="15" t="inlineStr">
        <is>
          <t xml:space="preserve">Jehu's purge, cultic reforms, and northern reign assessment.</t>
        </is>
      </c>
      <c r="N327" s="15"/>
      <c r="O327" s="15">
        <v>1</v>
      </c>
      <c r="P327" s="10" t="str">
        <f>IF(L327="MISSING","MISSING",IF(O327=1,"PASS","DUPLICATE"))</f>
        <v>PASS</v>
      </c>
    </row>
    <row r="328" ht="22" customHeight="1">
      <c r="A328" s="15" t="inlineStr">
        <is>
          <t xml:space="preserve">2 Kings 11</t>
        </is>
      </c>
      <c r="B328" s="15">
        <v>324</v>
      </c>
      <c r="C328" s="15" t="inlineStr">
        <is>
          <t xml:space="preserve">Old Testament</t>
        </is>
      </c>
      <c r="D328" s="15">
        <v>12</v>
      </c>
      <c r="E328" s="15" t="inlineStr">
        <is>
          <t xml:space="preserve">2 Kings</t>
        </is>
      </c>
      <c r="F328" s="15">
        <v>11</v>
      </c>
      <c r="G328" s="15" t="inlineStr">
        <is>
          <t xml:space="preserve">v0.3</t>
        </is>
      </c>
      <c r="H328" s="15" t="inlineStr">
        <is>
          <t xml:space="preserve">Bible_Journey_Canon_Map_v0_3_2Chronicles_Wisdom_2Kings.xlsx</t>
        </is>
      </c>
      <c r="I328" s="15" t="inlineStr">
        <is>
          <t xml:space="preserve">Chapter Map</t>
        </is>
      </c>
      <c r="J328" s="15" t="inlineStr">
        <is>
          <t xml:space="preserve">CRS-2K-011</t>
        </is>
      </c>
      <c r="K328" s="15"/>
      <c r="L328" s="10" t="inlineStr">
        <is>
          <t xml:space="preserve">Mapped</t>
        </is>
      </c>
      <c r="M328" s="15" t="inlineStr">
        <is>
          <t xml:space="preserve">Linked to 2 Chronicles 22:10-12 and 23; preserve all accounts as distinct blocks.</t>
        </is>
      </c>
      <c r="N328" s="15"/>
      <c r="O328" s="15">
        <v>1</v>
      </c>
      <c r="P328" s="10" t="str">
        <f>IF(L328="MISSING","MISSING",IF(O328=1,"PASS","DUPLICATE"))</f>
        <v>PASS</v>
      </c>
    </row>
    <row r="329" ht="22" customHeight="1">
      <c r="A329" s="15" t="inlineStr">
        <is>
          <t xml:space="preserve">2 Kings 12</t>
        </is>
      </c>
      <c r="B329" s="15">
        <v>325</v>
      </c>
      <c r="C329" s="15" t="inlineStr">
        <is>
          <t xml:space="preserve">Old Testament</t>
        </is>
      </c>
      <c r="D329" s="15">
        <v>12</v>
      </c>
      <c r="E329" s="15" t="inlineStr">
        <is>
          <t xml:space="preserve">2 Kings</t>
        </is>
      </c>
      <c r="F329" s="15">
        <v>12</v>
      </c>
      <c r="G329" s="15" t="inlineStr">
        <is>
          <t xml:space="preserve">v0.3</t>
        </is>
      </c>
      <c r="H329" s="15" t="inlineStr">
        <is>
          <t xml:space="preserve">Bible_Journey_Canon_Map_v0_3_2Chronicles_Wisdom_2Kings.xlsx</t>
        </is>
      </c>
      <c r="I329" s="15" t="inlineStr">
        <is>
          <t xml:space="preserve">Chapter Map</t>
        </is>
      </c>
      <c r="J329" s="15" t="inlineStr">
        <is>
          <t xml:space="preserve">CRS-2K-012</t>
        </is>
      </c>
      <c r="K329" s="15"/>
      <c r="L329" s="10" t="inlineStr">
        <is>
          <t xml:space="preserve">Mapped</t>
        </is>
      </c>
      <c r="M329" s="15" t="inlineStr">
        <is>
          <t xml:space="preserve">Kings' account of Joash and temple repair, paired with Chronicles' extended narrative.</t>
        </is>
      </c>
      <c r="N329" s="15"/>
      <c r="O329" s="15">
        <v>1</v>
      </c>
      <c r="P329" s="10" t="str">
        <f>IF(L329="MISSING","MISSING",IF(O329=1,"PASS","DUPLICATE"))</f>
        <v>PASS</v>
      </c>
    </row>
    <row r="330" ht="22" customHeight="1">
      <c r="A330" s="15" t="inlineStr">
        <is>
          <t xml:space="preserve">2 Kings 13</t>
        </is>
      </c>
      <c r="B330" s="15">
        <v>326</v>
      </c>
      <c r="C330" s="15" t="inlineStr">
        <is>
          <t xml:space="preserve">Old Testament</t>
        </is>
      </c>
      <c r="D330" s="15">
        <v>12</v>
      </c>
      <c r="E330" s="15" t="inlineStr">
        <is>
          <t xml:space="preserve">2 Kings</t>
        </is>
      </c>
      <c r="F330" s="15">
        <v>13</v>
      </c>
      <c r="G330" s="15" t="inlineStr">
        <is>
          <t xml:space="preserve">v0.3</t>
        </is>
      </c>
      <c r="H330" s="15" t="inlineStr">
        <is>
          <t xml:space="preserve">Bible_Journey_Canon_Map_v0_3_2Chronicles_Wisdom_2Kings.xlsx</t>
        </is>
      </c>
      <c r="I330" s="15" t="inlineStr">
        <is>
          <t xml:space="preserve">Chapter Map</t>
        </is>
      </c>
      <c r="J330" s="15" t="inlineStr">
        <is>
          <t xml:space="preserve">CRS-2K-013</t>
        </is>
      </c>
      <c r="K330" s="15"/>
      <c r="L330" s="10" t="inlineStr">
        <is>
          <t xml:space="preserve">Mapped</t>
        </is>
      </c>
      <c r="M330" s="15" t="inlineStr">
        <is>
          <t xml:space="preserve">Northern reigns with Elisha's final prophecy and death.</t>
        </is>
      </c>
      <c r="N330" s="15"/>
      <c r="O330" s="15">
        <v>1</v>
      </c>
      <c r="P330" s="10" t="str">
        <f>IF(L330="MISSING","MISSING",IF(O330=1,"PASS","DUPLICATE"))</f>
        <v>PASS</v>
      </c>
    </row>
    <row r="331" ht="22" customHeight="1">
      <c r="A331" s="15" t="inlineStr">
        <is>
          <t xml:space="preserve">2 Kings 14</t>
        </is>
      </c>
      <c r="B331" s="15">
        <v>327</v>
      </c>
      <c r="C331" s="15" t="inlineStr">
        <is>
          <t xml:space="preserve">Old Testament</t>
        </is>
      </c>
      <c r="D331" s="15">
        <v>12</v>
      </c>
      <c r="E331" s="15" t="inlineStr">
        <is>
          <t xml:space="preserve">2 Kings</t>
        </is>
      </c>
      <c r="F331" s="15">
        <v>14</v>
      </c>
      <c r="G331" s="15" t="inlineStr">
        <is>
          <t xml:space="preserve">v0.3</t>
        </is>
      </c>
      <c r="H331" s="15" t="inlineStr">
        <is>
          <t xml:space="preserve">Bible_Journey_Canon_Map_v0_3_2Chronicles_Wisdom_2Kings.xlsx</t>
        </is>
      </c>
      <c r="I331" s="15" t="inlineStr">
        <is>
          <t xml:space="preserve">Chapter Map</t>
        </is>
      </c>
      <c r="J331" s="15" t="inlineStr">
        <is>
          <t xml:space="preserve">CRS-2K-014</t>
        </is>
      </c>
      <c r="K331" s="15"/>
      <c r="L331" s="10" t="inlineStr">
        <is>
          <t xml:space="preserve">Mapped</t>
        </is>
      </c>
      <c r="M331" s="15" t="inlineStr">
        <is>
          <t xml:space="preserve">Amaziah's reign, conflict with Israel, and Jeroboam II's restoration; paired with Chronicles for Amaziah.</t>
        </is>
      </c>
      <c r="N331" s="15"/>
      <c r="O331" s="15">
        <v>1</v>
      </c>
      <c r="P331" s="10" t="str">
        <f>IF(L331="MISSING","MISSING",IF(O331=1,"PASS","DUPLICATE"))</f>
        <v>PASS</v>
      </c>
    </row>
    <row r="332" ht="22" customHeight="1">
      <c r="A332" s="15" t="inlineStr">
        <is>
          <t xml:space="preserve">2 Kings 15</t>
        </is>
      </c>
      <c r="B332" s="15">
        <v>328</v>
      </c>
      <c r="C332" s="15" t="inlineStr">
        <is>
          <t xml:space="preserve">Old Testament</t>
        </is>
      </c>
      <c r="D332" s="15">
        <v>12</v>
      </c>
      <c r="E332" s="15" t="inlineStr">
        <is>
          <t xml:space="preserve">2 Kings</t>
        </is>
      </c>
      <c r="F332" s="15">
        <v>15</v>
      </c>
      <c r="G332" s="15" t="inlineStr">
        <is>
          <t xml:space="preserve">v0.3</t>
        </is>
      </c>
      <c r="H332" s="15" t="inlineStr">
        <is>
          <t xml:space="preserve">Bible_Journey_Canon_Map_v0_3_2Chronicles_Wisdom_2Kings.xlsx</t>
        </is>
      </c>
      <c r="I332" s="15" t="inlineStr">
        <is>
          <t xml:space="preserve">Chapter Map</t>
        </is>
      </c>
      <c r="J332" s="15" t="inlineStr">
        <is>
          <t xml:space="preserve">CRS-2K-015</t>
        </is>
      </c>
      <c r="K332" s="15"/>
      <c r="L332" s="10" t="inlineStr">
        <is>
          <t xml:space="preserve">Mapped</t>
        </is>
      </c>
      <c r="M332" s="15" t="inlineStr">
        <is>
          <t xml:space="preserve">Kings' succession account with separate Chronicles accounts of Uzziah and Jotham.</t>
        </is>
      </c>
      <c r="N332" s="15"/>
      <c r="O332" s="15">
        <v>1</v>
      </c>
      <c r="P332" s="10" t="str">
        <f>IF(L332="MISSING","MISSING",IF(O332=1,"PASS","DUPLICATE"))</f>
        <v>PASS</v>
      </c>
    </row>
    <row r="333" ht="22" customHeight="1">
      <c r="A333" s="15" t="inlineStr">
        <is>
          <t xml:space="preserve">2 Kings 16</t>
        </is>
      </c>
      <c r="B333" s="15">
        <v>329</v>
      </c>
      <c r="C333" s="15" t="inlineStr">
        <is>
          <t xml:space="preserve">Old Testament</t>
        </is>
      </c>
      <c r="D333" s="15">
        <v>12</v>
      </c>
      <c r="E333" s="15" t="inlineStr">
        <is>
          <t xml:space="preserve">2 Kings</t>
        </is>
      </c>
      <c r="F333" s="15">
        <v>16</v>
      </c>
      <c r="G333" s="15" t="inlineStr">
        <is>
          <t xml:space="preserve">v0.3</t>
        </is>
      </c>
      <c r="H333" s="15" t="inlineStr">
        <is>
          <t xml:space="preserve">Bible_Journey_Canon_Map_v0_3_2Chronicles_Wisdom_2Kings.xlsx</t>
        </is>
      </c>
      <c r="I333" s="15" t="inlineStr">
        <is>
          <t xml:space="preserve">Chapter Map</t>
        </is>
      </c>
      <c r="J333" s="15" t="inlineStr">
        <is>
          <t xml:space="preserve">CRS-2K-016</t>
        </is>
      </c>
      <c r="K333" s="15"/>
      <c r="L333" s="10" t="inlineStr">
        <is>
          <t xml:space="preserve">Mapped</t>
        </is>
      </c>
      <c r="M333" s="15" t="inlineStr">
        <is>
          <t xml:space="preserve">Ahaz's reign and cultic alignment, paired with 2 Chronicles 28.</t>
        </is>
      </c>
      <c r="N333" s="15"/>
      <c r="O333" s="15">
        <v>1</v>
      </c>
      <c r="P333" s="10" t="str">
        <f>IF(L333="MISSING","MISSING",IF(O333=1,"PASS","DUPLICATE"))</f>
        <v>PASS</v>
      </c>
    </row>
    <row r="334" ht="22" customHeight="1">
      <c r="A334" s="15" t="inlineStr">
        <is>
          <t xml:space="preserve">2 Kings 17</t>
        </is>
      </c>
      <c r="B334" s="15">
        <v>330</v>
      </c>
      <c r="C334" s="15" t="inlineStr">
        <is>
          <t xml:space="preserve">Old Testament</t>
        </is>
      </c>
      <c r="D334" s="15">
        <v>12</v>
      </c>
      <c r="E334" s="15" t="inlineStr">
        <is>
          <t xml:space="preserve">2 Kings</t>
        </is>
      </c>
      <c r="F334" s="15">
        <v>17</v>
      </c>
      <c r="G334" s="15" t="inlineStr">
        <is>
          <t xml:space="preserve">v0.3</t>
        </is>
      </c>
      <c r="H334" s="15" t="inlineStr">
        <is>
          <t xml:space="preserve">Bible_Journey_Canon_Map_v0_3_2Chronicles_Wisdom_2Kings.xlsx</t>
        </is>
      </c>
      <c r="I334" s="15" t="inlineStr">
        <is>
          <t xml:space="preserve">Chapter Map</t>
        </is>
      </c>
      <c r="J334" s="15" t="inlineStr">
        <is>
          <t xml:space="preserve">CRS-2K-017</t>
        </is>
      </c>
      <c r="K334" s="15"/>
      <c r="L334" s="10" t="inlineStr">
        <is>
          <t xml:space="preserve">Mapped</t>
        </is>
      </c>
      <c r="M334" s="15" t="inlineStr">
        <is>
          <t xml:space="preserve">Narrative of Samaria's fall plus theological retrospective; do not treat the retrospective as a single dated scene.</t>
        </is>
      </c>
      <c r="N334" s="15"/>
      <c r="O334" s="15">
        <v>1</v>
      </c>
      <c r="P334" s="10" t="str">
        <f>IF(L334="MISSING","MISSING",IF(O334=1,"PASS","DUPLICATE"))</f>
        <v>PASS</v>
      </c>
    </row>
    <row r="335" ht="22" customHeight="1">
      <c r="A335" s="15" t="inlineStr">
        <is>
          <t xml:space="preserve">2 Kings 18</t>
        </is>
      </c>
      <c r="B335" s="15">
        <v>331</v>
      </c>
      <c r="C335" s="15" t="inlineStr">
        <is>
          <t xml:space="preserve">Old Testament</t>
        </is>
      </c>
      <c r="D335" s="15">
        <v>12</v>
      </c>
      <c r="E335" s="15" t="inlineStr">
        <is>
          <t xml:space="preserve">2 Kings</t>
        </is>
      </c>
      <c r="F335" s="15">
        <v>18</v>
      </c>
      <c r="G335" s="15" t="inlineStr">
        <is>
          <t xml:space="preserve">v0.3</t>
        </is>
      </c>
      <c r="H335" s="15" t="inlineStr">
        <is>
          <t xml:space="preserve">Bible_Journey_Canon_Map_v0_3_2Chronicles_Wisdom_2Kings.xlsx</t>
        </is>
      </c>
      <c r="I335" s="15" t="inlineStr">
        <is>
          <t xml:space="preserve">Chapter Map</t>
        </is>
      </c>
      <c r="J335" s="15" t="inlineStr">
        <is>
          <t xml:space="preserve">CRS-2K-018 / CRS-2K-019</t>
        </is>
      </c>
      <c r="K335" s="15"/>
      <c r="L335" s="10" t="inlineStr">
        <is>
          <t xml:space="preserve">Mapped with scene split</t>
        </is>
      </c>
      <c r="M335" s="15" t="inlineStr">
        <is>
          <t xml:space="preserve">2 Kings 18:1-12 belongs to CRS-2K-018; 2 Kings 18:13-37 belongs to CRS-2K-019.</t>
        </is>
      </c>
      <c r="N335" s="15"/>
      <c r="O335" s="15">
        <v>1</v>
      </c>
      <c r="P335" s="10" t="str">
        <f>IF(L335="MISSING","MISSING",IF(O335=1,"PASS","DUPLICATE"))</f>
        <v>PASS</v>
      </c>
    </row>
    <row r="336" ht="22" customHeight="1">
      <c r="A336" s="15" t="inlineStr">
        <is>
          <t xml:space="preserve">2 Kings 19</t>
        </is>
      </c>
      <c r="B336" s="15">
        <v>332</v>
      </c>
      <c r="C336" s="15" t="inlineStr">
        <is>
          <t xml:space="preserve">Old Testament</t>
        </is>
      </c>
      <c r="D336" s="15">
        <v>12</v>
      </c>
      <c r="E336" s="15" t="inlineStr">
        <is>
          <t xml:space="preserve">2 Kings</t>
        </is>
      </c>
      <c r="F336" s="15">
        <v>19</v>
      </c>
      <c r="G336" s="15" t="inlineStr">
        <is>
          <t xml:space="preserve">v0.3</t>
        </is>
      </c>
      <c r="H336" s="15" t="inlineStr">
        <is>
          <t xml:space="preserve">Bible_Journey_Canon_Map_v0_3_2Chronicles_Wisdom_2Kings.xlsx</t>
        </is>
      </c>
      <c r="I336" s="15" t="inlineStr">
        <is>
          <t xml:space="preserve">Chapter Map</t>
        </is>
      </c>
      <c r="J336" s="15" t="inlineStr">
        <is>
          <t xml:space="preserve">CRS-2K-019</t>
        </is>
      </c>
      <c r="K336" s="15"/>
      <c r="L336" s="10" t="inlineStr">
        <is>
          <t xml:space="preserve">Mapped</t>
        </is>
      </c>
      <c r="M336" s="15" t="inlineStr">
        <is>
          <t xml:space="preserve">Primary Kings account of the Assyrian crisis; Chronicles and later Isaiah map are linked intact accounts.</t>
        </is>
      </c>
      <c r="N336" s="15"/>
      <c r="O336" s="15">
        <v>1</v>
      </c>
      <c r="P336" s="10" t="str">
        <f>IF(L336="MISSING","MISSING",IF(O336=1,"PASS","DUPLICATE"))</f>
        <v>PASS</v>
      </c>
    </row>
    <row r="337" ht="22" customHeight="1">
      <c r="A337" s="15" t="inlineStr">
        <is>
          <t xml:space="preserve">2 Kings 20</t>
        </is>
      </c>
      <c r="B337" s="15">
        <v>333</v>
      </c>
      <c r="C337" s="15" t="inlineStr">
        <is>
          <t xml:space="preserve">Old Testament</t>
        </is>
      </c>
      <c r="D337" s="15">
        <v>12</v>
      </c>
      <c r="E337" s="15" t="inlineStr">
        <is>
          <t xml:space="preserve">2 Kings</t>
        </is>
      </c>
      <c r="F337" s="15">
        <v>20</v>
      </c>
      <c r="G337" s="15" t="inlineStr">
        <is>
          <t xml:space="preserve">v0.3</t>
        </is>
      </c>
      <c r="H337" s="15" t="inlineStr">
        <is>
          <t xml:space="preserve">Bible_Journey_Canon_Map_v0_3_2Chronicles_Wisdom_2Kings.xlsx</t>
        </is>
      </c>
      <c r="I337" s="15" t="inlineStr">
        <is>
          <t xml:space="preserve">Chapter Map</t>
        </is>
      </c>
      <c r="J337" s="15" t="inlineStr">
        <is>
          <t xml:space="preserve">CRS-2K-020</t>
        </is>
      </c>
      <c r="K337" s="15"/>
      <c r="L337" s="10" t="inlineStr">
        <is>
          <t xml:space="preserve">Mapped</t>
        </is>
      </c>
      <c r="M337" s="15" t="inlineStr">
        <is>
          <t xml:space="preserve">2 Chronicles 32:24-31 is related material. Position relative to the Assyrian crisis and Isaiah 38-39 must remain transparent.</t>
        </is>
      </c>
      <c r="N337" s="15"/>
      <c r="O337" s="15">
        <v>1</v>
      </c>
      <c r="P337" s="10" t="str">
        <f>IF(L337="MISSING","MISSING",IF(O337=1,"PASS","DUPLICATE"))</f>
        <v>PASS</v>
      </c>
    </row>
    <row r="338" ht="22" customHeight="1">
      <c r="A338" s="15" t="inlineStr">
        <is>
          <t xml:space="preserve">2 Kings 21</t>
        </is>
      </c>
      <c r="B338" s="15">
        <v>334</v>
      </c>
      <c r="C338" s="15" t="inlineStr">
        <is>
          <t xml:space="preserve">Old Testament</t>
        </is>
      </c>
      <c r="D338" s="15">
        <v>12</v>
      </c>
      <c r="E338" s="15" t="inlineStr">
        <is>
          <t xml:space="preserve">2 Kings</t>
        </is>
      </c>
      <c r="F338" s="15">
        <v>21</v>
      </c>
      <c r="G338" s="15" t="inlineStr">
        <is>
          <t xml:space="preserve">v0.3</t>
        </is>
      </c>
      <c r="H338" s="15" t="inlineStr">
        <is>
          <t xml:space="preserve">Bible_Journey_Canon_Map_v0_3_2Chronicles_Wisdom_2Kings.xlsx</t>
        </is>
      </c>
      <c r="I338" s="15" t="inlineStr">
        <is>
          <t xml:space="preserve">Chapter Map</t>
        </is>
      </c>
      <c r="J338" s="15" t="inlineStr">
        <is>
          <t xml:space="preserve">CRS-2K-021</t>
        </is>
      </c>
      <c r="K338" s="15"/>
      <c r="L338" s="10" t="inlineStr">
        <is>
          <t xml:space="preserve">Mapped</t>
        </is>
      </c>
      <c r="M338" s="15" t="inlineStr">
        <is>
          <t xml:space="preserve">Kings' account paired with Chronicles' separate Manasseh narrative; preserve the distinct portrayal.</t>
        </is>
      </c>
      <c r="N338" s="15"/>
      <c r="O338" s="15">
        <v>1</v>
      </c>
      <c r="P338" s="10" t="str">
        <f>IF(L338="MISSING","MISSING",IF(O338=1,"PASS","DUPLICATE"))</f>
        <v>PASS</v>
      </c>
    </row>
    <row r="339" ht="22" customHeight="1">
      <c r="A339" s="15" t="inlineStr">
        <is>
          <t xml:space="preserve">2 Kings 22</t>
        </is>
      </c>
      <c r="B339" s="15">
        <v>335</v>
      </c>
      <c r="C339" s="15" t="inlineStr">
        <is>
          <t xml:space="preserve">Old Testament</t>
        </is>
      </c>
      <c r="D339" s="15">
        <v>12</v>
      </c>
      <c r="E339" s="15" t="inlineStr">
        <is>
          <t xml:space="preserve">2 Kings</t>
        </is>
      </c>
      <c r="F339" s="15">
        <v>22</v>
      </c>
      <c r="G339" s="15" t="inlineStr">
        <is>
          <t xml:space="preserve">v0.3</t>
        </is>
      </c>
      <c r="H339" s="15" t="inlineStr">
        <is>
          <t xml:space="preserve">Bible_Journey_Canon_Map_v0_3_2Chronicles_Wisdom_2Kings.xlsx</t>
        </is>
      </c>
      <c r="I339" s="15" t="inlineStr">
        <is>
          <t xml:space="preserve">Chapter Map</t>
        </is>
      </c>
      <c r="J339" s="15" t="inlineStr">
        <is>
          <t xml:space="preserve">CRS-2K-022</t>
        </is>
      </c>
      <c r="K339" s="15"/>
      <c r="L339" s="10" t="inlineStr">
        <is>
          <t xml:space="preserve">Mapped</t>
        </is>
      </c>
      <c r="M339" s="15" t="inlineStr">
        <is>
          <t xml:space="preserve">Pair with 2 Chronicles 34; retain account-level distinctions.</t>
        </is>
      </c>
      <c r="N339" s="15"/>
      <c r="O339" s="15">
        <v>1</v>
      </c>
      <c r="P339" s="10" t="str">
        <f>IF(L339="MISSING","MISSING",IF(O339=1,"PASS","DUPLICATE"))</f>
        <v>PASS</v>
      </c>
    </row>
    <row r="340" ht="22" customHeight="1">
      <c r="A340" s="15" t="inlineStr">
        <is>
          <t xml:space="preserve">2 Kings 23</t>
        </is>
      </c>
      <c r="B340" s="15">
        <v>336</v>
      </c>
      <c r="C340" s="15" t="inlineStr">
        <is>
          <t xml:space="preserve">Old Testament</t>
        </is>
      </c>
      <c r="D340" s="15">
        <v>12</v>
      </c>
      <c r="E340" s="15" t="inlineStr">
        <is>
          <t xml:space="preserve">2 Kings</t>
        </is>
      </c>
      <c r="F340" s="15">
        <v>23</v>
      </c>
      <c r="G340" s="15" t="inlineStr">
        <is>
          <t xml:space="preserve">v0.3</t>
        </is>
      </c>
      <c r="H340" s="15" t="inlineStr">
        <is>
          <t xml:space="preserve">Bible_Journey_Canon_Map_v0_3_2Chronicles_Wisdom_2Kings.xlsx</t>
        </is>
      </c>
      <c r="I340" s="15" t="inlineStr">
        <is>
          <t xml:space="preserve">Chapter Map</t>
        </is>
      </c>
      <c r="J340" s="15" t="inlineStr">
        <is>
          <t xml:space="preserve">CRS-2K-023 / CRS-2K-024</t>
        </is>
      </c>
      <c r="K340" s="15"/>
      <c r="L340" s="10" t="inlineStr">
        <is>
          <t xml:space="preserve">Mapped with scene split</t>
        </is>
      </c>
      <c r="M340" s="15" t="inlineStr">
        <is>
          <t xml:space="preserve">2 Kings 23:1-30 belongs to CRS-2K-023; 2 Kings 23:31-37 belongs to CRS-2K-024.</t>
        </is>
      </c>
      <c r="N340" s="15"/>
      <c r="O340" s="15">
        <v>1</v>
      </c>
      <c r="P340" s="10" t="str">
        <f>IF(L340="MISSING","MISSING",IF(O340=1,"PASS","DUPLICATE"))</f>
        <v>PASS</v>
      </c>
    </row>
    <row r="341" ht="22" customHeight="1">
      <c r="A341" s="15" t="inlineStr">
        <is>
          <t xml:space="preserve">2 Kings 24</t>
        </is>
      </c>
      <c r="B341" s="15">
        <v>337</v>
      </c>
      <c r="C341" s="15" t="inlineStr">
        <is>
          <t xml:space="preserve">Old Testament</t>
        </is>
      </c>
      <c r="D341" s="15">
        <v>12</v>
      </c>
      <c r="E341" s="15" t="inlineStr">
        <is>
          <t xml:space="preserve">2 Kings</t>
        </is>
      </c>
      <c r="F341" s="15">
        <v>24</v>
      </c>
      <c r="G341" s="15" t="inlineStr">
        <is>
          <t xml:space="preserve">v0.3</t>
        </is>
      </c>
      <c r="H341" s="15" t="inlineStr">
        <is>
          <t xml:space="preserve">Bible_Journey_Canon_Map_v0_3_2Chronicles_Wisdom_2Kings.xlsx</t>
        </is>
      </c>
      <c r="I341" s="15" t="inlineStr">
        <is>
          <t xml:space="preserve">Chapter Map</t>
        </is>
      </c>
      <c r="J341" s="15" t="inlineStr">
        <is>
          <t xml:space="preserve">CRS-2K-024</t>
        </is>
      </c>
      <c r="K341" s="15"/>
      <c r="L341" s="10" t="inlineStr">
        <is>
          <t xml:space="preserve">Mapped</t>
        </is>
      </c>
      <c r="M341" s="15" t="inlineStr">
        <is>
          <t xml:space="preserve">Pair with 2 Chronicles 36:1-21. Keep Cyrus material in a separate bridge set.</t>
        </is>
      </c>
      <c r="N341" s="15"/>
      <c r="O341" s="15">
        <v>1</v>
      </c>
      <c r="P341" s="10" t="str">
        <f>IF(L341="MISSING","MISSING",IF(O341=1,"PASS","DUPLICATE"))</f>
        <v>PASS</v>
      </c>
    </row>
    <row r="342" ht="22" customHeight="1">
      <c r="A342" s="15" t="inlineStr">
        <is>
          <t xml:space="preserve">2 Kings 25</t>
        </is>
      </c>
      <c r="B342" s="15">
        <v>338</v>
      </c>
      <c r="C342" s="15" t="inlineStr">
        <is>
          <t xml:space="preserve">Old Testament</t>
        </is>
      </c>
      <c r="D342" s="15">
        <v>12</v>
      </c>
      <c r="E342" s="15" t="inlineStr">
        <is>
          <t xml:space="preserve">2 Kings</t>
        </is>
      </c>
      <c r="F342" s="15">
        <v>25</v>
      </c>
      <c r="G342" s="15" t="inlineStr">
        <is>
          <t xml:space="preserve">v0.3</t>
        </is>
      </c>
      <c r="H342" s="15" t="inlineStr">
        <is>
          <t xml:space="preserve">Bible_Journey_Canon_Map_v0_3_2Chronicles_Wisdom_2Kings.xlsx</t>
        </is>
      </c>
      <c r="I342" s="15" t="inlineStr">
        <is>
          <t xml:space="preserve">Chapter Map</t>
        </is>
      </c>
      <c r="J342" s="15" t="inlineStr">
        <is>
          <t xml:space="preserve">CRS-2K-025</t>
        </is>
      </c>
      <c r="K342" s="15"/>
      <c r="L342" s="10" t="inlineStr">
        <is>
          <t xml:space="preserve">Mapped</t>
        </is>
      </c>
      <c r="M342" s="15" t="inlineStr">
        <is>
          <t xml:space="preserve">Final 2 Kings account; 2 Chronicles 36:22-23 creates a canonical bridge to Cyrus / Ezra.</t>
        </is>
      </c>
      <c r="N342" s="15"/>
      <c r="O342" s="15">
        <v>1</v>
      </c>
      <c r="P342" s="10" t="str">
        <f>IF(L342="MISSING","MISSING",IF(O342=1,"PASS","DUPLICATE"))</f>
        <v>PASS</v>
      </c>
    </row>
    <row r="343" ht="22" customHeight="1">
      <c r="A343" s="15" t="inlineStr">
        <is>
          <t xml:space="preserve">1 Chronicles 1</t>
        </is>
      </c>
      <c r="B343" s="15">
        <v>339</v>
      </c>
      <c r="C343" s="15" t="inlineStr">
        <is>
          <t xml:space="preserve">Old Testament</t>
        </is>
      </c>
      <c r="D343" s="15">
        <v>13</v>
      </c>
      <c r="E343" s="15" t="inlineStr">
        <is>
          <t xml:space="preserve">1 Chronicles</t>
        </is>
      </c>
      <c r="F343" s="15">
        <v>1</v>
      </c>
      <c r="G343" s="15" t="inlineStr">
        <is>
          <t xml:space="preserve">v0.2</t>
        </is>
      </c>
      <c r="H343" s="15" t="inlineStr">
        <is>
          <t xml:space="preserve">Bible_Journey_Canon_Map_v0_2_Chronicles_Psalms_Job_1Kings.xlsx</t>
        </is>
      </c>
      <c r="I343" s="15" t="inlineStr">
        <is>
          <t xml:space="preserve">Chapter Map</t>
        </is>
      </c>
      <c r="J343" s="15" t="inlineStr">
        <is>
          <t xml:space="preserve">CRS-1CH-001</t>
        </is>
      </c>
      <c r="K343" s="15"/>
      <c r="L343" s="10" t="inlineStr">
        <is>
          <t xml:space="preserve">Mapped</t>
        </is>
      </c>
      <c r="M343" s="15" t="inlineStr">
        <is>
          <t xml:space="preserve">Retrospective genealogy; not a single historical event.</t>
        </is>
      </c>
      <c r="N343" s="15"/>
      <c r="O343" s="15">
        <v>1</v>
      </c>
      <c r="P343" s="10" t="str">
        <f>IF(L343="MISSING","MISSING",IF(O343=1,"PASS","DUPLICATE"))</f>
        <v>PASS</v>
      </c>
    </row>
    <row r="344" ht="22" customHeight="1">
      <c r="A344" s="15" t="inlineStr">
        <is>
          <t xml:space="preserve">1 Chronicles 2</t>
        </is>
      </c>
      <c r="B344" s="15">
        <v>340</v>
      </c>
      <c r="C344" s="15" t="inlineStr">
        <is>
          <t xml:space="preserve">Old Testament</t>
        </is>
      </c>
      <c r="D344" s="15">
        <v>13</v>
      </c>
      <c r="E344" s="15" t="inlineStr">
        <is>
          <t xml:space="preserve">1 Chronicles</t>
        </is>
      </c>
      <c r="F344" s="15">
        <v>2</v>
      </c>
      <c r="G344" s="15" t="inlineStr">
        <is>
          <t xml:space="preserve">v0.2</t>
        </is>
      </c>
      <c r="H344" s="15" t="inlineStr">
        <is>
          <t xml:space="preserve">Bible_Journey_Canon_Map_v0_2_Chronicles_Psalms_Job_1Kings.xlsx</t>
        </is>
      </c>
      <c r="I344" s="15" t="inlineStr">
        <is>
          <t xml:space="preserve">Chapter Map</t>
        </is>
      </c>
      <c r="J344" s="15" t="inlineStr">
        <is>
          <t xml:space="preserve">CRS-1CH-001</t>
        </is>
      </c>
      <c r="K344" s="15"/>
      <c r="L344" s="10" t="inlineStr">
        <is>
          <t xml:space="preserve">Mapped</t>
        </is>
      </c>
      <c r="M344" s="15" t="inlineStr">
        <is>
          <t xml:space="preserve">Retrospective genealogy; not a single historical event.</t>
        </is>
      </c>
      <c r="N344" s="15"/>
      <c r="O344" s="15">
        <v>1</v>
      </c>
      <c r="P344" s="10" t="str">
        <f>IF(L344="MISSING","MISSING",IF(O344=1,"PASS","DUPLICATE"))</f>
        <v>PASS</v>
      </c>
    </row>
    <row r="345" ht="22" customHeight="1">
      <c r="A345" s="15" t="inlineStr">
        <is>
          <t xml:space="preserve">1 Chronicles 3</t>
        </is>
      </c>
      <c r="B345" s="15">
        <v>341</v>
      </c>
      <c r="C345" s="15" t="inlineStr">
        <is>
          <t xml:space="preserve">Old Testament</t>
        </is>
      </c>
      <c r="D345" s="15">
        <v>13</v>
      </c>
      <c r="E345" s="15" t="inlineStr">
        <is>
          <t xml:space="preserve">1 Chronicles</t>
        </is>
      </c>
      <c r="F345" s="15">
        <v>3</v>
      </c>
      <c r="G345" s="15" t="inlineStr">
        <is>
          <t xml:space="preserve">v0.2</t>
        </is>
      </c>
      <c r="H345" s="15" t="inlineStr">
        <is>
          <t xml:space="preserve">Bible_Journey_Canon_Map_v0_2_Chronicles_Psalms_Job_1Kings.xlsx</t>
        </is>
      </c>
      <c r="I345" s="15" t="inlineStr">
        <is>
          <t xml:space="preserve">Chapter Map</t>
        </is>
      </c>
      <c r="J345" s="15" t="inlineStr">
        <is>
          <t xml:space="preserve">CRS-1CH-002</t>
        </is>
      </c>
      <c r="K345" s="15"/>
      <c r="L345" s="10" t="inlineStr">
        <is>
          <t xml:space="preserve">Mapped</t>
        </is>
      </c>
      <c r="M345" s="15" t="inlineStr">
        <is>
          <t xml:space="preserve">Retrospective genealogy with Davidic emphasis.</t>
        </is>
      </c>
      <c r="N345" s="15"/>
      <c r="O345" s="15">
        <v>1</v>
      </c>
      <c r="P345" s="10" t="str">
        <f>IF(L345="MISSING","MISSING",IF(O345=1,"PASS","DUPLICATE"))</f>
        <v>PASS</v>
      </c>
    </row>
    <row r="346" ht="22" customHeight="1">
      <c r="A346" s="15" t="inlineStr">
        <is>
          <t xml:space="preserve">1 Chronicles 4</t>
        </is>
      </c>
      <c r="B346" s="15">
        <v>342</v>
      </c>
      <c r="C346" s="15" t="inlineStr">
        <is>
          <t xml:space="preserve">Old Testament</t>
        </is>
      </c>
      <c r="D346" s="15">
        <v>13</v>
      </c>
      <c r="E346" s="15" t="inlineStr">
        <is>
          <t xml:space="preserve">1 Chronicles</t>
        </is>
      </c>
      <c r="F346" s="15">
        <v>4</v>
      </c>
      <c r="G346" s="15" t="inlineStr">
        <is>
          <t xml:space="preserve">v0.2</t>
        </is>
      </c>
      <c r="H346" s="15" t="inlineStr">
        <is>
          <t xml:space="preserve">Bible_Journey_Canon_Map_v0_2_Chronicles_Psalms_Job_1Kings.xlsx</t>
        </is>
      </c>
      <c r="I346" s="15" t="inlineStr">
        <is>
          <t xml:space="preserve">Chapter Map</t>
        </is>
      </c>
      <c r="J346" s="15" t="inlineStr">
        <is>
          <t xml:space="preserve">CRS-1CH-002</t>
        </is>
      </c>
      <c r="K346" s="15"/>
      <c r="L346" s="10" t="inlineStr">
        <is>
          <t xml:space="preserve">Mapped</t>
        </is>
      </c>
      <c r="M346" s="15" t="inlineStr">
        <is>
          <t xml:space="preserve">Retrospective genealogy with Davidic emphasis.</t>
        </is>
      </c>
      <c r="N346" s="15"/>
      <c r="O346" s="15">
        <v>1</v>
      </c>
      <c r="P346" s="10" t="str">
        <f>IF(L346="MISSING","MISSING",IF(O346=1,"PASS","DUPLICATE"))</f>
        <v>PASS</v>
      </c>
    </row>
    <row r="347" ht="22" customHeight="1">
      <c r="A347" s="15" t="inlineStr">
        <is>
          <t xml:space="preserve">1 Chronicles 5</t>
        </is>
      </c>
      <c r="B347" s="15">
        <v>343</v>
      </c>
      <c r="C347" s="15" t="inlineStr">
        <is>
          <t xml:space="preserve">Old Testament</t>
        </is>
      </c>
      <c r="D347" s="15">
        <v>13</v>
      </c>
      <c r="E347" s="15" t="inlineStr">
        <is>
          <t xml:space="preserve">1 Chronicles</t>
        </is>
      </c>
      <c r="F347" s="15">
        <v>5</v>
      </c>
      <c r="G347" s="15" t="inlineStr">
        <is>
          <t xml:space="preserve">v0.2</t>
        </is>
      </c>
      <c r="H347" s="15" t="inlineStr">
        <is>
          <t xml:space="preserve">Bible_Journey_Canon_Map_v0_2_Chronicles_Psalms_Job_1Kings.xlsx</t>
        </is>
      </c>
      <c r="I347" s="15" t="inlineStr">
        <is>
          <t xml:space="preserve">Chapter Map</t>
        </is>
      </c>
      <c r="J347" s="15" t="inlineStr">
        <is>
          <t xml:space="preserve">CRS-1CH-003</t>
        </is>
      </c>
      <c r="K347" s="15"/>
      <c r="L347" s="10" t="inlineStr">
        <is>
          <t xml:space="preserve">Mapped</t>
        </is>
      </c>
      <c r="M347" s="15" t="inlineStr">
        <is>
          <t xml:space="preserve">Retrospective tribal material; no single event placement.</t>
        </is>
      </c>
      <c r="N347" s="15"/>
      <c r="O347" s="15">
        <v>1</v>
      </c>
      <c r="P347" s="10" t="str">
        <f>IF(L347="MISSING","MISSING",IF(O347=1,"PASS","DUPLICATE"))</f>
        <v>PASS</v>
      </c>
    </row>
    <row r="348" ht="22" customHeight="1">
      <c r="A348" s="15" t="inlineStr">
        <is>
          <t xml:space="preserve">1 Chronicles 6</t>
        </is>
      </c>
      <c r="B348" s="15">
        <v>344</v>
      </c>
      <c r="C348" s="15" t="inlineStr">
        <is>
          <t xml:space="preserve">Old Testament</t>
        </is>
      </c>
      <c r="D348" s="15">
        <v>13</v>
      </c>
      <c r="E348" s="15" t="inlineStr">
        <is>
          <t xml:space="preserve">1 Chronicles</t>
        </is>
      </c>
      <c r="F348" s="15">
        <v>6</v>
      </c>
      <c r="G348" s="15" t="inlineStr">
        <is>
          <t xml:space="preserve">v0.2</t>
        </is>
      </c>
      <c r="H348" s="15" t="inlineStr">
        <is>
          <t xml:space="preserve">Bible_Journey_Canon_Map_v0_2_Chronicles_Psalms_Job_1Kings.xlsx</t>
        </is>
      </c>
      <c r="I348" s="15" t="inlineStr">
        <is>
          <t xml:space="preserve">Chapter Map</t>
        </is>
      </c>
      <c r="J348" s="15" t="inlineStr">
        <is>
          <t xml:space="preserve">CRS-1CH-004</t>
        </is>
      </c>
      <c r="K348" s="15"/>
      <c r="L348" s="10" t="inlineStr">
        <is>
          <t xml:space="preserve">Mapped</t>
        </is>
      </c>
      <c r="M348" s="15" t="inlineStr">
        <is>
          <t xml:space="preserve">Retrospective Levitical genealogy.</t>
        </is>
      </c>
      <c r="N348" s="15"/>
      <c r="O348" s="15">
        <v>1</v>
      </c>
      <c r="P348" s="10" t="str">
        <f>IF(L348="MISSING","MISSING",IF(O348=1,"PASS","DUPLICATE"))</f>
        <v>PASS</v>
      </c>
    </row>
    <row r="349" ht="22" customHeight="1">
      <c r="A349" s="15" t="inlineStr">
        <is>
          <t xml:space="preserve">1 Chronicles 7</t>
        </is>
      </c>
      <c r="B349" s="15">
        <v>345</v>
      </c>
      <c r="C349" s="15" t="inlineStr">
        <is>
          <t xml:space="preserve">Old Testament</t>
        </is>
      </c>
      <c r="D349" s="15">
        <v>13</v>
      </c>
      <c r="E349" s="15" t="inlineStr">
        <is>
          <t xml:space="preserve">1 Chronicles</t>
        </is>
      </c>
      <c r="F349" s="15">
        <v>7</v>
      </c>
      <c r="G349" s="15" t="inlineStr">
        <is>
          <t xml:space="preserve">v0.2</t>
        </is>
      </c>
      <c r="H349" s="15" t="inlineStr">
        <is>
          <t xml:space="preserve">Bible_Journey_Canon_Map_v0_2_Chronicles_Psalms_Job_1Kings.xlsx</t>
        </is>
      </c>
      <c r="I349" s="15" t="inlineStr">
        <is>
          <t xml:space="preserve">Chapter Map</t>
        </is>
      </c>
      <c r="J349" s="15" t="inlineStr">
        <is>
          <t xml:space="preserve">CRS-1CH-005</t>
        </is>
      </c>
      <c r="K349" s="15"/>
      <c r="L349" s="10" t="inlineStr">
        <is>
          <t xml:space="preserve">Mapped</t>
        </is>
      </c>
      <c r="M349" s="15" t="inlineStr">
        <is>
          <t xml:space="preserve">Retrospective genealogy; not a sequential narrative event.</t>
        </is>
      </c>
      <c r="N349" s="15"/>
      <c r="O349" s="15">
        <v>1</v>
      </c>
      <c r="P349" s="10" t="str">
        <f>IF(L349="MISSING","MISSING",IF(O349=1,"PASS","DUPLICATE"))</f>
        <v>PASS</v>
      </c>
    </row>
    <row r="350" ht="22" customHeight="1">
      <c r="A350" s="15" t="inlineStr">
        <is>
          <t xml:space="preserve">1 Chronicles 8</t>
        </is>
      </c>
      <c r="B350" s="15">
        <v>346</v>
      </c>
      <c r="C350" s="15" t="inlineStr">
        <is>
          <t xml:space="preserve">Old Testament</t>
        </is>
      </c>
      <c r="D350" s="15">
        <v>13</v>
      </c>
      <c r="E350" s="15" t="inlineStr">
        <is>
          <t xml:space="preserve">1 Chronicles</t>
        </is>
      </c>
      <c r="F350" s="15">
        <v>8</v>
      </c>
      <c r="G350" s="15" t="inlineStr">
        <is>
          <t xml:space="preserve">v0.2</t>
        </is>
      </c>
      <c r="H350" s="15" t="inlineStr">
        <is>
          <t xml:space="preserve">Bible_Journey_Canon_Map_v0_2_Chronicles_Psalms_Job_1Kings.xlsx</t>
        </is>
      </c>
      <c r="I350" s="15" t="inlineStr">
        <is>
          <t xml:space="preserve">Chapter Map</t>
        </is>
      </c>
      <c r="J350" s="15" t="inlineStr">
        <is>
          <t xml:space="preserve">CRS-1CH-005</t>
        </is>
      </c>
      <c r="K350" s="15"/>
      <c r="L350" s="10" t="inlineStr">
        <is>
          <t xml:space="preserve">Mapped</t>
        </is>
      </c>
      <c r="M350" s="15" t="inlineStr">
        <is>
          <t xml:space="preserve">Retrospective genealogy; not a sequential narrative event.</t>
        </is>
      </c>
      <c r="N350" s="15"/>
      <c r="O350" s="15">
        <v>1</v>
      </c>
      <c r="P350" s="10" t="str">
        <f>IF(L350="MISSING","MISSING",IF(O350=1,"PASS","DUPLICATE"))</f>
        <v>PASS</v>
      </c>
    </row>
    <row r="351" ht="22" customHeight="1">
      <c r="A351" s="15" t="inlineStr">
        <is>
          <t xml:space="preserve">1 Chronicles 9</t>
        </is>
      </c>
      <c r="B351" s="15">
        <v>347</v>
      </c>
      <c r="C351" s="15" t="inlineStr">
        <is>
          <t xml:space="preserve">Old Testament</t>
        </is>
      </c>
      <c r="D351" s="15">
        <v>13</v>
      </c>
      <c r="E351" s="15" t="inlineStr">
        <is>
          <t xml:space="preserve">1 Chronicles</t>
        </is>
      </c>
      <c r="F351" s="15">
        <v>9</v>
      </c>
      <c r="G351" s="15" t="inlineStr">
        <is>
          <t xml:space="preserve">v0.2</t>
        </is>
      </c>
      <c r="H351" s="15" t="inlineStr">
        <is>
          <t xml:space="preserve">Bible_Journey_Canon_Map_v0_2_Chronicles_Psalms_Job_1Kings.xlsx</t>
        </is>
      </c>
      <c r="I351" s="15" t="inlineStr">
        <is>
          <t xml:space="preserve">Chapter Map</t>
        </is>
      </c>
      <c r="J351" s="15" t="inlineStr">
        <is>
          <t xml:space="preserve">CRS-1CH-006</t>
        </is>
      </c>
      <c r="K351" s="15"/>
      <c r="L351" s="10" t="inlineStr">
        <is>
          <t xml:space="preserve">Mapped</t>
        </is>
      </c>
      <c r="M351" s="15" t="inlineStr">
        <is>
          <t xml:space="preserve">Postexilic retrospective framing; no David-era event placement.</t>
        </is>
      </c>
      <c r="N351" s="15"/>
      <c r="O351" s="15">
        <v>1</v>
      </c>
      <c r="P351" s="10" t="str">
        <f>IF(L351="MISSING","MISSING",IF(O351=1,"PASS","DUPLICATE"))</f>
        <v>PASS</v>
      </c>
    </row>
    <row r="352" ht="22" customHeight="1">
      <c r="A352" s="15" t="inlineStr">
        <is>
          <t xml:space="preserve">1 Chronicles 10</t>
        </is>
      </c>
      <c r="B352" s="15">
        <v>348</v>
      </c>
      <c r="C352" s="15" t="inlineStr">
        <is>
          <t xml:space="preserve">Old Testament</t>
        </is>
      </c>
      <c r="D352" s="15">
        <v>13</v>
      </c>
      <c r="E352" s="15" t="inlineStr">
        <is>
          <t xml:space="preserve">1 Chronicles</t>
        </is>
      </c>
      <c r="F352" s="15">
        <v>10</v>
      </c>
      <c r="G352" s="15" t="inlineStr">
        <is>
          <t xml:space="preserve">v0.2</t>
        </is>
      </c>
      <c r="H352" s="15" t="inlineStr">
        <is>
          <t xml:space="preserve">Bible_Journey_Canon_Map_v0_2_Chronicles_Psalms_Job_1Kings.xlsx</t>
        </is>
      </c>
      <c r="I352" s="15" t="inlineStr">
        <is>
          <t xml:space="preserve">Chapter Map</t>
        </is>
      </c>
      <c r="J352" s="15" t="inlineStr">
        <is>
          <t xml:space="preserve">CRS-1CH-007</t>
        </is>
      </c>
      <c r="K352" s="15"/>
      <c r="L352" s="10" t="inlineStr">
        <is>
          <t xml:space="preserve">Mapped</t>
        </is>
      </c>
      <c r="M352" s="15" t="inlineStr">
        <is>
          <t xml:space="preserve">Parallel account to 1 Samuel 31.</t>
        </is>
      </c>
      <c r="N352" s="15"/>
      <c r="O352" s="15">
        <v>1</v>
      </c>
      <c r="P352" s="10" t="str">
        <f>IF(L352="MISSING","MISSING",IF(O352=1,"PASS","DUPLICATE"))</f>
        <v>PASS</v>
      </c>
    </row>
    <row r="353" ht="22" customHeight="1">
      <c r="A353" s="15" t="inlineStr">
        <is>
          <t xml:space="preserve">1 Chronicles 11</t>
        </is>
      </c>
      <c r="B353" s="15">
        <v>349</v>
      </c>
      <c r="C353" s="15" t="inlineStr">
        <is>
          <t xml:space="preserve">Old Testament</t>
        </is>
      </c>
      <c r="D353" s="15">
        <v>13</v>
      </c>
      <c r="E353" s="15" t="inlineStr">
        <is>
          <t xml:space="preserve">1 Chronicles</t>
        </is>
      </c>
      <c r="F353" s="15">
        <v>11</v>
      </c>
      <c r="G353" s="15" t="inlineStr">
        <is>
          <t xml:space="preserve">v0.2</t>
        </is>
      </c>
      <c r="H353" s="15" t="inlineStr">
        <is>
          <t xml:space="preserve">Bible_Journey_Canon_Map_v0_2_Chronicles_Psalms_Job_1Kings.xlsx</t>
        </is>
      </c>
      <c r="I353" s="15" t="inlineStr">
        <is>
          <t xml:space="preserve">Chapter Map</t>
        </is>
      </c>
      <c r="J353" s="15" t="inlineStr">
        <is>
          <t xml:space="preserve">CRS-1CH-008</t>
        </is>
      </c>
      <c r="K353" s="15"/>
      <c r="L353" s="10" t="inlineStr">
        <is>
          <t xml:space="preserve">Mapped</t>
        </is>
      </c>
      <c r="M353" s="15" t="inlineStr">
        <is>
          <t xml:space="preserve">Parallel account to 2 Samuel 5, with additional material on David's warriors.</t>
        </is>
      </c>
      <c r="N353" s="15"/>
      <c r="O353" s="15">
        <v>1</v>
      </c>
      <c r="P353" s="10" t="str">
        <f>IF(L353="MISSING","MISSING",IF(O353=1,"PASS","DUPLICATE"))</f>
        <v>PASS</v>
      </c>
    </row>
    <row r="354" ht="22" customHeight="1">
      <c r="A354" s="15" t="inlineStr">
        <is>
          <t xml:space="preserve">1 Chronicles 12</t>
        </is>
      </c>
      <c r="B354" s="15">
        <v>350</v>
      </c>
      <c r="C354" s="15" t="inlineStr">
        <is>
          <t xml:space="preserve">Old Testament</t>
        </is>
      </c>
      <c r="D354" s="15">
        <v>13</v>
      </c>
      <c r="E354" s="15" t="inlineStr">
        <is>
          <t xml:space="preserve">1 Chronicles</t>
        </is>
      </c>
      <c r="F354" s="15">
        <v>12</v>
      </c>
      <c r="G354" s="15" t="inlineStr">
        <is>
          <t xml:space="preserve">v0.2</t>
        </is>
      </c>
      <c r="H354" s="15" t="inlineStr">
        <is>
          <t xml:space="preserve">Bible_Journey_Canon_Map_v0_2_Chronicles_Psalms_Job_1Kings.xlsx</t>
        </is>
      </c>
      <c r="I354" s="15" t="inlineStr">
        <is>
          <t xml:space="preserve">Chapter Map</t>
        </is>
      </c>
      <c r="J354" s="15" t="inlineStr">
        <is>
          <t xml:space="preserve">CRS-1CH-009</t>
        </is>
      </c>
      <c r="K354" s="15"/>
      <c r="L354" s="10" t="inlineStr">
        <is>
          <t xml:space="preserve">Mapped</t>
        </is>
      </c>
      <c r="M354" s="15" t="inlineStr">
        <is>
          <t xml:space="preserve">Composite retrospective of supporters; broad Davidic window.</t>
        </is>
      </c>
      <c r="N354" s="15"/>
      <c r="O354" s="15">
        <v>1</v>
      </c>
      <c r="P354" s="10" t="str">
        <f>IF(L354="MISSING","MISSING",IF(O354=1,"PASS","DUPLICATE"))</f>
        <v>PASS</v>
      </c>
    </row>
    <row r="355" ht="22" customHeight="1">
      <c r="A355" s="15" t="inlineStr">
        <is>
          <t xml:space="preserve">1 Chronicles 13</t>
        </is>
      </c>
      <c r="B355" s="15">
        <v>351</v>
      </c>
      <c r="C355" s="15" t="inlineStr">
        <is>
          <t xml:space="preserve">Old Testament</t>
        </is>
      </c>
      <c r="D355" s="15">
        <v>13</v>
      </c>
      <c r="E355" s="15" t="inlineStr">
        <is>
          <t xml:space="preserve">1 Chronicles</t>
        </is>
      </c>
      <c r="F355" s="15">
        <v>13</v>
      </c>
      <c r="G355" s="15" t="inlineStr">
        <is>
          <t xml:space="preserve">v0.2</t>
        </is>
      </c>
      <c r="H355" s="15" t="inlineStr">
        <is>
          <t xml:space="preserve">Bible_Journey_Canon_Map_v0_2_Chronicles_Psalms_Job_1Kings.xlsx</t>
        </is>
      </c>
      <c r="I355" s="15" t="inlineStr">
        <is>
          <t xml:space="preserve">Chapter Map</t>
        </is>
      </c>
      <c r="J355" s="15" t="inlineStr">
        <is>
          <t xml:space="preserve">CRS-1CH-010</t>
        </is>
      </c>
      <c r="K355" s="15"/>
      <c r="L355" s="10" t="inlineStr">
        <is>
          <t xml:space="preserve">Mapped</t>
        </is>
      </c>
      <c r="M355" s="15" t="inlineStr">
        <is>
          <t xml:space="preserve">Parallel account to 2 Samuel 6:1-11; v0.1 requires verse-level split.</t>
        </is>
      </c>
      <c r="N355" s="15"/>
      <c r="O355" s="15">
        <v>1</v>
      </c>
      <c r="P355" s="10" t="str">
        <f>IF(L355="MISSING","MISSING",IF(O355=1,"PASS","DUPLICATE"))</f>
        <v>PASS</v>
      </c>
    </row>
    <row r="356" ht="22" customHeight="1">
      <c r="A356" s="15" t="inlineStr">
        <is>
          <t xml:space="preserve">1 Chronicles 14</t>
        </is>
      </c>
      <c r="B356" s="15">
        <v>352</v>
      </c>
      <c r="C356" s="15" t="inlineStr">
        <is>
          <t xml:space="preserve">Old Testament</t>
        </is>
      </c>
      <c r="D356" s="15">
        <v>13</v>
      </c>
      <c r="E356" s="15" t="inlineStr">
        <is>
          <t xml:space="preserve">1 Chronicles</t>
        </is>
      </c>
      <c r="F356" s="15">
        <v>14</v>
      </c>
      <c r="G356" s="15" t="inlineStr">
        <is>
          <t xml:space="preserve">v0.2</t>
        </is>
      </c>
      <c r="H356" s="15" t="inlineStr">
        <is>
          <t xml:space="preserve">Bible_Journey_Canon_Map_v0_2_Chronicles_Psalms_Job_1Kings.xlsx</t>
        </is>
      </c>
      <c r="I356" s="15" t="inlineStr">
        <is>
          <t xml:space="preserve">Chapter Map</t>
        </is>
      </c>
      <c r="J356" s="15" t="inlineStr">
        <is>
          <t xml:space="preserve">CRS-1CH-011</t>
        </is>
      </c>
      <c r="K356" s="15"/>
      <c r="L356" s="10" t="inlineStr">
        <is>
          <t xml:space="preserve">Mapped</t>
        </is>
      </c>
      <c r="M356" s="15" t="inlineStr">
        <is>
          <t xml:space="preserve">Parallel account to parts of 2 Samuel 5.</t>
        </is>
      </c>
      <c r="N356" s="15"/>
      <c r="O356" s="15">
        <v>1</v>
      </c>
      <c r="P356" s="10" t="str">
        <f>IF(L356="MISSING","MISSING",IF(O356=1,"PASS","DUPLICATE"))</f>
        <v>PASS</v>
      </c>
    </row>
    <row r="357" ht="22" customHeight="1">
      <c r="A357" s="15" t="inlineStr">
        <is>
          <t xml:space="preserve">1 Chronicles 15</t>
        </is>
      </c>
      <c r="B357" s="15">
        <v>353</v>
      </c>
      <c r="C357" s="15" t="inlineStr">
        <is>
          <t xml:space="preserve">Old Testament</t>
        </is>
      </c>
      <c r="D357" s="15">
        <v>13</v>
      </c>
      <c r="E357" s="15" t="inlineStr">
        <is>
          <t xml:space="preserve">1 Chronicles</t>
        </is>
      </c>
      <c r="F357" s="15">
        <v>15</v>
      </c>
      <c r="G357" s="15" t="inlineStr">
        <is>
          <t xml:space="preserve">v0.2</t>
        </is>
      </c>
      <c r="H357" s="15" t="inlineStr">
        <is>
          <t xml:space="preserve">Bible_Journey_Canon_Map_v0_2_Chronicles_Psalms_Job_1Kings.xlsx</t>
        </is>
      </c>
      <c r="I357" s="15" t="inlineStr">
        <is>
          <t xml:space="preserve">Chapter Map</t>
        </is>
      </c>
      <c r="J357" s="15" t="inlineStr">
        <is>
          <t xml:space="preserve">CRS-1CH-012</t>
        </is>
      </c>
      <c r="K357" s="15"/>
      <c r="L357" s="10" t="inlineStr">
        <is>
          <t xml:space="preserve">Mapped</t>
        </is>
      </c>
      <c r="M357" s="15" t="inlineStr">
        <is>
          <t xml:space="preserve">Parallel to successful ark movement; includes unique liturgical content.</t>
        </is>
      </c>
      <c r="N357" s="15"/>
      <c r="O357" s="15">
        <v>1</v>
      </c>
      <c r="P357" s="10" t="str">
        <f>IF(L357="MISSING","MISSING",IF(O357=1,"PASS","DUPLICATE"))</f>
        <v>PASS</v>
      </c>
    </row>
    <row r="358" ht="22" customHeight="1">
      <c r="A358" s="15" t="inlineStr">
        <is>
          <t xml:space="preserve">1 Chronicles 16</t>
        </is>
      </c>
      <c r="B358" s="15">
        <v>354</v>
      </c>
      <c r="C358" s="15" t="inlineStr">
        <is>
          <t xml:space="preserve">Old Testament</t>
        </is>
      </c>
      <c r="D358" s="15">
        <v>13</v>
      </c>
      <c r="E358" s="15" t="inlineStr">
        <is>
          <t xml:space="preserve">1 Chronicles</t>
        </is>
      </c>
      <c r="F358" s="15">
        <v>16</v>
      </c>
      <c r="G358" s="15" t="inlineStr">
        <is>
          <t xml:space="preserve">v0.2</t>
        </is>
      </c>
      <c r="H358" s="15" t="inlineStr">
        <is>
          <t xml:space="preserve">Bible_Journey_Canon_Map_v0_2_Chronicles_Psalms_Job_1Kings.xlsx</t>
        </is>
      </c>
      <c r="I358" s="15" t="inlineStr">
        <is>
          <t xml:space="preserve">Chapter Map</t>
        </is>
      </c>
      <c r="J358" s="15" t="inlineStr">
        <is>
          <t xml:space="preserve">CRS-1CH-012</t>
        </is>
      </c>
      <c r="K358" s="15"/>
      <c r="L358" s="10" t="inlineStr">
        <is>
          <t xml:space="preserve">Mapped</t>
        </is>
      </c>
      <c r="M358" s="15" t="inlineStr">
        <is>
          <t xml:space="preserve">Parallel to successful ark movement; includes unique liturgical content.</t>
        </is>
      </c>
      <c r="N358" s="15"/>
      <c r="O358" s="15">
        <v>1</v>
      </c>
      <c r="P358" s="10" t="str">
        <f>IF(L358="MISSING","MISSING",IF(O358=1,"PASS","DUPLICATE"))</f>
        <v>PASS</v>
      </c>
    </row>
    <row r="359" ht="22" customHeight="1">
      <c r="A359" s="15" t="inlineStr">
        <is>
          <t xml:space="preserve">1 Chronicles 17</t>
        </is>
      </c>
      <c r="B359" s="15">
        <v>355</v>
      </c>
      <c r="C359" s="15" t="inlineStr">
        <is>
          <t xml:space="preserve">Old Testament</t>
        </is>
      </c>
      <c r="D359" s="15">
        <v>13</v>
      </c>
      <c r="E359" s="15" t="inlineStr">
        <is>
          <t xml:space="preserve">1 Chronicles</t>
        </is>
      </c>
      <c r="F359" s="15">
        <v>17</v>
      </c>
      <c r="G359" s="15" t="inlineStr">
        <is>
          <t xml:space="preserve">v0.2</t>
        </is>
      </c>
      <c r="H359" s="15" t="inlineStr">
        <is>
          <t xml:space="preserve">Bible_Journey_Canon_Map_v0_2_Chronicles_Psalms_Job_1Kings.xlsx</t>
        </is>
      </c>
      <c r="I359" s="15" t="inlineStr">
        <is>
          <t xml:space="preserve">Chapter Map</t>
        </is>
      </c>
      <c r="J359" s="15" t="inlineStr">
        <is>
          <t xml:space="preserve">CRS-1CH-013</t>
        </is>
      </c>
      <c r="K359" s="15"/>
      <c r="L359" s="10" t="inlineStr">
        <is>
          <t xml:space="preserve">Mapped</t>
        </is>
      </c>
      <c r="M359" s="15" t="inlineStr">
        <is>
          <t xml:space="preserve">Parallel account to 2 Samuel 7.</t>
        </is>
      </c>
      <c r="N359" s="15"/>
      <c r="O359" s="15">
        <v>1</v>
      </c>
      <c r="P359" s="10" t="str">
        <f>IF(L359="MISSING","MISSING",IF(O359=1,"PASS","DUPLICATE"))</f>
        <v>PASS</v>
      </c>
    </row>
    <row r="360" ht="22" customHeight="1">
      <c r="A360" s="15" t="inlineStr">
        <is>
          <t xml:space="preserve">1 Chronicles 18</t>
        </is>
      </c>
      <c r="B360" s="15">
        <v>356</v>
      </c>
      <c r="C360" s="15" t="inlineStr">
        <is>
          <t xml:space="preserve">Old Testament</t>
        </is>
      </c>
      <c r="D360" s="15">
        <v>13</v>
      </c>
      <c r="E360" s="15" t="inlineStr">
        <is>
          <t xml:space="preserve">1 Chronicles</t>
        </is>
      </c>
      <c r="F360" s="15">
        <v>18</v>
      </c>
      <c r="G360" s="15" t="inlineStr">
        <is>
          <t xml:space="preserve">v0.2</t>
        </is>
      </c>
      <c r="H360" s="15" t="inlineStr">
        <is>
          <t xml:space="preserve">Bible_Journey_Canon_Map_v0_2_Chronicles_Psalms_Job_1Kings.xlsx</t>
        </is>
      </c>
      <c r="I360" s="15" t="inlineStr">
        <is>
          <t xml:space="preserve">Chapter Map</t>
        </is>
      </c>
      <c r="J360" s="15" t="inlineStr">
        <is>
          <t xml:space="preserve">CRS-1CH-014</t>
        </is>
      </c>
      <c r="K360" s="15"/>
      <c r="L360" s="10" t="inlineStr">
        <is>
          <t xml:space="preserve">Mapped</t>
        </is>
      </c>
      <c r="M360" s="15" t="inlineStr">
        <is>
          <t xml:space="preserve">Parallel account to 2 Samuel 8.</t>
        </is>
      </c>
      <c r="N360" s="15"/>
      <c r="O360" s="15">
        <v>1</v>
      </c>
      <c r="P360" s="10" t="str">
        <f>IF(L360="MISSING","MISSING",IF(O360=1,"PASS","DUPLICATE"))</f>
        <v>PASS</v>
      </c>
    </row>
    <row r="361" ht="22" customHeight="1">
      <c r="A361" s="15" t="inlineStr">
        <is>
          <t xml:space="preserve">1 Chronicles 19</t>
        </is>
      </c>
      <c r="B361" s="15">
        <v>357</v>
      </c>
      <c r="C361" s="15" t="inlineStr">
        <is>
          <t xml:space="preserve">Old Testament</t>
        </is>
      </c>
      <c r="D361" s="15">
        <v>13</v>
      </c>
      <c r="E361" s="15" t="inlineStr">
        <is>
          <t xml:space="preserve">1 Chronicles</t>
        </is>
      </c>
      <c r="F361" s="15">
        <v>19</v>
      </c>
      <c r="G361" s="15" t="inlineStr">
        <is>
          <t xml:space="preserve">v0.2</t>
        </is>
      </c>
      <c r="H361" s="15" t="inlineStr">
        <is>
          <t xml:space="preserve">Bible_Journey_Canon_Map_v0_2_Chronicles_Psalms_Job_1Kings.xlsx</t>
        </is>
      </c>
      <c r="I361" s="15" t="inlineStr">
        <is>
          <t xml:space="preserve">Chapter Map</t>
        </is>
      </c>
      <c r="J361" s="15" t="inlineStr">
        <is>
          <t xml:space="preserve">CRS-1CH-015</t>
        </is>
      </c>
      <c r="K361" s="15"/>
      <c r="L361" s="10" t="inlineStr">
        <is>
          <t xml:space="preserve">Mapped</t>
        </is>
      </c>
      <c r="M361" s="15" t="inlineStr">
        <is>
          <t xml:space="preserve">Parallel account to 2 Samuel 10.</t>
        </is>
      </c>
      <c r="N361" s="15"/>
      <c r="O361" s="15">
        <v>1</v>
      </c>
      <c r="P361" s="10" t="str">
        <f>IF(L361="MISSING","MISSING",IF(O361=1,"PASS","DUPLICATE"))</f>
        <v>PASS</v>
      </c>
    </row>
    <row r="362" ht="22" customHeight="1">
      <c r="A362" s="15" t="inlineStr">
        <is>
          <t xml:space="preserve">1 Chronicles 20</t>
        </is>
      </c>
      <c r="B362" s="15">
        <v>358</v>
      </c>
      <c r="C362" s="15" t="inlineStr">
        <is>
          <t xml:space="preserve">Old Testament</t>
        </is>
      </c>
      <c r="D362" s="15">
        <v>13</v>
      </c>
      <c r="E362" s="15" t="inlineStr">
        <is>
          <t xml:space="preserve">1 Chronicles</t>
        </is>
      </c>
      <c r="F362" s="15">
        <v>20</v>
      </c>
      <c r="G362" s="15" t="inlineStr">
        <is>
          <t xml:space="preserve">v0.2</t>
        </is>
      </c>
      <c r="H362" s="15" t="inlineStr">
        <is>
          <t xml:space="preserve">Bible_Journey_Canon_Map_v0_2_Chronicles_Psalms_Job_1Kings.xlsx</t>
        </is>
      </c>
      <c r="I362" s="15" t="inlineStr">
        <is>
          <t xml:space="preserve">Chapter Map</t>
        </is>
      </c>
      <c r="J362" s="15" t="inlineStr">
        <is>
          <t xml:space="preserve">CRS-1CH-016</t>
        </is>
      </c>
      <c r="K362" s="15"/>
      <c r="L362" s="10" t="inlineStr">
        <is>
          <t xml:space="preserve">Mapped</t>
        </is>
      </c>
      <c r="M362" s="15" t="inlineStr">
        <is>
          <t xml:space="preserve">Composite link to 2 Samuel 12:26-31 and 21:18-22.</t>
        </is>
      </c>
      <c r="N362" s="15"/>
      <c r="O362" s="15">
        <v>1</v>
      </c>
      <c r="P362" s="10" t="str">
        <f>IF(L362="MISSING","MISSING",IF(O362=1,"PASS","DUPLICATE"))</f>
        <v>PASS</v>
      </c>
    </row>
    <row r="363" ht="22" customHeight="1">
      <c r="A363" s="15" t="inlineStr">
        <is>
          <t xml:space="preserve">1 Chronicles 21</t>
        </is>
      </c>
      <c r="B363" s="15">
        <v>359</v>
      </c>
      <c r="C363" s="15" t="inlineStr">
        <is>
          <t xml:space="preserve">Old Testament</t>
        </is>
      </c>
      <c r="D363" s="15">
        <v>13</v>
      </c>
      <c r="E363" s="15" t="inlineStr">
        <is>
          <t xml:space="preserve">1 Chronicles</t>
        </is>
      </c>
      <c r="F363" s="15">
        <v>21</v>
      </c>
      <c r="G363" s="15" t="inlineStr">
        <is>
          <t xml:space="preserve">v0.2</t>
        </is>
      </c>
      <c r="H363" s="15" t="inlineStr">
        <is>
          <t xml:space="preserve">Bible_Journey_Canon_Map_v0_2_Chronicles_Psalms_Job_1Kings.xlsx</t>
        </is>
      </c>
      <c r="I363" s="15" t="inlineStr">
        <is>
          <t xml:space="preserve">Chapter Map</t>
        </is>
      </c>
      <c r="J363" s="15" t="inlineStr">
        <is>
          <t xml:space="preserve">CRS-1CH-017</t>
        </is>
      </c>
      <c r="K363" s="15"/>
      <c r="L363" s="10" t="inlineStr">
        <is>
          <t xml:space="preserve">Mapped</t>
        </is>
      </c>
      <c r="M363" s="15" t="inlineStr">
        <is>
          <t xml:space="preserve">Parallel account to 2 Samuel 24; placement debated due to 2 Samuel appendix.</t>
        </is>
      </c>
      <c r="N363" s="15"/>
      <c r="O363" s="15">
        <v>1</v>
      </c>
      <c r="P363" s="10" t="str">
        <f>IF(L363="MISSING","MISSING",IF(O363=1,"PASS","DUPLICATE"))</f>
        <v>PASS</v>
      </c>
    </row>
    <row r="364" ht="22" customHeight="1">
      <c r="A364" s="15" t="inlineStr">
        <is>
          <t xml:space="preserve">1 Chronicles 22</t>
        </is>
      </c>
      <c r="B364" s="15">
        <v>360</v>
      </c>
      <c r="C364" s="15" t="inlineStr">
        <is>
          <t xml:space="preserve">Old Testament</t>
        </is>
      </c>
      <c r="D364" s="15">
        <v>13</v>
      </c>
      <c r="E364" s="15" t="inlineStr">
        <is>
          <t xml:space="preserve">1 Chronicles</t>
        </is>
      </c>
      <c r="F364" s="15">
        <v>22</v>
      </c>
      <c r="G364" s="15" t="inlineStr">
        <is>
          <t xml:space="preserve">v0.2</t>
        </is>
      </c>
      <c r="H364" s="15" t="inlineStr">
        <is>
          <t xml:space="preserve">Bible_Journey_Canon_Map_v0_2_Chronicles_Psalms_Job_1Kings.xlsx</t>
        </is>
      </c>
      <c r="I364" s="15" t="inlineStr">
        <is>
          <t xml:space="preserve">Chapter Map</t>
        </is>
      </c>
      <c r="J364" s="15" t="inlineStr">
        <is>
          <t xml:space="preserve">CRS-1CH-018</t>
        </is>
      </c>
      <c r="K364" s="15"/>
      <c r="L364" s="10" t="inlineStr">
        <is>
          <t xml:space="preserve">Mapped</t>
        </is>
      </c>
      <c r="M364" s="15" t="inlineStr">
        <is>
          <t xml:space="preserve">Chronicles-specific preparation material; broad late-David placement.</t>
        </is>
      </c>
      <c r="N364" s="15"/>
      <c r="O364" s="15">
        <v>1</v>
      </c>
      <c r="P364" s="10" t="str">
        <f>IF(L364="MISSING","MISSING",IF(O364=1,"PASS","DUPLICATE"))</f>
        <v>PASS</v>
      </c>
    </row>
    <row r="365" ht="22" customHeight="1">
      <c r="A365" s="15" t="inlineStr">
        <is>
          <t xml:space="preserve">1 Chronicles 23</t>
        </is>
      </c>
      <c r="B365" s="15">
        <v>361</v>
      </c>
      <c r="C365" s="15" t="inlineStr">
        <is>
          <t xml:space="preserve">Old Testament</t>
        </is>
      </c>
      <c r="D365" s="15">
        <v>13</v>
      </c>
      <c r="E365" s="15" t="inlineStr">
        <is>
          <t xml:space="preserve">1 Chronicles</t>
        </is>
      </c>
      <c r="F365" s="15">
        <v>23</v>
      </c>
      <c r="G365" s="15" t="inlineStr">
        <is>
          <t xml:space="preserve">v0.2</t>
        </is>
      </c>
      <c r="H365" s="15" t="inlineStr">
        <is>
          <t xml:space="preserve">Bible_Journey_Canon_Map_v0_2_Chronicles_Psalms_Job_1Kings.xlsx</t>
        </is>
      </c>
      <c r="I365" s="15" t="inlineStr">
        <is>
          <t xml:space="preserve">Chapter Map</t>
        </is>
      </c>
      <c r="J365" s="15" t="inlineStr">
        <is>
          <t xml:space="preserve">CRS-1CH-019</t>
        </is>
      </c>
      <c r="K365" s="15"/>
      <c r="L365" s="10" t="inlineStr">
        <is>
          <t xml:space="preserve">Mapped</t>
        </is>
      </c>
      <c r="M365" s="15" t="inlineStr">
        <is>
          <t xml:space="preserve">Late-David institutional preparation; internal sequence not necessarily chronological.</t>
        </is>
      </c>
      <c r="N365" s="15"/>
      <c r="O365" s="15">
        <v>1</v>
      </c>
      <c r="P365" s="10" t="str">
        <f>IF(L365="MISSING","MISSING",IF(O365=1,"PASS","DUPLICATE"))</f>
        <v>PASS</v>
      </c>
    </row>
    <row r="366" ht="22" customHeight="1">
      <c r="A366" s="15" t="inlineStr">
        <is>
          <t xml:space="preserve">1 Chronicles 24</t>
        </is>
      </c>
      <c r="B366" s="15">
        <v>362</v>
      </c>
      <c r="C366" s="15" t="inlineStr">
        <is>
          <t xml:space="preserve">Old Testament</t>
        </is>
      </c>
      <c r="D366" s="15">
        <v>13</v>
      </c>
      <c r="E366" s="15" t="inlineStr">
        <is>
          <t xml:space="preserve">1 Chronicles</t>
        </is>
      </c>
      <c r="F366" s="15">
        <v>24</v>
      </c>
      <c r="G366" s="15" t="inlineStr">
        <is>
          <t xml:space="preserve">v0.2</t>
        </is>
      </c>
      <c r="H366" s="15" t="inlineStr">
        <is>
          <t xml:space="preserve">Bible_Journey_Canon_Map_v0_2_Chronicles_Psalms_Job_1Kings.xlsx</t>
        </is>
      </c>
      <c r="I366" s="15" t="inlineStr">
        <is>
          <t xml:space="preserve">Chapter Map</t>
        </is>
      </c>
      <c r="J366" s="15" t="inlineStr">
        <is>
          <t xml:space="preserve">CRS-1CH-019</t>
        </is>
      </c>
      <c r="K366" s="15"/>
      <c r="L366" s="10" t="inlineStr">
        <is>
          <t xml:space="preserve">Mapped</t>
        </is>
      </c>
      <c r="M366" s="15" t="inlineStr">
        <is>
          <t xml:space="preserve">Late-David institutional preparation; internal sequence not necessarily chronological.</t>
        </is>
      </c>
      <c r="N366" s="15"/>
      <c r="O366" s="15">
        <v>1</v>
      </c>
      <c r="P366" s="10" t="str">
        <f>IF(L366="MISSING","MISSING",IF(O366=1,"PASS","DUPLICATE"))</f>
        <v>PASS</v>
      </c>
    </row>
    <row r="367" ht="22" customHeight="1">
      <c r="A367" s="15" t="inlineStr">
        <is>
          <t xml:space="preserve">1 Chronicles 25</t>
        </is>
      </c>
      <c r="B367" s="15">
        <v>363</v>
      </c>
      <c r="C367" s="15" t="inlineStr">
        <is>
          <t xml:space="preserve">Old Testament</t>
        </is>
      </c>
      <c r="D367" s="15">
        <v>13</v>
      </c>
      <c r="E367" s="15" t="inlineStr">
        <is>
          <t xml:space="preserve">1 Chronicles</t>
        </is>
      </c>
      <c r="F367" s="15">
        <v>25</v>
      </c>
      <c r="G367" s="15" t="inlineStr">
        <is>
          <t xml:space="preserve">v0.2</t>
        </is>
      </c>
      <c r="H367" s="15" t="inlineStr">
        <is>
          <t xml:space="preserve">Bible_Journey_Canon_Map_v0_2_Chronicles_Psalms_Job_1Kings.xlsx</t>
        </is>
      </c>
      <c r="I367" s="15" t="inlineStr">
        <is>
          <t xml:space="preserve">Chapter Map</t>
        </is>
      </c>
      <c r="J367" s="15" t="inlineStr">
        <is>
          <t xml:space="preserve">CRS-1CH-019</t>
        </is>
      </c>
      <c r="K367" s="15"/>
      <c r="L367" s="10" t="inlineStr">
        <is>
          <t xml:space="preserve">Mapped</t>
        </is>
      </c>
      <c r="M367" s="15" t="inlineStr">
        <is>
          <t xml:space="preserve">Late-David institutional preparation; internal sequence not necessarily chronological.</t>
        </is>
      </c>
      <c r="N367" s="15"/>
      <c r="O367" s="15">
        <v>1</v>
      </c>
      <c r="P367" s="10" t="str">
        <f>IF(L367="MISSING","MISSING",IF(O367=1,"PASS","DUPLICATE"))</f>
        <v>PASS</v>
      </c>
    </row>
    <row r="368" ht="22" customHeight="1">
      <c r="A368" s="15" t="inlineStr">
        <is>
          <t xml:space="preserve">1 Chronicles 26</t>
        </is>
      </c>
      <c r="B368" s="15">
        <v>364</v>
      </c>
      <c r="C368" s="15" t="inlineStr">
        <is>
          <t xml:space="preserve">Old Testament</t>
        </is>
      </c>
      <c r="D368" s="15">
        <v>13</v>
      </c>
      <c r="E368" s="15" t="inlineStr">
        <is>
          <t xml:space="preserve">1 Chronicles</t>
        </is>
      </c>
      <c r="F368" s="15">
        <v>26</v>
      </c>
      <c r="G368" s="15" t="inlineStr">
        <is>
          <t xml:space="preserve">v0.2</t>
        </is>
      </c>
      <c r="H368" s="15" t="inlineStr">
        <is>
          <t xml:space="preserve">Bible_Journey_Canon_Map_v0_2_Chronicles_Psalms_Job_1Kings.xlsx</t>
        </is>
      </c>
      <c r="I368" s="15" t="inlineStr">
        <is>
          <t xml:space="preserve">Chapter Map</t>
        </is>
      </c>
      <c r="J368" s="15" t="inlineStr">
        <is>
          <t xml:space="preserve">CRS-1CH-019</t>
        </is>
      </c>
      <c r="K368" s="15"/>
      <c r="L368" s="10" t="inlineStr">
        <is>
          <t xml:space="preserve">Mapped</t>
        </is>
      </c>
      <c r="M368" s="15" t="inlineStr">
        <is>
          <t xml:space="preserve">Late-David institutional preparation; internal sequence not necessarily chronological.</t>
        </is>
      </c>
      <c r="N368" s="15"/>
      <c r="O368" s="15">
        <v>1</v>
      </c>
      <c r="P368" s="10" t="str">
        <f>IF(L368="MISSING","MISSING",IF(O368=1,"PASS","DUPLICATE"))</f>
        <v>PASS</v>
      </c>
    </row>
    <row r="369" ht="22" customHeight="1">
      <c r="A369" s="15" t="inlineStr">
        <is>
          <t xml:space="preserve">1 Chronicles 27</t>
        </is>
      </c>
      <c r="B369" s="15">
        <v>365</v>
      </c>
      <c r="C369" s="15" t="inlineStr">
        <is>
          <t xml:space="preserve">Old Testament</t>
        </is>
      </c>
      <c r="D369" s="15">
        <v>13</v>
      </c>
      <c r="E369" s="15" t="inlineStr">
        <is>
          <t xml:space="preserve">1 Chronicles</t>
        </is>
      </c>
      <c r="F369" s="15">
        <v>27</v>
      </c>
      <c r="G369" s="15" t="inlineStr">
        <is>
          <t xml:space="preserve">v0.2</t>
        </is>
      </c>
      <c r="H369" s="15" t="inlineStr">
        <is>
          <t xml:space="preserve">Bible_Journey_Canon_Map_v0_2_Chronicles_Psalms_Job_1Kings.xlsx</t>
        </is>
      </c>
      <c r="I369" s="15" t="inlineStr">
        <is>
          <t xml:space="preserve">Chapter Map</t>
        </is>
      </c>
      <c r="J369" s="15" t="inlineStr">
        <is>
          <t xml:space="preserve">CRS-1CH-019</t>
        </is>
      </c>
      <c r="K369" s="15"/>
      <c r="L369" s="10" t="inlineStr">
        <is>
          <t xml:space="preserve">Mapped</t>
        </is>
      </c>
      <c r="M369" s="15" t="inlineStr">
        <is>
          <t xml:space="preserve">Late-David institutional preparation; internal sequence not necessarily chronological.</t>
        </is>
      </c>
      <c r="N369" s="15"/>
      <c r="O369" s="15">
        <v>1</v>
      </c>
      <c r="P369" s="10" t="str">
        <f>IF(L369="MISSING","MISSING",IF(O369=1,"PASS","DUPLICATE"))</f>
        <v>PASS</v>
      </c>
    </row>
    <row r="370" ht="22" customHeight="1">
      <c r="A370" s="15" t="inlineStr">
        <is>
          <t xml:space="preserve">1 Chronicles 28</t>
        </is>
      </c>
      <c r="B370" s="15">
        <v>366</v>
      </c>
      <c r="C370" s="15" t="inlineStr">
        <is>
          <t xml:space="preserve">Old Testament</t>
        </is>
      </c>
      <c r="D370" s="15">
        <v>13</v>
      </c>
      <c r="E370" s="15" t="inlineStr">
        <is>
          <t xml:space="preserve">1 Chronicles</t>
        </is>
      </c>
      <c r="F370" s="15">
        <v>28</v>
      </c>
      <c r="G370" s="15" t="inlineStr">
        <is>
          <t xml:space="preserve">v0.2</t>
        </is>
      </c>
      <c r="H370" s="15" t="inlineStr">
        <is>
          <t xml:space="preserve">Bible_Journey_Canon_Map_v0_2_Chronicles_Psalms_Job_1Kings.xlsx</t>
        </is>
      </c>
      <c r="I370" s="15" t="inlineStr">
        <is>
          <t xml:space="preserve">Chapter Map</t>
        </is>
      </c>
      <c r="J370" s="15" t="inlineStr">
        <is>
          <t xml:space="preserve">CRS-1CH-020</t>
        </is>
      </c>
      <c r="K370" s="15"/>
      <c r="L370" s="10" t="inlineStr">
        <is>
          <t xml:space="preserve">Mapped</t>
        </is>
      </c>
      <c r="M370" s="15" t="inlineStr">
        <is>
          <t xml:space="preserve">Transition material into Solomon's reign; partial overlap in succession framing.</t>
        </is>
      </c>
      <c r="N370" s="15"/>
      <c r="O370" s="15">
        <v>1</v>
      </c>
      <c r="P370" s="10" t="str">
        <f>IF(L370="MISSING","MISSING",IF(O370=1,"PASS","DUPLICATE"))</f>
        <v>PASS</v>
      </c>
    </row>
    <row r="371" ht="22" customHeight="1">
      <c r="A371" s="15" t="inlineStr">
        <is>
          <t xml:space="preserve">1 Chronicles 29</t>
        </is>
      </c>
      <c r="B371" s="15">
        <v>367</v>
      </c>
      <c r="C371" s="15" t="inlineStr">
        <is>
          <t xml:space="preserve">Old Testament</t>
        </is>
      </c>
      <c r="D371" s="15">
        <v>13</v>
      </c>
      <c r="E371" s="15" t="inlineStr">
        <is>
          <t xml:space="preserve">1 Chronicles</t>
        </is>
      </c>
      <c r="F371" s="15">
        <v>29</v>
      </c>
      <c r="G371" s="15" t="inlineStr">
        <is>
          <t xml:space="preserve">v0.2</t>
        </is>
      </c>
      <c r="H371" s="15" t="inlineStr">
        <is>
          <t xml:space="preserve">Bible_Journey_Canon_Map_v0_2_Chronicles_Psalms_Job_1Kings.xlsx</t>
        </is>
      </c>
      <c r="I371" s="15" t="inlineStr">
        <is>
          <t xml:space="preserve">Chapter Map</t>
        </is>
      </c>
      <c r="J371" s="15" t="inlineStr">
        <is>
          <t xml:space="preserve">CRS-1CH-020</t>
        </is>
      </c>
      <c r="K371" s="15"/>
      <c r="L371" s="10" t="inlineStr">
        <is>
          <t xml:space="preserve">Mapped</t>
        </is>
      </c>
      <c r="M371" s="15" t="inlineStr">
        <is>
          <t xml:space="preserve">Transition material into Solomon's reign; partial overlap in succession framing.</t>
        </is>
      </c>
      <c r="N371" s="15"/>
      <c r="O371" s="15">
        <v>1</v>
      </c>
      <c r="P371" s="10" t="str">
        <f>IF(L371="MISSING","MISSING",IF(O371=1,"PASS","DUPLICATE"))</f>
        <v>PASS</v>
      </c>
    </row>
    <row r="372" ht="22" customHeight="1">
      <c r="A372" s="15" t="inlineStr">
        <is>
          <t xml:space="preserve">2 Chronicles 1</t>
        </is>
      </c>
      <c r="B372" s="15">
        <v>368</v>
      </c>
      <c r="C372" s="15" t="inlineStr">
        <is>
          <t xml:space="preserve">Old Testament</t>
        </is>
      </c>
      <c r="D372" s="15">
        <v>14</v>
      </c>
      <c r="E372" s="15" t="inlineStr">
        <is>
          <t xml:space="preserve">2 Chronicles</t>
        </is>
      </c>
      <c r="F372" s="15">
        <v>1</v>
      </c>
      <c r="G372" s="15" t="inlineStr">
        <is>
          <t xml:space="preserve">v0.3</t>
        </is>
      </c>
      <c r="H372" s="15" t="inlineStr">
        <is>
          <t xml:space="preserve">Bible_Journey_Canon_Map_v0_3_2Chronicles_Wisdom_2Kings.xlsx</t>
        </is>
      </c>
      <c r="I372" s="15" t="inlineStr">
        <is>
          <t xml:space="preserve">Chapter Map</t>
        </is>
      </c>
      <c r="J372" s="15" t="inlineStr">
        <is>
          <t xml:space="preserve">CRS-BR-2CH-001</t>
        </is>
      </c>
      <c r="K372" s="15"/>
      <c r="L372" s="10" t="inlineStr">
        <is>
          <t xml:space="preserve">Mapped</t>
        </is>
      </c>
      <c r="M372" s="15" t="inlineStr">
        <is>
          <t xml:space="preserve">Chronicles retells Solomon's worship at Gibeon and request for wisdom with its own framing.</t>
        </is>
      </c>
      <c r="N372" s="15"/>
      <c r="O372" s="15">
        <v>1</v>
      </c>
      <c r="P372" s="10" t="str">
        <f>IF(L372="MISSING","MISSING",IF(O372=1,"PASS","DUPLICATE"))</f>
        <v>PASS</v>
      </c>
    </row>
    <row r="373" ht="22" customHeight="1">
      <c r="A373" s="15" t="inlineStr">
        <is>
          <t xml:space="preserve">2 Chronicles 2</t>
        </is>
      </c>
      <c r="B373" s="15">
        <v>369</v>
      </c>
      <c r="C373" s="15" t="inlineStr">
        <is>
          <t xml:space="preserve">Old Testament</t>
        </is>
      </c>
      <c r="D373" s="15">
        <v>14</v>
      </c>
      <c r="E373" s="15" t="inlineStr">
        <is>
          <t xml:space="preserve">2 Chronicles</t>
        </is>
      </c>
      <c r="F373" s="15">
        <v>2</v>
      </c>
      <c r="G373" s="15" t="inlineStr">
        <is>
          <t xml:space="preserve">v0.3</t>
        </is>
      </c>
      <c r="H373" s="15" t="inlineStr">
        <is>
          <t xml:space="preserve">Bible_Journey_Canon_Map_v0_3_2Chronicles_Wisdom_2Kings.xlsx</t>
        </is>
      </c>
      <c r="I373" s="15" t="inlineStr">
        <is>
          <t xml:space="preserve">Chapter Map</t>
        </is>
      </c>
      <c r="J373" s="15" t="inlineStr">
        <is>
          <t xml:space="preserve">CRS-BR-2CH-002</t>
        </is>
      </c>
      <c r="K373" s="15"/>
      <c r="L373" s="10" t="inlineStr">
        <is>
          <t xml:space="preserve">Mapped</t>
        </is>
      </c>
      <c r="M373" s="15" t="inlineStr">
        <is>
          <t xml:space="preserve">Chronicles expands the temple workforce, materials, furnishings, and dedication preparation.</t>
        </is>
      </c>
      <c r="N373" s="15"/>
      <c r="O373" s="15">
        <v>1</v>
      </c>
      <c r="P373" s="10" t="str">
        <f>IF(L373="MISSING","MISSING",IF(O373=1,"PASS","DUPLICATE"))</f>
        <v>PASS</v>
      </c>
    </row>
    <row r="374" ht="22" customHeight="1">
      <c r="A374" s="15" t="inlineStr">
        <is>
          <t xml:space="preserve">2 Chronicles 3</t>
        </is>
      </c>
      <c r="B374" s="15">
        <v>370</v>
      </c>
      <c r="C374" s="15" t="inlineStr">
        <is>
          <t xml:space="preserve">Old Testament</t>
        </is>
      </c>
      <c r="D374" s="15">
        <v>14</v>
      </c>
      <c r="E374" s="15" t="inlineStr">
        <is>
          <t xml:space="preserve">2 Chronicles</t>
        </is>
      </c>
      <c r="F374" s="15">
        <v>3</v>
      </c>
      <c r="G374" s="15" t="inlineStr">
        <is>
          <t xml:space="preserve">v0.3</t>
        </is>
      </c>
      <c r="H374" s="15" t="inlineStr">
        <is>
          <t xml:space="preserve">Bible_Journey_Canon_Map_v0_3_2Chronicles_Wisdom_2Kings.xlsx</t>
        </is>
      </c>
      <c r="I374" s="15" t="inlineStr">
        <is>
          <t xml:space="preserve">Chapter Map</t>
        </is>
      </c>
      <c r="J374" s="15" t="inlineStr">
        <is>
          <t xml:space="preserve">CRS-BR-2CH-002</t>
        </is>
      </c>
      <c r="K374" s="15"/>
      <c r="L374" s="10" t="inlineStr">
        <is>
          <t xml:space="preserve">Mapped</t>
        </is>
      </c>
      <c r="M374" s="15" t="inlineStr">
        <is>
          <t xml:space="preserve">Chronicles expands the temple workforce, materials, furnishings, and dedication preparation.</t>
        </is>
      </c>
      <c r="N374" s="15"/>
      <c r="O374" s="15">
        <v>1</v>
      </c>
      <c r="P374" s="10" t="str">
        <f>IF(L374="MISSING","MISSING",IF(O374=1,"PASS","DUPLICATE"))</f>
        <v>PASS</v>
      </c>
    </row>
    <row r="375" ht="22" customHeight="1">
      <c r="A375" s="15" t="inlineStr">
        <is>
          <t xml:space="preserve">2 Chronicles 4</t>
        </is>
      </c>
      <c r="B375" s="15">
        <v>371</v>
      </c>
      <c r="C375" s="15" t="inlineStr">
        <is>
          <t xml:space="preserve">Old Testament</t>
        </is>
      </c>
      <c r="D375" s="15">
        <v>14</v>
      </c>
      <c r="E375" s="15" t="inlineStr">
        <is>
          <t xml:space="preserve">2 Chronicles</t>
        </is>
      </c>
      <c r="F375" s="15">
        <v>4</v>
      </c>
      <c r="G375" s="15" t="inlineStr">
        <is>
          <t xml:space="preserve">v0.3</t>
        </is>
      </c>
      <c r="H375" s="15" t="inlineStr">
        <is>
          <t xml:space="preserve">Bible_Journey_Canon_Map_v0_3_2Chronicles_Wisdom_2Kings.xlsx</t>
        </is>
      </c>
      <c r="I375" s="15" t="inlineStr">
        <is>
          <t xml:space="preserve">Chapter Map</t>
        </is>
      </c>
      <c r="J375" s="15" t="inlineStr">
        <is>
          <t xml:space="preserve">CRS-BR-2CH-002</t>
        </is>
      </c>
      <c r="K375" s="15"/>
      <c r="L375" s="10" t="inlineStr">
        <is>
          <t xml:space="preserve">Mapped</t>
        </is>
      </c>
      <c r="M375" s="15" t="inlineStr">
        <is>
          <t xml:space="preserve">Chronicles expands the temple workforce, materials, furnishings, and dedication preparation.</t>
        </is>
      </c>
      <c r="N375" s="15"/>
      <c r="O375" s="15">
        <v>1</v>
      </c>
      <c r="P375" s="10" t="str">
        <f>IF(L375="MISSING","MISSING",IF(O375=1,"PASS","DUPLICATE"))</f>
        <v>PASS</v>
      </c>
    </row>
    <row r="376" ht="22" customHeight="1">
      <c r="A376" s="15" t="inlineStr">
        <is>
          <t xml:space="preserve">2 Chronicles 5</t>
        </is>
      </c>
      <c r="B376" s="15">
        <v>372</v>
      </c>
      <c r="C376" s="15" t="inlineStr">
        <is>
          <t xml:space="preserve">Old Testament</t>
        </is>
      </c>
      <c r="D376" s="15">
        <v>14</v>
      </c>
      <c r="E376" s="15" t="inlineStr">
        <is>
          <t xml:space="preserve">2 Chronicles</t>
        </is>
      </c>
      <c r="F376" s="15">
        <v>5</v>
      </c>
      <c r="G376" s="15" t="inlineStr">
        <is>
          <t xml:space="preserve">v0.3</t>
        </is>
      </c>
      <c r="H376" s="15" t="inlineStr">
        <is>
          <t xml:space="preserve">Bible_Journey_Canon_Map_v0_3_2Chronicles_Wisdom_2Kings.xlsx</t>
        </is>
      </c>
      <c r="I376" s="15" t="inlineStr">
        <is>
          <t xml:space="preserve">Chapter Map</t>
        </is>
      </c>
      <c r="J376" s="15" t="inlineStr">
        <is>
          <t xml:space="preserve">CRS-BR-2CH-003</t>
        </is>
      </c>
      <c r="K376" s="15"/>
      <c r="L376" s="10" t="inlineStr">
        <is>
          <t xml:space="preserve">Mapped</t>
        </is>
      </c>
      <c r="M376" s="15" t="inlineStr">
        <is>
          <t xml:space="preserve">Chronicles presents the dedication, Solomon's prayer, fire, feast, and divine response with distinct emphases.</t>
        </is>
      </c>
      <c r="N376" s="15"/>
      <c r="O376" s="15">
        <v>1</v>
      </c>
      <c r="P376" s="10" t="str">
        <f>IF(L376="MISSING","MISSING",IF(O376=1,"PASS","DUPLICATE"))</f>
        <v>PASS</v>
      </c>
    </row>
    <row r="377" ht="22" customHeight="1">
      <c r="A377" s="15" t="inlineStr">
        <is>
          <t xml:space="preserve">2 Chronicles 6</t>
        </is>
      </c>
      <c r="B377" s="15">
        <v>373</v>
      </c>
      <c r="C377" s="15" t="inlineStr">
        <is>
          <t xml:space="preserve">Old Testament</t>
        </is>
      </c>
      <c r="D377" s="15">
        <v>14</v>
      </c>
      <c r="E377" s="15" t="inlineStr">
        <is>
          <t xml:space="preserve">2 Chronicles</t>
        </is>
      </c>
      <c r="F377" s="15">
        <v>6</v>
      </c>
      <c r="G377" s="15" t="inlineStr">
        <is>
          <t xml:space="preserve">v0.3</t>
        </is>
      </c>
      <c r="H377" s="15" t="inlineStr">
        <is>
          <t xml:space="preserve">Bible_Journey_Canon_Map_v0_3_2Chronicles_Wisdom_2Kings.xlsx</t>
        </is>
      </c>
      <c r="I377" s="15" t="inlineStr">
        <is>
          <t xml:space="preserve">Chapter Map</t>
        </is>
      </c>
      <c r="J377" s="15" t="inlineStr">
        <is>
          <t xml:space="preserve">CRS-BR-2CH-003</t>
        </is>
      </c>
      <c r="K377" s="15"/>
      <c r="L377" s="10" t="inlineStr">
        <is>
          <t xml:space="preserve">Mapped</t>
        </is>
      </c>
      <c r="M377" s="15" t="inlineStr">
        <is>
          <t xml:space="preserve">Chronicles presents the dedication, Solomon's prayer, fire, feast, and divine response with distinct emphases.</t>
        </is>
      </c>
      <c r="N377" s="15"/>
      <c r="O377" s="15">
        <v>1</v>
      </c>
      <c r="P377" s="10" t="str">
        <f>IF(L377="MISSING","MISSING",IF(O377=1,"PASS","DUPLICATE"))</f>
        <v>PASS</v>
      </c>
    </row>
    <row r="378" ht="22" customHeight="1">
      <c r="A378" s="15" t="inlineStr">
        <is>
          <t xml:space="preserve">2 Chronicles 7</t>
        </is>
      </c>
      <c r="B378" s="15">
        <v>374</v>
      </c>
      <c r="C378" s="15" t="inlineStr">
        <is>
          <t xml:space="preserve">Old Testament</t>
        </is>
      </c>
      <c r="D378" s="15">
        <v>14</v>
      </c>
      <c r="E378" s="15" t="inlineStr">
        <is>
          <t xml:space="preserve">2 Chronicles</t>
        </is>
      </c>
      <c r="F378" s="15">
        <v>7</v>
      </c>
      <c r="G378" s="15" t="inlineStr">
        <is>
          <t xml:space="preserve">v0.3</t>
        </is>
      </c>
      <c r="H378" s="15" t="inlineStr">
        <is>
          <t xml:space="preserve">Bible_Journey_Canon_Map_v0_3_2Chronicles_Wisdom_2Kings.xlsx</t>
        </is>
      </c>
      <c r="I378" s="15" t="inlineStr">
        <is>
          <t xml:space="preserve">Chapter Map</t>
        </is>
      </c>
      <c r="J378" s="15" t="inlineStr">
        <is>
          <t xml:space="preserve">CRS-BR-2CH-003</t>
        </is>
      </c>
      <c r="K378" s="15"/>
      <c r="L378" s="10" t="inlineStr">
        <is>
          <t xml:space="preserve">Mapped</t>
        </is>
      </c>
      <c r="M378" s="15" t="inlineStr">
        <is>
          <t xml:space="preserve">Chronicles presents the dedication, Solomon's prayer, fire, feast, and divine response with distinct emphases.</t>
        </is>
      </c>
      <c r="N378" s="15"/>
      <c r="O378" s="15">
        <v>1</v>
      </c>
      <c r="P378" s="10" t="str">
        <f>IF(L378="MISSING","MISSING",IF(O378=1,"PASS","DUPLICATE"))</f>
        <v>PASS</v>
      </c>
    </row>
    <row r="379" ht="22" customHeight="1">
      <c r="A379" s="15" t="inlineStr">
        <is>
          <t xml:space="preserve">2 Chronicles 8</t>
        </is>
      </c>
      <c r="B379" s="15">
        <v>375</v>
      </c>
      <c r="C379" s="15" t="inlineStr">
        <is>
          <t xml:space="preserve">Old Testament</t>
        </is>
      </c>
      <c r="D379" s="15">
        <v>14</v>
      </c>
      <c r="E379" s="15" t="inlineStr">
        <is>
          <t xml:space="preserve">2 Chronicles</t>
        </is>
      </c>
      <c r="F379" s="15">
        <v>8</v>
      </c>
      <c r="G379" s="15" t="inlineStr">
        <is>
          <t xml:space="preserve">v0.3</t>
        </is>
      </c>
      <c r="H379" s="15" t="inlineStr">
        <is>
          <t xml:space="preserve">Bible_Journey_Canon_Map_v0_3_2Chronicles_Wisdom_2Kings.xlsx</t>
        </is>
      </c>
      <c r="I379" s="15" t="inlineStr">
        <is>
          <t xml:space="preserve">Chapter Map</t>
        </is>
      </c>
      <c r="J379" s="15" t="inlineStr">
        <is>
          <t xml:space="preserve">CRS-BR-2CH-004</t>
        </is>
      </c>
      <c r="K379" s="15"/>
      <c r="L379" s="10" t="inlineStr">
        <is>
          <t xml:space="preserve">Mapped</t>
        </is>
      </c>
      <c r="M379" s="15" t="inlineStr">
        <is>
          <t xml:space="preserve">Chronicles pairs building projects with worship administration and international trade.</t>
        </is>
      </c>
      <c r="N379" s="15"/>
      <c r="O379" s="15">
        <v>1</v>
      </c>
      <c r="P379" s="10" t="str">
        <f>IF(L379="MISSING","MISSING",IF(O379=1,"PASS","DUPLICATE"))</f>
        <v>PASS</v>
      </c>
    </row>
    <row r="380" ht="22" customHeight="1">
      <c r="A380" s="15" t="inlineStr">
        <is>
          <t xml:space="preserve">2 Chronicles 9</t>
        </is>
      </c>
      <c r="B380" s="15">
        <v>376</v>
      </c>
      <c r="C380" s="15" t="inlineStr">
        <is>
          <t xml:space="preserve">Old Testament</t>
        </is>
      </c>
      <c r="D380" s="15">
        <v>14</v>
      </c>
      <c r="E380" s="15" t="inlineStr">
        <is>
          <t xml:space="preserve">2 Chronicles</t>
        </is>
      </c>
      <c r="F380" s="15">
        <v>9</v>
      </c>
      <c r="G380" s="15" t="inlineStr">
        <is>
          <t xml:space="preserve">v0.3</t>
        </is>
      </c>
      <c r="H380" s="15" t="inlineStr">
        <is>
          <t xml:space="preserve">Bible_Journey_Canon_Map_v0_3_2Chronicles_Wisdom_2Kings.xlsx</t>
        </is>
      </c>
      <c r="I380" s="15" t="inlineStr">
        <is>
          <t xml:space="preserve">Chapter Map</t>
        </is>
      </c>
      <c r="J380" s="15" t="inlineStr">
        <is>
          <t xml:space="preserve">CRS-BR-2CH-005</t>
        </is>
      </c>
      <c r="K380" s="15"/>
      <c r="L380" s="10" t="inlineStr">
        <is>
          <t xml:space="preserve">Mapped</t>
        </is>
      </c>
      <c r="M380" s="15" t="inlineStr">
        <is>
          <t xml:space="preserve">Chronicles narrates the visit of the Queen of Sheba, wealth, and Solomon's death; it omits much of Kings' negative assessment.</t>
        </is>
      </c>
      <c r="N380" s="15"/>
      <c r="O380" s="15">
        <v>1</v>
      </c>
      <c r="P380" s="10" t="str">
        <f>IF(L380="MISSING","MISSING",IF(O380=1,"PASS","DUPLICATE"))</f>
        <v>PASS</v>
      </c>
    </row>
    <row r="381" ht="22" customHeight="1">
      <c r="A381" s="15" t="inlineStr">
        <is>
          <t xml:space="preserve">2 Chronicles 10</t>
        </is>
      </c>
      <c r="B381" s="15">
        <v>377</v>
      </c>
      <c r="C381" s="15" t="inlineStr">
        <is>
          <t xml:space="preserve">Old Testament</t>
        </is>
      </c>
      <c r="D381" s="15">
        <v>14</v>
      </c>
      <c r="E381" s="15" t="inlineStr">
        <is>
          <t xml:space="preserve">2 Chronicles</t>
        </is>
      </c>
      <c r="F381" s="15">
        <v>10</v>
      </c>
      <c r="G381" s="15" t="inlineStr">
        <is>
          <t xml:space="preserve">v0.3</t>
        </is>
      </c>
      <c r="H381" s="15" t="inlineStr">
        <is>
          <t xml:space="preserve">Bible_Journey_Canon_Map_v0_3_2Chronicles_Wisdom_2Kings.xlsx</t>
        </is>
      </c>
      <c r="I381" s="15" t="inlineStr">
        <is>
          <t xml:space="preserve">Chapter Map</t>
        </is>
      </c>
      <c r="J381" s="15" t="inlineStr">
        <is>
          <t xml:space="preserve">CRS-BR-2CH-006</t>
        </is>
      </c>
      <c r="K381" s="15"/>
      <c r="L381" s="10" t="inlineStr">
        <is>
          <t xml:space="preserve">Mapped</t>
        </is>
      </c>
      <c r="M381" s="15" t="inlineStr">
        <is>
          <t xml:space="preserve">Chronicles' division account parallels the early Rehoboam narrative in Kings.</t>
        </is>
      </c>
      <c r="N381" s="15"/>
      <c r="O381" s="15">
        <v>1</v>
      </c>
      <c r="P381" s="10" t="str">
        <f>IF(L381="MISSING","MISSING",IF(O381=1,"PASS","DUPLICATE"))</f>
        <v>PASS</v>
      </c>
    </row>
    <row r="382" ht="22" customHeight="1">
      <c r="A382" s="15" t="inlineStr">
        <is>
          <t xml:space="preserve">2 Chronicles 11</t>
        </is>
      </c>
      <c r="B382" s="15">
        <v>378</v>
      </c>
      <c r="C382" s="15" t="inlineStr">
        <is>
          <t xml:space="preserve">Old Testament</t>
        </is>
      </c>
      <c r="D382" s="15">
        <v>14</v>
      </c>
      <c r="E382" s="15" t="inlineStr">
        <is>
          <t xml:space="preserve">2 Chronicles</t>
        </is>
      </c>
      <c r="F382" s="15">
        <v>11</v>
      </c>
      <c r="G382" s="15" t="inlineStr">
        <is>
          <t xml:space="preserve">v0.3</t>
        </is>
      </c>
      <c r="H382" s="15" t="inlineStr">
        <is>
          <t xml:space="preserve">Bible_Journey_Canon_Map_v0_3_2Chronicles_Wisdom_2Kings.xlsx</t>
        </is>
      </c>
      <c r="I382" s="15" t="inlineStr">
        <is>
          <t xml:space="preserve">Chapter Map</t>
        </is>
      </c>
      <c r="J382" s="15" t="inlineStr">
        <is>
          <t xml:space="preserve">CRS-BR-2CH-007</t>
        </is>
      </c>
      <c r="K382" s="15"/>
      <c r="L382" s="10" t="inlineStr">
        <is>
          <t xml:space="preserve">Mapped</t>
        </is>
      </c>
      <c r="M382" s="15" t="inlineStr">
        <is>
          <t xml:space="preserve">Chronicles adds fortifications, migration, and domestic material not presented in the same way in Kings.</t>
        </is>
      </c>
      <c r="N382" s="15"/>
      <c r="O382" s="15">
        <v>1</v>
      </c>
      <c r="P382" s="10" t="str">
        <f>IF(L382="MISSING","MISSING",IF(O382=1,"PASS","DUPLICATE"))</f>
        <v>PASS</v>
      </c>
    </row>
    <row r="383" ht="22" customHeight="1">
      <c r="A383" s="15" t="inlineStr">
        <is>
          <t xml:space="preserve">2 Chronicles 12</t>
        </is>
      </c>
      <c r="B383" s="15">
        <v>379</v>
      </c>
      <c r="C383" s="15" t="inlineStr">
        <is>
          <t xml:space="preserve">Old Testament</t>
        </is>
      </c>
      <c r="D383" s="15">
        <v>14</v>
      </c>
      <c r="E383" s="15" t="inlineStr">
        <is>
          <t xml:space="preserve">2 Chronicles</t>
        </is>
      </c>
      <c r="F383" s="15">
        <v>12</v>
      </c>
      <c r="G383" s="15" t="inlineStr">
        <is>
          <t xml:space="preserve">v0.3</t>
        </is>
      </c>
      <c r="H383" s="15" t="inlineStr">
        <is>
          <t xml:space="preserve">Bible_Journey_Canon_Map_v0_3_2Chronicles_Wisdom_2Kings.xlsx</t>
        </is>
      </c>
      <c r="I383" s="15" t="inlineStr">
        <is>
          <t xml:space="preserve">Chapter Map</t>
        </is>
      </c>
      <c r="J383" s="15" t="inlineStr">
        <is>
          <t xml:space="preserve">CRS-BR-2CH-008</t>
        </is>
      </c>
      <c r="K383" s="15"/>
      <c r="L383" s="10" t="inlineStr">
        <is>
          <t xml:space="preserve">Mapped</t>
        </is>
      </c>
      <c r="M383" s="15" t="inlineStr">
        <is>
          <t xml:space="preserve">Chronicles gives a fuller theological and narrative presentation of the Shishak invasion.</t>
        </is>
      </c>
      <c r="N383" s="15"/>
      <c r="O383" s="15">
        <v>1</v>
      </c>
      <c r="P383" s="10" t="str">
        <f>IF(L383="MISSING","MISSING",IF(O383=1,"PASS","DUPLICATE"))</f>
        <v>PASS</v>
      </c>
    </row>
    <row r="384" ht="22" customHeight="1">
      <c r="A384" s="15" t="inlineStr">
        <is>
          <t xml:space="preserve">2 Chronicles 13</t>
        </is>
      </c>
      <c r="B384" s="15">
        <v>380</v>
      </c>
      <c r="C384" s="15" t="inlineStr">
        <is>
          <t xml:space="preserve">Old Testament</t>
        </is>
      </c>
      <c r="D384" s="15">
        <v>14</v>
      </c>
      <c r="E384" s="15" t="inlineStr">
        <is>
          <t xml:space="preserve">2 Chronicles</t>
        </is>
      </c>
      <c r="F384" s="15">
        <v>13</v>
      </c>
      <c r="G384" s="15" t="inlineStr">
        <is>
          <t xml:space="preserve">v0.3</t>
        </is>
      </c>
      <c r="H384" s="15" t="inlineStr">
        <is>
          <t xml:space="preserve">Bible_Journey_Canon_Map_v0_3_2Chronicles_Wisdom_2Kings.xlsx</t>
        </is>
      </c>
      <c r="I384" s="15" t="inlineStr">
        <is>
          <t xml:space="preserve">Chapter Map</t>
        </is>
      </c>
      <c r="J384" s="15" t="inlineStr">
        <is>
          <t xml:space="preserve">CRS-BR-2CH-009</t>
        </is>
      </c>
      <c r="K384" s="15"/>
      <c r="L384" s="10" t="inlineStr">
        <is>
          <t xml:space="preserve">Mapped</t>
        </is>
      </c>
      <c r="M384" s="15" t="inlineStr">
        <is>
          <t xml:space="preserve">Chronicles contains extended material about Abijah not preserved in Kings.</t>
        </is>
      </c>
      <c r="N384" s="15"/>
      <c r="O384" s="15">
        <v>1</v>
      </c>
      <c r="P384" s="10" t="str">
        <f>IF(L384="MISSING","MISSING",IF(O384=1,"PASS","DUPLICATE"))</f>
        <v>PASS</v>
      </c>
    </row>
    <row r="385" ht="22" customHeight="1">
      <c r="A385" s="15" t="inlineStr">
        <is>
          <t xml:space="preserve">2 Chronicles 14</t>
        </is>
      </c>
      <c r="B385" s="15">
        <v>381</v>
      </c>
      <c r="C385" s="15" t="inlineStr">
        <is>
          <t xml:space="preserve">Old Testament</t>
        </is>
      </c>
      <c r="D385" s="15">
        <v>14</v>
      </c>
      <c r="E385" s="15" t="inlineStr">
        <is>
          <t xml:space="preserve">2 Chronicles</t>
        </is>
      </c>
      <c r="F385" s="15">
        <v>14</v>
      </c>
      <c r="G385" s="15" t="inlineStr">
        <is>
          <t xml:space="preserve">v0.3</t>
        </is>
      </c>
      <c r="H385" s="15" t="inlineStr">
        <is>
          <t xml:space="preserve">Bible_Journey_Canon_Map_v0_3_2Chronicles_Wisdom_2Kings.xlsx</t>
        </is>
      </c>
      <c r="I385" s="15" t="inlineStr">
        <is>
          <t xml:space="preserve">Chapter Map</t>
        </is>
      </c>
      <c r="J385" s="15" t="inlineStr">
        <is>
          <t xml:space="preserve">CRS-BR-2CH-010</t>
        </is>
      </c>
      <c r="K385" s="15"/>
      <c r="L385" s="10" t="inlineStr">
        <is>
          <t xml:space="preserve">Mapped</t>
        </is>
      </c>
      <c r="M385" s="15" t="inlineStr">
        <is>
          <t xml:space="preserve">Chronicles adds reform, covenant, and conflict narratives not mirrored in Kings.</t>
        </is>
      </c>
      <c r="N385" s="15"/>
      <c r="O385" s="15">
        <v>1</v>
      </c>
      <c r="P385" s="10" t="str">
        <f>IF(L385="MISSING","MISSING",IF(O385=1,"PASS","DUPLICATE"))</f>
        <v>PASS</v>
      </c>
    </row>
    <row r="386" ht="22" customHeight="1">
      <c r="A386" s="15" t="inlineStr">
        <is>
          <t xml:space="preserve">2 Chronicles 15</t>
        </is>
      </c>
      <c r="B386" s="15">
        <v>382</v>
      </c>
      <c r="C386" s="15" t="inlineStr">
        <is>
          <t xml:space="preserve">Old Testament</t>
        </is>
      </c>
      <c r="D386" s="15">
        <v>14</v>
      </c>
      <c r="E386" s="15" t="inlineStr">
        <is>
          <t xml:space="preserve">2 Chronicles</t>
        </is>
      </c>
      <c r="F386" s="15">
        <v>15</v>
      </c>
      <c r="G386" s="15" t="inlineStr">
        <is>
          <t xml:space="preserve">v0.3</t>
        </is>
      </c>
      <c r="H386" s="15" t="inlineStr">
        <is>
          <t xml:space="preserve">Bible_Journey_Canon_Map_v0_3_2Chronicles_Wisdom_2Kings.xlsx</t>
        </is>
      </c>
      <c r="I386" s="15" t="inlineStr">
        <is>
          <t xml:space="preserve">Chapter Map</t>
        </is>
      </c>
      <c r="J386" s="15" t="inlineStr">
        <is>
          <t xml:space="preserve">CRS-BR-2CH-010</t>
        </is>
      </c>
      <c r="K386" s="15"/>
      <c r="L386" s="10" t="inlineStr">
        <is>
          <t xml:space="preserve">Mapped</t>
        </is>
      </c>
      <c r="M386" s="15" t="inlineStr">
        <is>
          <t xml:space="preserve">Chronicles adds reform, covenant, and conflict narratives not mirrored in Kings.</t>
        </is>
      </c>
      <c r="N386" s="15"/>
      <c r="O386" s="15">
        <v>1</v>
      </c>
      <c r="P386" s="10" t="str">
        <f>IF(L386="MISSING","MISSING",IF(O386=1,"PASS","DUPLICATE"))</f>
        <v>PASS</v>
      </c>
    </row>
    <row r="387" ht="22" customHeight="1">
      <c r="A387" s="15" t="inlineStr">
        <is>
          <t xml:space="preserve">2 Chronicles 16</t>
        </is>
      </c>
      <c r="B387" s="15">
        <v>383</v>
      </c>
      <c r="C387" s="15" t="inlineStr">
        <is>
          <t xml:space="preserve">Old Testament</t>
        </is>
      </c>
      <c r="D387" s="15">
        <v>14</v>
      </c>
      <c r="E387" s="15" t="inlineStr">
        <is>
          <t xml:space="preserve">2 Chronicles</t>
        </is>
      </c>
      <c r="F387" s="15">
        <v>16</v>
      </c>
      <c r="G387" s="15" t="inlineStr">
        <is>
          <t xml:space="preserve">v0.3</t>
        </is>
      </c>
      <c r="H387" s="15" t="inlineStr">
        <is>
          <t xml:space="preserve">Bible_Journey_Canon_Map_v0_3_2Chronicles_Wisdom_2Kings.xlsx</t>
        </is>
      </c>
      <c r="I387" s="15" t="inlineStr">
        <is>
          <t xml:space="preserve">Chapter Map</t>
        </is>
      </c>
      <c r="J387" s="15" t="inlineStr">
        <is>
          <t xml:space="preserve">CRS-BR-2CH-011</t>
        </is>
      </c>
      <c r="K387" s="15"/>
      <c r="L387" s="10" t="inlineStr">
        <is>
          <t xml:space="preserve">Mapped</t>
        </is>
      </c>
      <c r="M387" s="15" t="inlineStr">
        <is>
          <t xml:space="preserve">Chronicles closely relates to Kings' account but adds Hanani's rebuke and illness/death detail.</t>
        </is>
      </c>
      <c r="N387" s="15"/>
      <c r="O387" s="15">
        <v>1</v>
      </c>
      <c r="P387" s="10" t="str">
        <f>IF(L387="MISSING","MISSING",IF(O387=1,"PASS","DUPLICATE"))</f>
        <v>PASS</v>
      </c>
    </row>
    <row r="388" ht="22" customHeight="1">
      <c r="A388" s="15" t="inlineStr">
        <is>
          <t xml:space="preserve">2 Chronicles 17</t>
        </is>
      </c>
      <c r="B388" s="15">
        <v>384</v>
      </c>
      <c r="C388" s="15" t="inlineStr">
        <is>
          <t xml:space="preserve">Old Testament</t>
        </is>
      </c>
      <c r="D388" s="15">
        <v>14</v>
      </c>
      <c r="E388" s="15" t="inlineStr">
        <is>
          <t xml:space="preserve">2 Chronicles</t>
        </is>
      </c>
      <c r="F388" s="15">
        <v>17</v>
      </c>
      <c r="G388" s="15" t="inlineStr">
        <is>
          <t xml:space="preserve">v0.3</t>
        </is>
      </c>
      <c r="H388" s="15" t="inlineStr">
        <is>
          <t xml:space="preserve">Bible_Journey_Canon_Map_v0_3_2Chronicles_Wisdom_2Kings.xlsx</t>
        </is>
      </c>
      <c r="I388" s="15" t="inlineStr">
        <is>
          <t xml:space="preserve">Chapter Map</t>
        </is>
      </c>
      <c r="J388" s="15" t="inlineStr">
        <is>
          <t xml:space="preserve">CRS-BR-2CH-012</t>
        </is>
      </c>
      <c r="K388" s="15"/>
      <c r="L388" s="10" t="inlineStr">
        <is>
          <t xml:space="preserve">Mapped</t>
        </is>
      </c>
      <c r="M388" s="15" t="inlineStr">
        <is>
          <t xml:space="preserve">Chronicles adds detailed teaching, judicial, and defensive programs.</t>
        </is>
      </c>
      <c r="N388" s="15"/>
      <c r="O388" s="15">
        <v>1</v>
      </c>
      <c r="P388" s="10" t="str">
        <f>IF(L388="MISSING","MISSING",IF(O388=1,"PASS","DUPLICATE"))</f>
        <v>PASS</v>
      </c>
    </row>
    <row r="389" ht="22" customHeight="1">
      <c r="A389" s="15" t="inlineStr">
        <is>
          <t xml:space="preserve">2 Chronicles 18</t>
        </is>
      </c>
      <c r="B389" s="15">
        <v>385</v>
      </c>
      <c r="C389" s="15" t="inlineStr">
        <is>
          <t xml:space="preserve">Old Testament</t>
        </is>
      </c>
      <c r="D389" s="15">
        <v>14</v>
      </c>
      <c r="E389" s="15" t="inlineStr">
        <is>
          <t xml:space="preserve">2 Chronicles</t>
        </is>
      </c>
      <c r="F389" s="15">
        <v>18</v>
      </c>
      <c r="G389" s="15" t="inlineStr">
        <is>
          <t xml:space="preserve">v0.3</t>
        </is>
      </c>
      <c r="H389" s="15" t="inlineStr">
        <is>
          <t xml:space="preserve">Bible_Journey_Canon_Map_v0_3_2Chronicles_Wisdom_2Kings.xlsx</t>
        </is>
      </c>
      <c r="I389" s="15" t="inlineStr">
        <is>
          <t xml:space="preserve">Chapter Map</t>
        </is>
      </c>
      <c r="J389" s="15" t="inlineStr">
        <is>
          <t xml:space="preserve">CRS-BR-2CH-013</t>
        </is>
      </c>
      <c r="K389" s="15"/>
      <c r="L389" s="10" t="inlineStr">
        <is>
          <t xml:space="preserve">Mapped</t>
        </is>
      </c>
      <c r="M389" s="15" t="inlineStr">
        <is>
          <t xml:space="preserve">Chronicles parallels the Micaiah/Ramoth-gilead account with distinct wording and sequence details.</t>
        </is>
      </c>
      <c r="N389" s="15"/>
      <c r="O389" s="15">
        <v>1</v>
      </c>
      <c r="P389" s="10" t="str">
        <f>IF(L389="MISSING","MISSING",IF(O389=1,"PASS","DUPLICATE"))</f>
        <v>PASS</v>
      </c>
    </row>
    <row r="390" ht="22" customHeight="1">
      <c r="A390" s="15" t="inlineStr">
        <is>
          <t xml:space="preserve">2 Chronicles 19</t>
        </is>
      </c>
      <c r="B390" s="15">
        <v>386</v>
      </c>
      <c r="C390" s="15" t="inlineStr">
        <is>
          <t xml:space="preserve">Old Testament</t>
        </is>
      </c>
      <c r="D390" s="15">
        <v>14</v>
      </c>
      <c r="E390" s="15" t="inlineStr">
        <is>
          <t xml:space="preserve">2 Chronicles</t>
        </is>
      </c>
      <c r="F390" s="15">
        <v>19</v>
      </c>
      <c r="G390" s="15" t="inlineStr">
        <is>
          <t xml:space="preserve">v0.3</t>
        </is>
      </c>
      <c r="H390" s="15" t="inlineStr">
        <is>
          <t xml:space="preserve">Bible_Journey_Canon_Map_v0_3_2Chronicles_Wisdom_2Kings.xlsx</t>
        </is>
      </c>
      <c r="I390" s="15" t="inlineStr">
        <is>
          <t xml:space="preserve">Chapter Map</t>
        </is>
      </c>
      <c r="J390" s="15" t="inlineStr">
        <is>
          <t xml:space="preserve">CRS-BR-2CH-014</t>
        </is>
      </c>
      <c r="K390" s="15"/>
      <c r="L390" s="10" t="inlineStr">
        <is>
          <t xml:space="preserve">Mapped</t>
        </is>
      </c>
      <c r="M390" s="15" t="inlineStr">
        <is>
          <t xml:space="preserve">Chronicles gives unique judicial and military-deliverance material for Jehoshaphat's reign.</t>
        </is>
      </c>
      <c r="N390" s="15"/>
      <c r="O390" s="15">
        <v>1</v>
      </c>
      <c r="P390" s="10" t="str">
        <f>IF(L390="MISSING","MISSING",IF(O390=1,"PASS","DUPLICATE"))</f>
        <v>PASS</v>
      </c>
    </row>
    <row r="391" ht="22" customHeight="1">
      <c r="A391" s="15" t="inlineStr">
        <is>
          <t xml:space="preserve">2 Chronicles 20</t>
        </is>
      </c>
      <c r="B391" s="15">
        <v>387</v>
      </c>
      <c r="C391" s="15" t="inlineStr">
        <is>
          <t xml:space="preserve">Old Testament</t>
        </is>
      </c>
      <c r="D391" s="15">
        <v>14</v>
      </c>
      <c r="E391" s="15" t="inlineStr">
        <is>
          <t xml:space="preserve">2 Chronicles</t>
        </is>
      </c>
      <c r="F391" s="15">
        <v>20</v>
      </c>
      <c r="G391" s="15" t="inlineStr">
        <is>
          <t xml:space="preserve">v0.3</t>
        </is>
      </c>
      <c r="H391" s="15" t="inlineStr">
        <is>
          <t xml:space="preserve">Bible_Journey_Canon_Map_v0_3_2Chronicles_Wisdom_2Kings.xlsx</t>
        </is>
      </c>
      <c r="I391" s="15" t="inlineStr">
        <is>
          <t xml:space="preserve">Chapter Map</t>
        </is>
      </c>
      <c r="J391" s="15" t="inlineStr">
        <is>
          <t xml:space="preserve">CRS-BR-2CH-014</t>
        </is>
      </c>
      <c r="K391" s="15"/>
      <c r="L391" s="10" t="inlineStr">
        <is>
          <t xml:space="preserve">Mapped</t>
        </is>
      </c>
      <c r="M391" s="15" t="inlineStr">
        <is>
          <t xml:space="preserve">Chronicles gives unique judicial and military-deliverance material for Jehoshaphat's reign.</t>
        </is>
      </c>
      <c r="N391" s="15"/>
      <c r="O391" s="15">
        <v>1</v>
      </c>
      <c r="P391" s="10" t="str">
        <f>IF(L391="MISSING","MISSING",IF(O391=1,"PASS","DUPLICATE"))</f>
        <v>PASS</v>
      </c>
    </row>
    <row r="392" ht="22" customHeight="1">
      <c r="A392" s="15" t="inlineStr">
        <is>
          <t xml:space="preserve">2 Chronicles 21</t>
        </is>
      </c>
      <c r="B392" s="15">
        <v>388</v>
      </c>
      <c r="C392" s="15" t="inlineStr">
        <is>
          <t xml:space="preserve">Old Testament</t>
        </is>
      </c>
      <c r="D392" s="15">
        <v>14</v>
      </c>
      <c r="E392" s="15" t="inlineStr">
        <is>
          <t xml:space="preserve">2 Chronicles</t>
        </is>
      </c>
      <c r="F392" s="15">
        <v>21</v>
      </c>
      <c r="G392" s="15" t="inlineStr">
        <is>
          <t xml:space="preserve">v0.3</t>
        </is>
      </c>
      <c r="H392" s="15" t="inlineStr">
        <is>
          <t xml:space="preserve">Bible_Journey_Canon_Map_v0_3_2Chronicles_Wisdom_2Kings.xlsx</t>
        </is>
      </c>
      <c r="I392" s="15" t="inlineStr">
        <is>
          <t xml:space="preserve">Chapter Map</t>
        </is>
      </c>
      <c r="J392" s="15" t="inlineStr">
        <is>
          <t xml:space="preserve">CRS-2K-008B</t>
        </is>
      </c>
      <c r="K392" s="15"/>
      <c r="L392" s="10" t="inlineStr">
        <is>
          <t xml:space="preserve">Mapped</t>
        </is>
      </c>
      <c r="M392" s="15" t="inlineStr">
        <is>
          <t xml:space="preserve">Complementary account of Jehoram.</t>
        </is>
      </c>
      <c r="N392" s="15"/>
      <c r="O392" s="15">
        <v>1</v>
      </c>
      <c r="P392" s="10" t="str">
        <f>IF(L392="MISSING","MISSING",IF(O392=1,"PASS","DUPLICATE"))</f>
        <v>PASS</v>
      </c>
    </row>
    <row r="393" ht="22" customHeight="1">
      <c r="A393" s="15" t="inlineStr">
        <is>
          <t xml:space="preserve">2 Chronicles 22</t>
        </is>
      </c>
      <c r="B393" s="15">
        <v>389</v>
      </c>
      <c r="C393" s="15" t="inlineStr">
        <is>
          <t xml:space="preserve">Old Testament</t>
        </is>
      </c>
      <c r="D393" s="15">
        <v>14</v>
      </c>
      <c r="E393" s="15" t="inlineStr">
        <is>
          <t xml:space="preserve">2 Chronicles</t>
        </is>
      </c>
      <c r="F393" s="15">
        <v>22</v>
      </c>
      <c r="G393" s="15" t="inlineStr">
        <is>
          <t xml:space="preserve">v0.3</t>
        </is>
      </c>
      <c r="H393" s="15" t="inlineStr">
        <is>
          <t xml:space="preserve">Bible_Journey_Canon_Map_v0_3_2Chronicles_Wisdom_2Kings.xlsx</t>
        </is>
      </c>
      <c r="I393" s="15" t="inlineStr">
        <is>
          <t xml:space="preserve">Chapter Map</t>
        </is>
      </c>
      <c r="J393" s="15" t="inlineStr">
        <is>
          <t xml:space="preserve">CRS-2K-008B / CRS-2K-011</t>
        </is>
      </c>
      <c r="K393" s="15"/>
      <c r="L393" s="10" t="inlineStr">
        <is>
          <t xml:space="preserve">Mapped with scene split</t>
        </is>
      </c>
      <c r="M393" s="15" t="inlineStr">
        <is>
          <t xml:space="preserve">2 Chronicles 22:1-9 belongs to CRS-2K-008B; 22:10-12 belongs to CRS-2K-011.</t>
        </is>
      </c>
      <c r="N393" s="15"/>
      <c r="O393" s="15">
        <v>1</v>
      </c>
      <c r="P393" s="10" t="str">
        <f>IF(L393="MISSING","MISSING",IF(O393=1,"PASS","DUPLICATE"))</f>
        <v>PASS</v>
      </c>
    </row>
    <row r="394" ht="22" customHeight="1">
      <c r="A394" s="15" t="inlineStr">
        <is>
          <t xml:space="preserve">2 Chronicles 23</t>
        </is>
      </c>
      <c r="B394" s="15">
        <v>390</v>
      </c>
      <c r="C394" s="15" t="inlineStr">
        <is>
          <t xml:space="preserve">Old Testament</t>
        </is>
      </c>
      <c r="D394" s="15">
        <v>14</v>
      </c>
      <c r="E394" s="15" t="inlineStr">
        <is>
          <t xml:space="preserve">2 Chronicles</t>
        </is>
      </c>
      <c r="F394" s="15">
        <v>23</v>
      </c>
      <c r="G394" s="15" t="inlineStr">
        <is>
          <t xml:space="preserve">v0.3</t>
        </is>
      </c>
      <c r="H394" s="15" t="inlineStr">
        <is>
          <t xml:space="preserve">Bible_Journey_Canon_Map_v0_3_2Chronicles_Wisdom_2Kings.xlsx</t>
        </is>
      </c>
      <c r="I394" s="15" t="inlineStr">
        <is>
          <t xml:space="preserve">Chapter Map</t>
        </is>
      </c>
      <c r="J394" s="15" t="inlineStr">
        <is>
          <t xml:space="preserve">CRS-2K-011</t>
        </is>
      </c>
      <c r="K394" s="15"/>
      <c r="L394" s="10" t="inlineStr">
        <is>
          <t xml:space="preserve">Mapped</t>
        </is>
      </c>
      <c r="M394" s="15" t="inlineStr">
        <is>
          <t xml:space="preserve">Parallel account of Joash's enthronement.</t>
        </is>
      </c>
      <c r="N394" s="15"/>
      <c r="O394" s="15">
        <v>1</v>
      </c>
      <c r="P394" s="10" t="str">
        <f>IF(L394="MISSING","MISSING",IF(O394=1,"PASS","DUPLICATE"))</f>
        <v>PASS</v>
      </c>
    </row>
    <row r="395" ht="22" customHeight="1">
      <c r="A395" s="15" t="inlineStr">
        <is>
          <t xml:space="preserve">2 Chronicles 24</t>
        </is>
      </c>
      <c r="B395" s="15">
        <v>391</v>
      </c>
      <c r="C395" s="15" t="inlineStr">
        <is>
          <t xml:space="preserve">Old Testament</t>
        </is>
      </c>
      <c r="D395" s="15">
        <v>14</v>
      </c>
      <c r="E395" s="15" t="inlineStr">
        <is>
          <t xml:space="preserve">2 Chronicles</t>
        </is>
      </c>
      <c r="F395" s="15">
        <v>24</v>
      </c>
      <c r="G395" s="15" t="inlineStr">
        <is>
          <t xml:space="preserve">v0.3</t>
        </is>
      </c>
      <c r="H395" s="15" t="inlineStr">
        <is>
          <t xml:space="preserve">Bible_Journey_Canon_Map_v0_3_2Chronicles_Wisdom_2Kings.xlsx</t>
        </is>
      </c>
      <c r="I395" s="15" t="inlineStr">
        <is>
          <t xml:space="preserve">Chapter Map</t>
        </is>
      </c>
      <c r="J395" s="15" t="inlineStr">
        <is>
          <t xml:space="preserve">CRS-2K-012</t>
        </is>
      </c>
      <c r="K395" s="15"/>
      <c r="L395" s="10" t="inlineStr">
        <is>
          <t xml:space="preserve">Mapped</t>
        </is>
      </c>
      <c r="M395" s="15" t="inlineStr">
        <is>
          <t xml:space="preserve">Complementary account with later Joash material.</t>
        </is>
      </c>
      <c r="N395" s="15"/>
      <c r="O395" s="15">
        <v>1</v>
      </c>
      <c r="P395" s="10" t="str">
        <f>IF(L395="MISSING","MISSING",IF(O395=1,"PASS","DUPLICATE"))</f>
        <v>PASS</v>
      </c>
    </row>
    <row r="396" ht="22" customHeight="1">
      <c r="A396" s="15" t="inlineStr">
        <is>
          <t xml:space="preserve">2 Chronicles 25</t>
        </is>
      </c>
      <c r="B396" s="15">
        <v>392</v>
      </c>
      <c r="C396" s="15" t="inlineStr">
        <is>
          <t xml:space="preserve">Old Testament</t>
        </is>
      </c>
      <c r="D396" s="15">
        <v>14</v>
      </c>
      <c r="E396" s="15" t="inlineStr">
        <is>
          <t xml:space="preserve">2 Chronicles</t>
        </is>
      </c>
      <c r="F396" s="15">
        <v>25</v>
      </c>
      <c r="G396" s="15" t="inlineStr">
        <is>
          <t xml:space="preserve">v0.3</t>
        </is>
      </c>
      <c r="H396" s="15" t="inlineStr">
        <is>
          <t xml:space="preserve">Bible_Journey_Canon_Map_v0_3_2Chronicles_Wisdom_2Kings.xlsx</t>
        </is>
      </c>
      <c r="I396" s="15" t="inlineStr">
        <is>
          <t xml:space="preserve">Chapter Map</t>
        </is>
      </c>
      <c r="J396" s="15" t="inlineStr">
        <is>
          <t xml:space="preserve">CRS-2K-014</t>
        </is>
      </c>
      <c r="K396" s="15"/>
      <c r="L396" s="10" t="inlineStr">
        <is>
          <t xml:space="preserve">Mapped</t>
        </is>
      </c>
      <c r="M396" s="15" t="inlineStr">
        <is>
          <t xml:space="preserve">Parallel account of Amaziah.</t>
        </is>
      </c>
      <c r="N396" s="15"/>
      <c r="O396" s="15">
        <v>1</v>
      </c>
      <c r="P396" s="10" t="str">
        <f>IF(L396="MISSING","MISSING",IF(O396=1,"PASS","DUPLICATE"))</f>
        <v>PASS</v>
      </c>
    </row>
    <row r="397" ht="22" customHeight="1">
      <c r="A397" s="15" t="inlineStr">
        <is>
          <t xml:space="preserve">2 Chronicles 26</t>
        </is>
      </c>
      <c r="B397" s="15">
        <v>393</v>
      </c>
      <c r="C397" s="15" t="inlineStr">
        <is>
          <t xml:space="preserve">Old Testament</t>
        </is>
      </c>
      <c r="D397" s="15">
        <v>14</v>
      </c>
      <c r="E397" s="15" t="inlineStr">
        <is>
          <t xml:space="preserve">2 Chronicles</t>
        </is>
      </c>
      <c r="F397" s="15">
        <v>26</v>
      </c>
      <c r="G397" s="15" t="inlineStr">
        <is>
          <t xml:space="preserve">v0.3</t>
        </is>
      </c>
      <c r="H397" s="15" t="inlineStr">
        <is>
          <t xml:space="preserve">Bible_Journey_Canon_Map_v0_3_2Chronicles_Wisdom_2Kings.xlsx</t>
        </is>
      </c>
      <c r="I397" s="15" t="inlineStr">
        <is>
          <t xml:space="preserve">Chapter Map</t>
        </is>
      </c>
      <c r="J397" s="15" t="inlineStr">
        <is>
          <t xml:space="preserve">CRS-2K-015</t>
        </is>
      </c>
      <c r="K397" s="15"/>
      <c r="L397" s="10" t="inlineStr">
        <is>
          <t xml:space="preserve">Mapped</t>
        </is>
      </c>
      <c r="M397" s="15" t="inlineStr">
        <is>
          <t xml:space="preserve">Complementary account of Uzziah.</t>
        </is>
      </c>
      <c r="N397" s="15"/>
      <c r="O397" s="15">
        <v>1</v>
      </c>
      <c r="P397" s="10" t="str">
        <f>IF(L397="MISSING","MISSING",IF(O397=1,"PASS","DUPLICATE"))</f>
        <v>PASS</v>
      </c>
    </row>
    <row r="398" ht="22" customHeight="1">
      <c r="A398" s="15" t="inlineStr">
        <is>
          <t xml:space="preserve">2 Chronicles 27</t>
        </is>
      </c>
      <c r="B398" s="15">
        <v>394</v>
      </c>
      <c r="C398" s="15" t="inlineStr">
        <is>
          <t xml:space="preserve">Old Testament</t>
        </is>
      </c>
      <c r="D398" s="15">
        <v>14</v>
      </c>
      <c r="E398" s="15" t="inlineStr">
        <is>
          <t xml:space="preserve">2 Chronicles</t>
        </is>
      </c>
      <c r="F398" s="15">
        <v>27</v>
      </c>
      <c r="G398" s="15" t="inlineStr">
        <is>
          <t xml:space="preserve">v0.3</t>
        </is>
      </c>
      <c r="H398" s="15" t="inlineStr">
        <is>
          <t xml:space="preserve">Bible_Journey_Canon_Map_v0_3_2Chronicles_Wisdom_2Kings.xlsx</t>
        </is>
      </c>
      <c r="I398" s="15" t="inlineStr">
        <is>
          <t xml:space="preserve">Chapter Map</t>
        </is>
      </c>
      <c r="J398" s="15" t="inlineStr">
        <is>
          <t xml:space="preserve">CRS-2K-015</t>
        </is>
      </c>
      <c r="K398" s="15"/>
      <c r="L398" s="10" t="inlineStr">
        <is>
          <t xml:space="preserve">Mapped</t>
        </is>
      </c>
      <c r="M398" s="15" t="inlineStr">
        <is>
          <t xml:space="preserve">Complementary account of Jotham.</t>
        </is>
      </c>
      <c r="N398" s="15"/>
      <c r="O398" s="15">
        <v>1</v>
      </c>
      <c r="P398" s="10" t="str">
        <f>IF(L398="MISSING","MISSING",IF(O398=1,"PASS","DUPLICATE"))</f>
        <v>PASS</v>
      </c>
    </row>
    <row r="399" ht="22" customHeight="1">
      <c r="A399" s="15" t="inlineStr">
        <is>
          <t xml:space="preserve">2 Chronicles 28</t>
        </is>
      </c>
      <c r="B399" s="15">
        <v>395</v>
      </c>
      <c r="C399" s="15" t="inlineStr">
        <is>
          <t xml:space="preserve">Old Testament</t>
        </is>
      </c>
      <c r="D399" s="15">
        <v>14</v>
      </c>
      <c r="E399" s="15" t="inlineStr">
        <is>
          <t xml:space="preserve">2 Chronicles</t>
        </is>
      </c>
      <c r="F399" s="15">
        <v>28</v>
      </c>
      <c r="G399" s="15" t="inlineStr">
        <is>
          <t xml:space="preserve">v0.3</t>
        </is>
      </c>
      <c r="H399" s="15" t="inlineStr">
        <is>
          <t xml:space="preserve">Bible_Journey_Canon_Map_v0_3_2Chronicles_Wisdom_2Kings.xlsx</t>
        </is>
      </c>
      <c r="I399" s="15" t="inlineStr">
        <is>
          <t xml:space="preserve">Chapter Map</t>
        </is>
      </c>
      <c r="J399" s="15" t="inlineStr">
        <is>
          <t xml:space="preserve">CRS-2K-016</t>
        </is>
      </c>
      <c r="K399" s="15"/>
      <c r="L399" s="10" t="inlineStr">
        <is>
          <t xml:space="preserve">Mapped</t>
        </is>
      </c>
      <c r="M399" s="15" t="inlineStr">
        <is>
          <t xml:space="preserve">Complementary account of Ahaz.</t>
        </is>
      </c>
      <c r="N399" s="15"/>
      <c r="O399" s="15">
        <v>1</v>
      </c>
      <c r="P399" s="10" t="str">
        <f>IF(L399="MISSING","MISSING",IF(O399=1,"PASS","DUPLICATE"))</f>
        <v>PASS</v>
      </c>
    </row>
    <row r="400" ht="22" customHeight="1">
      <c r="A400" s="15" t="inlineStr">
        <is>
          <t xml:space="preserve">2 Chronicles 29</t>
        </is>
      </c>
      <c r="B400" s="15">
        <v>396</v>
      </c>
      <c r="C400" s="15" t="inlineStr">
        <is>
          <t xml:space="preserve">Old Testament</t>
        </is>
      </c>
      <c r="D400" s="15">
        <v>14</v>
      </c>
      <c r="E400" s="15" t="inlineStr">
        <is>
          <t xml:space="preserve">2 Chronicles</t>
        </is>
      </c>
      <c r="F400" s="15">
        <v>29</v>
      </c>
      <c r="G400" s="15" t="inlineStr">
        <is>
          <t xml:space="preserve">v0.3</t>
        </is>
      </c>
      <c r="H400" s="15" t="inlineStr">
        <is>
          <t xml:space="preserve">Bible_Journey_Canon_Map_v0_3_2Chronicles_Wisdom_2Kings.xlsx</t>
        </is>
      </c>
      <c r="I400" s="15" t="inlineStr">
        <is>
          <t xml:space="preserve">Chapter Map</t>
        </is>
      </c>
      <c r="J400" s="15" t="inlineStr">
        <is>
          <t xml:space="preserve">CRS-2K-018</t>
        </is>
      </c>
      <c r="K400" s="15"/>
      <c r="L400" s="10" t="inlineStr">
        <is>
          <t xml:space="preserve">Mapped</t>
        </is>
      </c>
      <c r="M400" s="15" t="inlineStr">
        <is>
          <t xml:space="preserve">Complementary account: temple cleansing.</t>
        </is>
      </c>
      <c r="N400" s="15"/>
      <c r="O400" s="15">
        <v>1</v>
      </c>
      <c r="P400" s="10" t="str">
        <f>IF(L400="MISSING","MISSING",IF(O400=1,"PASS","DUPLICATE"))</f>
        <v>PASS</v>
      </c>
    </row>
    <row r="401" ht="22" customHeight="1">
      <c r="A401" s="15" t="inlineStr">
        <is>
          <t xml:space="preserve">2 Chronicles 30</t>
        </is>
      </c>
      <c r="B401" s="15">
        <v>397</v>
      </c>
      <c r="C401" s="15" t="inlineStr">
        <is>
          <t xml:space="preserve">Old Testament</t>
        </is>
      </c>
      <c r="D401" s="15">
        <v>14</v>
      </c>
      <c r="E401" s="15" t="inlineStr">
        <is>
          <t xml:space="preserve">2 Chronicles</t>
        </is>
      </c>
      <c r="F401" s="15">
        <v>30</v>
      </c>
      <c r="G401" s="15" t="inlineStr">
        <is>
          <t xml:space="preserve">v0.3</t>
        </is>
      </c>
      <c r="H401" s="15" t="inlineStr">
        <is>
          <t xml:space="preserve">Bible_Journey_Canon_Map_v0_3_2Chronicles_Wisdom_2Kings.xlsx</t>
        </is>
      </c>
      <c r="I401" s="15" t="inlineStr">
        <is>
          <t xml:space="preserve">Chapter Map</t>
        </is>
      </c>
      <c r="J401" s="15" t="inlineStr">
        <is>
          <t xml:space="preserve">CRS-2K-018</t>
        </is>
      </c>
      <c r="K401" s="15"/>
      <c r="L401" s="10" t="inlineStr">
        <is>
          <t xml:space="preserve">Mapped</t>
        </is>
      </c>
      <c r="M401" s="15" t="inlineStr">
        <is>
          <t xml:space="preserve">Complementary account: Passover.</t>
        </is>
      </c>
      <c r="N401" s="15"/>
      <c r="O401" s="15">
        <v>1</v>
      </c>
      <c r="P401" s="10" t="str">
        <f>IF(L401="MISSING","MISSING",IF(O401=1,"PASS","DUPLICATE"))</f>
        <v>PASS</v>
      </c>
    </row>
    <row r="402" ht="22" customHeight="1">
      <c r="A402" s="15" t="inlineStr">
        <is>
          <t xml:space="preserve">2 Chronicles 31</t>
        </is>
      </c>
      <c r="B402" s="15">
        <v>398</v>
      </c>
      <c r="C402" s="15" t="inlineStr">
        <is>
          <t xml:space="preserve">Old Testament</t>
        </is>
      </c>
      <c r="D402" s="15">
        <v>14</v>
      </c>
      <c r="E402" s="15" t="inlineStr">
        <is>
          <t xml:space="preserve">2 Chronicles</t>
        </is>
      </c>
      <c r="F402" s="15">
        <v>31</v>
      </c>
      <c r="G402" s="15" t="inlineStr">
        <is>
          <t xml:space="preserve">v0.3</t>
        </is>
      </c>
      <c r="H402" s="15" t="inlineStr">
        <is>
          <t xml:space="preserve">Bible_Journey_Canon_Map_v0_3_2Chronicles_Wisdom_2Kings.xlsx</t>
        </is>
      </c>
      <c r="I402" s="15" t="inlineStr">
        <is>
          <t xml:space="preserve">Chapter Map</t>
        </is>
      </c>
      <c r="J402" s="15" t="inlineStr">
        <is>
          <t xml:space="preserve">CRS-2K-018</t>
        </is>
      </c>
      <c r="K402" s="15"/>
      <c r="L402" s="10" t="inlineStr">
        <is>
          <t xml:space="preserve">Mapped</t>
        </is>
      </c>
      <c r="M402" s="15" t="inlineStr">
        <is>
          <t xml:space="preserve">Complementary account: reforms and organization.</t>
        </is>
      </c>
      <c r="N402" s="15"/>
      <c r="O402" s="15">
        <v>1</v>
      </c>
      <c r="P402" s="10" t="str">
        <f>IF(L402="MISSING","MISSING",IF(O402=1,"PASS","DUPLICATE"))</f>
        <v>PASS</v>
      </c>
    </row>
    <row r="403" ht="22" customHeight="1">
      <c r="A403" s="15" t="inlineStr">
        <is>
          <t xml:space="preserve">2 Chronicles 32</t>
        </is>
      </c>
      <c r="B403" s="15">
        <v>399</v>
      </c>
      <c r="C403" s="15" t="inlineStr">
        <is>
          <t xml:space="preserve">Old Testament</t>
        </is>
      </c>
      <c r="D403" s="15">
        <v>14</v>
      </c>
      <c r="E403" s="15" t="inlineStr">
        <is>
          <t xml:space="preserve">2 Chronicles</t>
        </is>
      </c>
      <c r="F403" s="15">
        <v>32</v>
      </c>
      <c r="G403" s="15" t="inlineStr">
        <is>
          <t xml:space="preserve">v0.3</t>
        </is>
      </c>
      <c r="H403" s="15" t="inlineStr">
        <is>
          <t xml:space="preserve">Bible_Journey_Canon_Map_v0_3_2Chronicles_Wisdom_2Kings.xlsx</t>
        </is>
      </c>
      <c r="I403" s="15" t="inlineStr">
        <is>
          <t xml:space="preserve">Chapter Map</t>
        </is>
      </c>
      <c r="J403" s="15" t="inlineStr">
        <is>
          <t xml:space="preserve">CRS-2K-019 / CRS-2K-020</t>
        </is>
      </c>
      <c r="K403" s="15"/>
      <c r="L403" s="10" t="inlineStr">
        <is>
          <t xml:space="preserve">Mapped with scene split</t>
        </is>
      </c>
      <c r="M403" s="15" t="inlineStr">
        <is>
          <t xml:space="preserve">2 Chronicles 32:1-23 belongs to CRS-2K-019; 32:24-31 belongs to CRS-2K-020.</t>
        </is>
      </c>
      <c r="N403" s="15"/>
      <c r="O403" s="15">
        <v>1</v>
      </c>
      <c r="P403" s="10" t="str">
        <f>IF(L403="MISSING","MISSING",IF(O403=1,"PASS","DUPLICATE"))</f>
        <v>PASS</v>
      </c>
    </row>
    <row r="404" ht="22" customHeight="1">
      <c r="A404" s="15" t="inlineStr">
        <is>
          <t xml:space="preserve">2 Chronicles 33</t>
        </is>
      </c>
      <c r="B404" s="15">
        <v>400</v>
      </c>
      <c r="C404" s="15" t="inlineStr">
        <is>
          <t xml:space="preserve">Old Testament</t>
        </is>
      </c>
      <c r="D404" s="15">
        <v>14</v>
      </c>
      <c r="E404" s="15" t="inlineStr">
        <is>
          <t xml:space="preserve">2 Chronicles</t>
        </is>
      </c>
      <c r="F404" s="15">
        <v>33</v>
      </c>
      <c r="G404" s="15" t="inlineStr">
        <is>
          <t xml:space="preserve">v0.3</t>
        </is>
      </c>
      <c r="H404" s="15" t="inlineStr">
        <is>
          <t xml:space="preserve">Bible_Journey_Canon_Map_v0_3_2Chronicles_Wisdom_2Kings.xlsx</t>
        </is>
      </c>
      <c r="I404" s="15" t="inlineStr">
        <is>
          <t xml:space="preserve">Chapter Map</t>
        </is>
      </c>
      <c r="J404" s="15" t="inlineStr">
        <is>
          <t xml:space="preserve">CRS-2K-021</t>
        </is>
      </c>
      <c r="K404" s="15"/>
      <c r="L404" s="10" t="inlineStr">
        <is>
          <t xml:space="preserve">Mapped</t>
        </is>
      </c>
      <c r="M404" s="15" t="inlineStr">
        <is>
          <t xml:space="preserve">Parallel/complementary account.</t>
        </is>
      </c>
      <c r="N404" s="15"/>
      <c r="O404" s="15">
        <v>1</v>
      </c>
      <c r="P404" s="10" t="str">
        <f>IF(L404="MISSING","MISSING",IF(O404=1,"PASS","DUPLICATE"))</f>
        <v>PASS</v>
      </c>
    </row>
    <row r="405" ht="22" customHeight="1">
      <c r="A405" s="15" t="inlineStr">
        <is>
          <t xml:space="preserve">2 Chronicles 34</t>
        </is>
      </c>
      <c r="B405" s="15">
        <v>401</v>
      </c>
      <c r="C405" s="15" t="inlineStr">
        <is>
          <t xml:space="preserve">Old Testament</t>
        </is>
      </c>
      <c r="D405" s="15">
        <v>14</v>
      </c>
      <c r="E405" s="15" t="inlineStr">
        <is>
          <t xml:space="preserve">2 Chronicles</t>
        </is>
      </c>
      <c r="F405" s="15">
        <v>34</v>
      </c>
      <c r="G405" s="15" t="inlineStr">
        <is>
          <t xml:space="preserve">v0.3</t>
        </is>
      </c>
      <c r="H405" s="15" t="inlineStr">
        <is>
          <t xml:space="preserve">Bible_Journey_Canon_Map_v0_3_2Chronicles_Wisdom_2Kings.xlsx</t>
        </is>
      </c>
      <c r="I405" s="15" t="inlineStr">
        <is>
          <t xml:space="preserve">Chapter Map</t>
        </is>
      </c>
      <c r="J405" s="15" t="inlineStr">
        <is>
          <t xml:space="preserve">CRS-2K-022</t>
        </is>
      </c>
      <c r="K405" s="15"/>
      <c r="L405" s="10" t="inlineStr">
        <is>
          <t xml:space="preserve">Mapped</t>
        </is>
      </c>
      <c r="M405" s="15" t="inlineStr">
        <is>
          <t xml:space="preserve">Parallel/complementary account.</t>
        </is>
      </c>
      <c r="N405" s="15"/>
      <c r="O405" s="15">
        <v>1</v>
      </c>
      <c r="P405" s="10" t="str">
        <f>IF(L405="MISSING","MISSING",IF(O405=1,"PASS","DUPLICATE"))</f>
        <v>PASS</v>
      </c>
    </row>
    <row r="406" ht="22" customHeight="1">
      <c r="A406" s="15" t="inlineStr">
        <is>
          <t xml:space="preserve">2 Chronicles 35</t>
        </is>
      </c>
      <c r="B406" s="15">
        <v>402</v>
      </c>
      <c r="C406" s="15" t="inlineStr">
        <is>
          <t xml:space="preserve">Old Testament</t>
        </is>
      </c>
      <c r="D406" s="15">
        <v>14</v>
      </c>
      <c r="E406" s="15" t="inlineStr">
        <is>
          <t xml:space="preserve">2 Chronicles</t>
        </is>
      </c>
      <c r="F406" s="15">
        <v>35</v>
      </c>
      <c r="G406" s="15" t="inlineStr">
        <is>
          <t xml:space="preserve">v0.3</t>
        </is>
      </c>
      <c r="H406" s="15" t="inlineStr">
        <is>
          <t xml:space="preserve">Bible_Journey_Canon_Map_v0_3_2Chronicles_Wisdom_2Kings.xlsx</t>
        </is>
      </c>
      <c r="I406" s="15" t="inlineStr">
        <is>
          <t xml:space="preserve">Chapter Map</t>
        </is>
      </c>
      <c r="J406" s="15" t="inlineStr">
        <is>
          <t xml:space="preserve">CRS-2K-023</t>
        </is>
      </c>
      <c r="K406" s="15"/>
      <c r="L406" s="10" t="inlineStr">
        <is>
          <t xml:space="preserve">Mapped</t>
        </is>
      </c>
      <c r="M406" s="15" t="inlineStr">
        <is>
          <t xml:space="preserve">Parallel/complementary account.</t>
        </is>
      </c>
      <c r="N406" s="15"/>
      <c r="O406" s="15">
        <v>1</v>
      </c>
      <c r="P406" s="10" t="str">
        <f>IF(L406="MISSING","MISSING",IF(O406=1,"PASS","DUPLICATE"))</f>
        <v>PASS</v>
      </c>
    </row>
    <row r="407" ht="22" customHeight="1">
      <c r="A407" s="15" t="inlineStr">
        <is>
          <t xml:space="preserve">2 Chronicles 36</t>
        </is>
      </c>
      <c r="B407" s="15">
        <v>403</v>
      </c>
      <c r="C407" s="15" t="inlineStr">
        <is>
          <t xml:space="preserve">Old Testament</t>
        </is>
      </c>
      <c r="D407" s="15">
        <v>14</v>
      </c>
      <c r="E407" s="15" t="inlineStr">
        <is>
          <t xml:space="preserve">2 Chronicles</t>
        </is>
      </c>
      <c r="F407" s="15">
        <v>36</v>
      </c>
      <c r="G407" s="15" t="inlineStr">
        <is>
          <t xml:space="preserve">v0.3</t>
        </is>
      </c>
      <c r="H407" s="15" t="inlineStr">
        <is>
          <t xml:space="preserve">Bible_Journey_Canon_Map_v0_3_2Chronicles_Wisdom_2Kings.xlsx</t>
        </is>
      </c>
      <c r="I407" s="15" t="inlineStr">
        <is>
          <t xml:space="preserve">Chapter Map</t>
        </is>
      </c>
      <c r="J407" s="15" t="inlineStr">
        <is>
          <t xml:space="preserve">CRS-2K-024 / CRS-2K-025</t>
        </is>
      </c>
      <c r="K407" s="15"/>
      <c r="L407" s="10" t="inlineStr">
        <is>
          <t xml:space="preserve">Mapped with scene split</t>
        </is>
      </c>
      <c r="M407" s="15" t="inlineStr">
        <is>
          <t xml:space="preserve">2 Chronicles 36:1-21 belongs to CRS-2K-024; 36:22-23 belongs to CRS-2K-025 as a bridge to Ezra.</t>
        </is>
      </c>
      <c r="N407" s="15"/>
      <c r="O407" s="15">
        <v>1</v>
      </c>
      <c r="P407" s="10" t="str">
        <f>IF(L407="MISSING","MISSING",IF(O407=1,"PASS","DUPLICATE"))</f>
        <v>PASS</v>
      </c>
    </row>
    <row r="408" ht="22" customHeight="1">
      <c r="A408" s="15" t="inlineStr">
        <is>
          <t xml:space="preserve">Ezra 1</t>
        </is>
      </c>
      <c r="B408" s="15">
        <v>404</v>
      </c>
      <c r="C408" s="15" t="inlineStr">
        <is>
          <t xml:space="preserve">Old Testament</t>
        </is>
      </c>
      <c r="D408" s="15">
        <v>15</v>
      </c>
      <c r="E408" s="15" t="inlineStr">
        <is>
          <t xml:space="preserve">Ezra</t>
        </is>
      </c>
      <c r="F408" s="15">
        <v>1</v>
      </c>
      <c r="G408" s="15" t="inlineStr">
        <is>
          <t xml:space="preserve">v0.5</t>
        </is>
      </c>
      <c r="H408" s="15" t="inlineStr">
        <is>
          <t xml:space="preserve">Bible_Journey_Canon_Map_v0_5_Exile_Return_Persia.xlsx</t>
        </is>
      </c>
      <c r="I408" s="15" t="inlineStr">
        <is>
          <t xml:space="preserve">Coverage Audit</t>
        </is>
      </c>
      <c r="J408" s="15" t="inlineStr">
        <is>
          <t xml:space="preserve">CRS-05-022</t>
        </is>
      </c>
      <c r="K408" s="15" t="inlineStr">
        <is>
          <t xml:space="preserve">BLK-05-022</t>
        </is>
      </c>
      <c r="L408" s="15" t="inlineStr">
        <is>
          <t xml:space="preserve">Covered</t>
        </is>
      </c>
      <c r="M408" s="15" t="inlineStr">
        <is>
          <t xml:space="preserve">Single reading block</t>
        </is>
      </c>
      <c r="N408" s="15"/>
      <c r="O408" s="15">
        <v>1</v>
      </c>
      <c r="P408" s="10" t="str">
        <f>IF(L408="MISSING","MISSING",IF(O408=1,"PASS","DUPLICATE"))</f>
        <v>PASS</v>
      </c>
    </row>
    <row r="409" ht="22" customHeight="1">
      <c r="A409" s="15" t="inlineStr">
        <is>
          <t xml:space="preserve">Ezra 2</t>
        </is>
      </c>
      <c r="B409" s="15">
        <v>405</v>
      </c>
      <c r="C409" s="15" t="inlineStr">
        <is>
          <t xml:space="preserve">Old Testament</t>
        </is>
      </c>
      <c r="D409" s="15">
        <v>15</v>
      </c>
      <c r="E409" s="15" t="inlineStr">
        <is>
          <t xml:space="preserve">Ezra</t>
        </is>
      </c>
      <c r="F409" s="15">
        <v>2</v>
      </c>
      <c r="G409" s="15" t="inlineStr">
        <is>
          <t xml:space="preserve">v0.5</t>
        </is>
      </c>
      <c r="H409" s="15" t="inlineStr">
        <is>
          <t xml:space="preserve">Bible_Journey_Canon_Map_v0_5_Exile_Return_Persia.xlsx</t>
        </is>
      </c>
      <c r="I409" s="15" t="inlineStr">
        <is>
          <t xml:space="preserve">Coverage Audit</t>
        </is>
      </c>
      <c r="J409" s="15" t="inlineStr">
        <is>
          <t xml:space="preserve">CRS-05-023</t>
        </is>
      </c>
      <c r="K409" s="15" t="inlineStr">
        <is>
          <t xml:space="preserve">BLK-05-023</t>
        </is>
      </c>
      <c r="L409" s="15" t="inlineStr">
        <is>
          <t xml:space="preserve">Covered</t>
        </is>
      </c>
      <c r="M409" s="15" t="inlineStr">
        <is>
          <t xml:space="preserve">Single reading block</t>
        </is>
      </c>
      <c r="N409" s="15"/>
      <c r="O409" s="15">
        <v>1</v>
      </c>
      <c r="P409" s="10" t="str">
        <f>IF(L409="MISSING","MISSING",IF(O409=1,"PASS","DUPLICATE"))</f>
        <v>PASS</v>
      </c>
    </row>
    <row r="410" ht="22" customHeight="1">
      <c r="A410" s="15" t="inlineStr">
        <is>
          <t xml:space="preserve">Ezra 3</t>
        </is>
      </c>
      <c r="B410" s="15">
        <v>406</v>
      </c>
      <c r="C410" s="15" t="inlineStr">
        <is>
          <t xml:space="preserve">Old Testament</t>
        </is>
      </c>
      <c r="D410" s="15">
        <v>15</v>
      </c>
      <c r="E410" s="15" t="inlineStr">
        <is>
          <t xml:space="preserve">Ezra</t>
        </is>
      </c>
      <c r="F410" s="15">
        <v>3</v>
      </c>
      <c r="G410" s="15" t="inlineStr">
        <is>
          <t xml:space="preserve">v0.5</t>
        </is>
      </c>
      <c r="H410" s="15" t="inlineStr">
        <is>
          <t xml:space="preserve">Bible_Journey_Canon_Map_v0_5_Exile_Return_Persia.xlsx</t>
        </is>
      </c>
      <c r="I410" s="15" t="inlineStr">
        <is>
          <t xml:space="preserve">Coverage Audit</t>
        </is>
      </c>
      <c r="J410" s="15" t="inlineStr">
        <is>
          <t xml:space="preserve">CRS-05-023</t>
        </is>
      </c>
      <c r="K410" s="15" t="inlineStr">
        <is>
          <t xml:space="preserve">BLK-05-023</t>
        </is>
      </c>
      <c r="L410" s="15" t="inlineStr">
        <is>
          <t xml:space="preserve">Covered</t>
        </is>
      </c>
      <c r="M410" s="15" t="inlineStr">
        <is>
          <t xml:space="preserve">Single reading block</t>
        </is>
      </c>
      <c r="N410" s="15"/>
      <c r="O410" s="15">
        <v>1</v>
      </c>
      <c r="P410" s="10" t="str">
        <f>IF(L410="MISSING","MISSING",IF(O410=1,"PASS","DUPLICATE"))</f>
        <v>PASS</v>
      </c>
    </row>
    <row r="411" ht="22" customHeight="1">
      <c r="A411" s="15" t="inlineStr">
        <is>
          <t xml:space="preserve">Ezra 4</t>
        </is>
      </c>
      <c r="B411" s="15">
        <v>407</v>
      </c>
      <c r="C411" s="15" t="inlineStr">
        <is>
          <t xml:space="preserve">Old Testament</t>
        </is>
      </c>
      <c r="D411" s="15">
        <v>15</v>
      </c>
      <c r="E411" s="15" t="inlineStr">
        <is>
          <t xml:space="preserve">Ezra</t>
        </is>
      </c>
      <c r="F411" s="15">
        <v>4</v>
      </c>
      <c r="G411" s="15" t="inlineStr">
        <is>
          <t xml:space="preserve">v0.5</t>
        </is>
      </c>
      <c r="H411" s="15" t="inlineStr">
        <is>
          <t xml:space="preserve">Bible_Journey_Canon_Map_v0_5_Exile_Return_Persia.xlsx</t>
        </is>
      </c>
      <c r="I411" s="15" t="inlineStr">
        <is>
          <t xml:space="preserve">Coverage Audit</t>
        </is>
      </c>
      <c r="J411" s="15" t="inlineStr">
        <is>
          <t xml:space="preserve">CRS-05-024</t>
        </is>
      </c>
      <c r="K411" s="15" t="inlineStr">
        <is>
          <t xml:space="preserve">BLK-05-024, BLK-05-027, BLK-05-034, BLK-05-035</t>
        </is>
      </c>
      <c r="L411" s="15" t="inlineStr">
        <is>
          <t xml:space="preserve">Covered</t>
        </is>
      </c>
      <c r="M411" s="15" t="inlineStr">
        <is>
          <t xml:space="preserve">Split across reading blocks</t>
        </is>
      </c>
      <c r="N411" s="15"/>
      <c r="O411" s="15">
        <v>1</v>
      </c>
      <c r="P411" s="10" t="str">
        <f>IF(L411="MISSING","MISSING",IF(O411=1,"PASS","DUPLICATE"))</f>
        <v>PASS</v>
      </c>
    </row>
    <row r="412" ht="22" customHeight="1">
      <c r="A412" s="15" t="inlineStr">
        <is>
          <t xml:space="preserve">Ezra 5</t>
        </is>
      </c>
      <c r="B412" s="15">
        <v>408</v>
      </c>
      <c r="C412" s="15" t="inlineStr">
        <is>
          <t xml:space="preserve">Old Testament</t>
        </is>
      </c>
      <c r="D412" s="15">
        <v>15</v>
      </c>
      <c r="E412" s="15" t="inlineStr">
        <is>
          <t xml:space="preserve">Ezra</t>
        </is>
      </c>
      <c r="F412" s="15">
        <v>5</v>
      </c>
      <c r="G412" s="15" t="inlineStr">
        <is>
          <t xml:space="preserve">v0.5</t>
        </is>
      </c>
      <c r="H412" s="15" t="inlineStr">
        <is>
          <t xml:space="preserve">Bible_Journey_Canon_Map_v0_5_Exile_Return_Persia.xlsx</t>
        </is>
      </c>
      <c r="I412" s="15" t="inlineStr">
        <is>
          <t xml:space="preserve">Coverage Audit</t>
        </is>
      </c>
      <c r="J412" s="15" t="inlineStr">
        <is>
          <t xml:space="preserve">CRS-05-027</t>
        </is>
      </c>
      <c r="K412" s="15" t="inlineStr">
        <is>
          <t xml:space="preserve">BLK-05-027, BLK-05-031</t>
        </is>
      </c>
      <c r="L412" s="15" t="inlineStr">
        <is>
          <t xml:space="preserve">Covered</t>
        </is>
      </c>
      <c r="M412" s="15" t="inlineStr">
        <is>
          <t xml:space="preserve">Split across reading blocks</t>
        </is>
      </c>
      <c r="N412" s="15"/>
      <c r="O412" s="15">
        <v>1</v>
      </c>
      <c r="P412" s="10" t="str">
        <f>IF(L412="MISSING","MISSING",IF(O412=1,"PASS","DUPLICATE"))</f>
        <v>PASS</v>
      </c>
    </row>
    <row r="413" ht="22" customHeight="1">
      <c r="A413" s="15" t="inlineStr">
        <is>
          <t xml:space="preserve">Ezra 6</t>
        </is>
      </c>
      <c r="B413" s="15">
        <v>409</v>
      </c>
      <c r="C413" s="15" t="inlineStr">
        <is>
          <t xml:space="preserve">Old Testament</t>
        </is>
      </c>
      <c r="D413" s="15">
        <v>15</v>
      </c>
      <c r="E413" s="15" t="inlineStr">
        <is>
          <t xml:space="preserve">Ezra</t>
        </is>
      </c>
      <c r="F413" s="15">
        <v>6</v>
      </c>
      <c r="G413" s="15" t="inlineStr">
        <is>
          <t xml:space="preserve">v0.5</t>
        </is>
      </c>
      <c r="H413" s="15" t="inlineStr">
        <is>
          <t xml:space="preserve">Bible_Journey_Canon_Map_v0_5_Exile_Return_Persia.xlsx</t>
        </is>
      </c>
      <c r="I413" s="15" t="inlineStr">
        <is>
          <t xml:space="preserve">Coverage Audit</t>
        </is>
      </c>
      <c r="J413" s="15" t="inlineStr">
        <is>
          <t xml:space="preserve">CRS-05-032</t>
        </is>
      </c>
      <c r="K413" s="15" t="inlineStr">
        <is>
          <t xml:space="preserve">BLK-05-032</t>
        </is>
      </c>
      <c r="L413" s="15" t="inlineStr">
        <is>
          <t xml:space="preserve">Covered</t>
        </is>
      </c>
      <c r="M413" s="15" t="inlineStr">
        <is>
          <t xml:space="preserve">Single reading block</t>
        </is>
      </c>
      <c r="N413" s="15"/>
      <c r="O413" s="15">
        <v>1</v>
      </c>
      <c r="P413" s="10" t="str">
        <f>IF(L413="MISSING","MISSING",IF(O413=1,"PASS","DUPLICATE"))</f>
        <v>PASS</v>
      </c>
    </row>
    <row r="414" ht="22" customHeight="1">
      <c r="A414" s="15" t="inlineStr">
        <is>
          <t xml:space="preserve">Ezra 7</t>
        </is>
      </c>
      <c r="B414" s="15">
        <v>410</v>
      </c>
      <c r="C414" s="15" t="inlineStr">
        <is>
          <t xml:space="preserve">Old Testament</t>
        </is>
      </c>
      <c r="D414" s="15">
        <v>15</v>
      </c>
      <c r="E414" s="15" t="inlineStr">
        <is>
          <t xml:space="preserve">Ezra</t>
        </is>
      </c>
      <c r="F414" s="15">
        <v>7</v>
      </c>
      <c r="G414" s="15" t="inlineStr">
        <is>
          <t xml:space="preserve">v0.5</t>
        </is>
      </c>
      <c r="H414" s="15" t="inlineStr">
        <is>
          <t xml:space="preserve">Bible_Journey_Canon_Map_v0_5_Exile_Return_Persia.xlsx</t>
        </is>
      </c>
      <c r="I414" s="15" t="inlineStr">
        <is>
          <t xml:space="preserve">Coverage Audit</t>
        </is>
      </c>
      <c r="J414" s="15" t="inlineStr">
        <is>
          <t xml:space="preserve">CRS-05-036</t>
        </is>
      </c>
      <c r="K414" s="15" t="inlineStr">
        <is>
          <t xml:space="preserve">BLK-05-036</t>
        </is>
      </c>
      <c r="L414" s="15" t="inlineStr">
        <is>
          <t xml:space="preserve">Covered</t>
        </is>
      </c>
      <c r="M414" s="15" t="inlineStr">
        <is>
          <t xml:space="preserve">Single reading block</t>
        </is>
      </c>
      <c r="N414" s="15"/>
      <c r="O414" s="15">
        <v>1</v>
      </c>
      <c r="P414" s="10" t="str">
        <f>IF(L414="MISSING","MISSING",IF(O414=1,"PASS","DUPLICATE"))</f>
        <v>PASS</v>
      </c>
    </row>
    <row r="415" ht="22" customHeight="1">
      <c r="A415" s="15" t="inlineStr">
        <is>
          <t xml:space="preserve">Ezra 8</t>
        </is>
      </c>
      <c r="B415" s="15">
        <v>411</v>
      </c>
      <c r="C415" s="15" t="inlineStr">
        <is>
          <t xml:space="preserve">Old Testament</t>
        </is>
      </c>
      <c r="D415" s="15">
        <v>15</v>
      </c>
      <c r="E415" s="15" t="inlineStr">
        <is>
          <t xml:space="preserve">Ezra</t>
        </is>
      </c>
      <c r="F415" s="15">
        <v>8</v>
      </c>
      <c r="G415" s="15" t="inlineStr">
        <is>
          <t xml:space="preserve">v0.5</t>
        </is>
      </c>
      <c r="H415" s="15" t="inlineStr">
        <is>
          <t xml:space="preserve">Bible_Journey_Canon_Map_v0_5_Exile_Return_Persia.xlsx</t>
        </is>
      </c>
      <c r="I415" s="15" t="inlineStr">
        <is>
          <t xml:space="preserve">Coverage Audit</t>
        </is>
      </c>
      <c r="J415" s="15" t="inlineStr">
        <is>
          <t xml:space="preserve">CRS-05-036</t>
        </is>
      </c>
      <c r="K415" s="15" t="inlineStr">
        <is>
          <t xml:space="preserve">BLK-05-036</t>
        </is>
      </c>
      <c r="L415" s="15" t="inlineStr">
        <is>
          <t xml:space="preserve">Covered</t>
        </is>
      </c>
      <c r="M415" s="15" t="inlineStr">
        <is>
          <t xml:space="preserve">Single reading block</t>
        </is>
      </c>
      <c r="N415" s="15"/>
      <c r="O415" s="15">
        <v>1</v>
      </c>
      <c r="P415" s="10" t="str">
        <f>IF(L415="MISSING","MISSING",IF(O415=1,"PASS","DUPLICATE"))</f>
        <v>PASS</v>
      </c>
    </row>
    <row r="416" ht="22" customHeight="1">
      <c r="A416" s="15" t="inlineStr">
        <is>
          <t xml:space="preserve">Ezra 9</t>
        </is>
      </c>
      <c r="B416" s="15">
        <v>412</v>
      </c>
      <c r="C416" s="15" t="inlineStr">
        <is>
          <t xml:space="preserve">Old Testament</t>
        </is>
      </c>
      <c r="D416" s="15">
        <v>15</v>
      </c>
      <c r="E416" s="15" t="inlineStr">
        <is>
          <t xml:space="preserve">Ezra</t>
        </is>
      </c>
      <c r="F416" s="15">
        <v>9</v>
      </c>
      <c r="G416" s="15" t="inlineStr">
        <is>
          <t xml:space="preserve">v0.5</t>
        </is>
      </c>
      <c r="H416" s="15" t="inlineStr">
        <is>
          <t xml:space="preserve">Bible_Journey_Canon_Map_v0_5_Exile_Return_Persia.xlsx</t>
        </is>
      </c>
      <c r="I416" s="15" t="inlineStr">
        <is>
          <t xml:space="preserve">Coverage Audit</t>
        </is>
      </c>
      <c r="J416" s="15" t="inlineStr">
        <is>
          <t xml:space="preserve">CRS-05-037</t>
        </is>
      </c>
      <c r="K416" s="15" t="inlineStr">
        <is>
          <t xml:space="preserve">BLK-05-037</t>
        </is>
      </c>
      <c r="L416" s="15" t="inlineStr">
        <is>
          <t xml:space="preserve">Covered</t>
        </is>
      </c>
      <c r="M416" s="15" t="inlineStr">
        <is>
          <t xml:space="preserve">Single reading block</t>
        </is>
      </c>
      <c r="N416" s="15"/>
      <c r="O416" s="15">
        <v>1</v>
      </c>
      <c r="P416" s="10" t="str">
        <f>IF(L416="MISSING","MISSING",IF(O416=1,"PASS","DUPLICATE"))</f>
        <v>PASS</v>
      </c>
    </row>
    <row r="417" ht="22" customHeight="1">
      <c r="A417" s="15" t="inlineStr">
        <is>
          <t xml:space="preserve">Ezra 10</t>
        </is>
      </c>
      <c r="B417" s="15">
        <v>413</v>
      </c>
      <c r="C417" s="15" t="inlineStr">
        <is>
          <t xml:space="preserve">Old Testament</t>
        </is>
      </c>
      <c r="D417" s="15">
        <v>15</v>
      </c>
      <c r="E417" s="15" t="inlineStr">
        <is>
          <t xml:space="preserve">Ezra</t>
        </is>
      </c>
      <c r="F417" s="15">
        <v>10</v>
      </c>
      <c r="G417" s="15" t="inlineStr">
        <is>
          <t xml:space="preserve">v0.5</t>
        </is>
      </c>
      <c r="H417" s="15" t="inlineStr">
        <is>
          <t xml:space="preserve">Bible_Journey_Canon_Map_v0_5_Exile_Return_Persia.xlsx</t>
        </is>
      </c>
      <c r="I417" s="15" t="inlineStr">
        <is>
          <t xml:space="preserve">Coverage Audit</t>
        </is>
      </c>
      <c r="J417" s="15" t="inlineStr">
        <is>
          <t xml:space="preserve">CRS-05-037</t>
        </is>
      </c>
      <c r="K417" s="15" t="inlineStr">
        <is>
          <t xml:space="preserve">BLK-05-037</t>
        </is>
      </c>
      <c r="L417" s="15" t="inlineStr">
        <is>
          <t xml:space="preserve">Covered</t>
        </is>
      </c>
      <c r="M417" s="15" t="inlineStr">
        <is>
          <t xml:space="preserve">Single reading block</t>
        </is>
      </c>
      <c r="N417" s="15"/>
      <c r="O417" s="15">
        <v>1</v>
      </c>
      <c r="P417" s="10" t="str">
        <f>IF(L417="MISSING","MISSING",IF(O417=1,"PASS","DUPLICATE"))</f>
        <v>PASS</v>
      </c>
    </row>
    <row r="418" ht="22" customHeight="1">
      <c r="A418" s="15" t="inlineStr">
        <is>
          <t xml:space="preserve">Nehemiah 1</t>
        </is>
      </c>
      <c r="B418" s="15">
        <v>414</v>
      </c>
      <c r="C418" s="15" t="inlineStr">
        <is>
          <t xml:space="preserve">Old Testament</t>
        </is>
      </c>
      <c r="D418" s="15">
        <v>16</v>
      </c>
      <c r="E418" s="15" t="inlineStr">
        <is>
          <t xml:space="preserve">Nehemiah</t>
        </is>
      </c>
      <c r="F418" s="15">
        <v>1</v>
      </c>
      <c r="G418" s="15" t="inlineStr">
        <is>
          <t xml:space="preserve">v0.5</t>
        </is>
      </c>
      <c r="H418" s="15" t="inlineStr">
        <is>
          <t xml:space="preserve">Bible_Journey_Canon_Map_v0_5_Exile_Return_Persia.xlsx</t>
        </is>
      </c>
      <c r="I418" s="15" t="inlineStr">
        <is>
          <t xml:space="preserve">Coverage Audit</t>
        </is>
      </c>
      <c r="J418" s="15" t="inlineStr">
        <is>
          <t xml:space="preserve">CRS-05-038</t>
        </is>
      </c>
      <c r="K418" s="15" t="inlineStr">
        <is>
          <t xml:space="preserve">BLK-05-038</t>
        </is>
      </c>
      <c r="L418" s="15" t="inlineStr">
        <is>
          <t xml:space="preserve">Covered</t>
        </is>
      </c>
      <c r="M418" s="15" t="inlineStr">
        <is>
          <t xml:space="preserve">Single reading block</t>
        </is>
      </c>
      <c r="N418" s="15"/>
      <c r="O418" s="15">
        <v>1</v>
      </c>
      <c r="P418" s="10" t="str">
        <f>IF(L418="MISSING","MISSING",IF(O418=1,"PASS","DUPLICATE"))</f>
        <v>PASS</v>
      </c>
    </row>
    <row r="419" ht="22" customHeight="1">
      <c r="A419" s="15" t="inlineStr">
        <is>
          <t xml:space="preserve">Nehemiah 2</t>
        </is>
      </c>
      <c r="B419" s="15">
        <v>415</v>
      </c>
      <c r="C419" s="15" t="inlineStr">
        <is>
          <t xml:space="preserve">Old Testament</t>
        </is>
      </c>
      <c r="D419" s="15">
        <v>16</v>
      </c>
      <c r="E419" s="15" t="inlineStr">
        <is>
          <t xml:space="preserve">Nehemiah</t>
        </is>
      </c>
      <c r="F419" s="15">
        <v>2</v>
      </c>
      <c r="G419" s="15" t="inlineStr">
        <is>
          <t xml:space="preserve">v0.5</t>
        </is>
      </c>
      <c r="H419" s="15" t="inlineStr">
        <is>
          <t xml:space="preserve">Bible_Journey_Canon_Map_v0_5_Exile_Return_Persia.xlsx</t>
        </is>
      </c>
      <c r="I419" s="15" t="inlineStr">
        <is>
          <t xml:space="preserve">Coverage Audit</t>
        </is>
      </c>
      <c r="J419" s="15" t="inlineStr">
        <is>
          <t xml:space="preserve">CRS-05-038</t>
        </is>
      </c>
      <c r="K419" s="15" t="inlineStr">
        <is>
          <t xml:space="preserve">BLK-05-038</t>
        </is>
      </c>
      <c r="L419" s="15" t="inlineStr">
        <is>
          <t xml:space="preserve">Covered</t>
        </is>
      </c>
      <c r="M419" s="15" t="inlineStr">
        <is>
          <t xml:space="preserve">Single reading block</t>
        </is>
      </c>
      <c r="N419" s="15"/>
      <c r="O419" s="15">
        <v>1</v>
      </c>
      <c r="P419" s="10" t="str">
        <f>IF(L419="MISSING","MISSING",IF(O419=1,"PASS","DUPLICATE"))</f>
        <v>PASS</v>
      </c>
    </row>
    <row r="420" ht="22" customHeight="1">
      <c r="A420" s="15" t="inlineStr">
        <is>
          <t xml:space="preserve">Nehemiah 3</t>
        </is>
      </c>
      <c r="B420" s="15">
        <v>416</v>
      </c>
      <c r="C420" s="15" t="inlineStr">
        <is>
          <t xml:space="preserve">Old Testament</t>
        </is>
      </c>
      <c r="D420" s="15">
        <v>16</v>
      </c>
      <c r="E420" s="15" t="inlineStr">
        <is>
          <t xml:space="preserve">Nehemiah</t>
        </is>
      </c>
      <c r="F420" s="15">
        <v>3</v>
      </c>
      <c r="G420" s="15" t="inlineStr">
        <is>
          <t xml:space="preserve">v0.5</t>
        </is>
      </c>
      <c r="H420" s="15" t="inlineStr">
        <is>
          <t xml:space="preserve">Bible_Journey_Canon_Map_v0_5_Exile_Return_Persia.xlsx</t>
        </is>
      </c>
      <c r="I420" s="15" t="inlineStr">
        <is>
          <t xml:space="preserve">Coverage Audit</t>
        </is>
      </c>
      <c r="J420" s="15" t="inlineStr">
        <is>
          <t xml:space="preserve">CRS-05-039</t>
        </is>
      </c>
      <c r="K420" s="15" t="inlineStr">
        <is>
          <t xml:space="preserve">BLK-05-039</t>
        </is>
      </c>
      <c r="L420" s="15" t="inlineStr">
        <is>
          <t xml:space="preserve">Covered</t>
        </is>
      </c>
      <c r="M420" s="15" t="inlineStr">
        <is>
          <t xml:space="preserve">Single reading block</t>
        </is>
      </c>
      <c r="N420" s="15"/>
      <c r="O420" s="15">
        <v>1</v>
      </c>
      <c r="P420" s="10" t="str">
        <f>IF(L420="MISSING","MISSING",IF(O420=1,"PASS","DUPLICATE"))</f>
        <v>PASS</v>
      </c>
    </row>
    <row r="421" ht="22" customHeight="1">
      <c r="A421" s="15" t="inlineStr">
        <is>
          <t xml:space="preserve">Nehemiah 4</t>
        </is>
      </c>
      <c r="B421" s="15">
        <v>417</v>
      </c>
      <c r="C421" s="15" t="inlineStr">
        <is>
          <t xml:space="preserve">Old Testament</t>
        </is>
      </c>
      <c r="D421" s="15">
        <v>16</v>
      </c>
      <c r="E421" s="15" t="inlineStr">
        <is>
          <t xml:space="preserve">Nehemiah</t>
        </is>
      </c>
      <c r="F421" s="15">
        <v>4</v>
      </c>
      <c r="G421" s="15" t="inlineStr">
        <is>
          <t xml:space="preserve">v0.5</t>
        </is>
      </c>
      <c r="H421" s="15" t="inlineStr">
        <is>
          <t xml:space="preserve">Bible_Journey_Canon_Map_v0_5_Exile_Return_Persia.xlsx</t>
        </is>
      </c>
      <c r="I421" s="15" t="inlineStr">
        <is>
          <t xml:space="preserve">Coverage Audit</t>
        </is>
      </c>
      <c r="J421" s="15" t="inlineStr">
        <is>
          <t xml:space="preserve">CRS-05-039</t>
        </is>
      </c>
      <c r="K421" s="15" t="inlineStr">
        <is>
          <t xml:space="preserve">BLK-05-039</t>
        </is>
      </c>
      <c r="L421" s="15" t="inlineStr">
        <is>
          <t xml:space="preserve">Covered</t>
        </is>
      </c>
      <c r="M421" s="15" t="inlineStr">
        <is>
          <t xml:space="preserve">Single reading block</t>
        </is>
      </c>
      <c r="N421" s="15"/>
      <c r="O421" s="15">
        <v>1</v>
      </c>
      <c r="P421" s="10" t="str">
        <f>IF(L421="MISSING","MISSING",IF(O421=1,"PASS","DUPLICATE"))</f>
        <v>PASS</v>
      </c>
    </row>
    <row r="422" ht="22" customHeight="1">
      <c r="A422" s="15" t="inlineStr">
        <is>
          <t xml:space="preserve">Nehemiah 5</t>
        </is>
      </c>
      <c r="B422" s="15">
        <v>418</v>
      </c>
      <c r="C422" s="15" t="inlineStr">
        <is>
          <t xml:space="preserve">Old Testament</t>
        </is>
      </c>
      <c r="D422" s="15">
        <v>16</v>
      </c>
      <c r="E422" s="15" t="inlineStr">
        <is>
          <t xml:space="preserve">Nehemiah</t>
        </is>
      </c>
      <c r="F422" s="15">
        <v>5</v>
      </c>
      <c r="G422" s="15" t="inlineStr">
        <is>
          <t xml:space="preserve">v0.5</t>
        </is>
      </c>
      <c r="H422" s="15" t="inlineStr">
        <is>
          <t xml:space="preserve">Bible_Journey_Canon_Map_v0_5_Exile_Return_Persia.xlsx</t>
        </is>
      </c>
      <c r="I422" s="15" t="inlineStr">
        <is>
          <t xml:space="preserve">Coverage Audit</t>
        </is>
      </c>
      <c r="J422" s="15" t="inlineStr">
        <is>
          <t xml:space="preserve">CRS-05-040</t>
        </is>
      </c>
      <c r="K422" s="15" t="inlineStr">
        <is>
          <t xml:space="preserve">BLK-05-040</t>
        </is>
      </c>
      <c r="L422" s="15" t="inlineStr">
        <is>
          <t xml:space="preserve">Covered</t>
        </is>
      </c>
      <c r="M422" s="15" t="inlineStr">
        <is>
          <t xml:space="preserve">Single reading block</t>
        </is>
      </c>
      <c r="N422" s="15"/>
      <c r="O422" s="15">
        <v>1</v>
      </c>
      <c r="P422" s="10" t="str">
        <f>IF(L422="MISSING","MISSING",IF(O422=1,"PASS","DUPLICATE"))</f>
        <v>PASS</v>
      </c>
    </row>
    <row r="423" ht="22" customHeight="1">
      <c r="A423" s="15" t="inlineStr">
        <is>
          <t xml:space="preserve">Nehemiah 6</t>
        </is>
      </c>
      <c r="B423" s="15">
        <v>419</v>
      </c>
      <c r="C423" s="15" t="inlineStr">
        <is>
          <t xml:space="preserve">Old Testament</t>
        </is>
      </c>
      <c r="D423" s="15">
        <v>16</v>
      </c>
      <c r="E423" s="15" t="inlineStr">
        <is>
          <t xml:space="preserve">Nehemiah</t>
        </is>
      </c>
      <c r="F423" s="15">
        <v>6</v>
      </c>
      <c r="G423" s="15" t="inlineStr">
        <is>
          <t xml:space="preserve">v0.5</t>
        </is>
      </c>
      <c r="H423" s="15" t="inlineStr">
        <is>
          <t xml:space="preserve">Bible_Journey_Canon_Map_v0_5_Exile_Return_Persia.xlsx</t>
        </is>
      </c>
      <c r="I423" s="15" t="inlineStr">
        <is>
          <t xml:space="preserve">Coverage Audit</t>
        </is>
      </c>
      <c r="J423" s="15" t="inlineStr">
        <is>
          <t xml:space="preserve">CRS-05-041</t>
        </is>
      </c>
      <c r="K423" s="15" t="inlineStr">
        <is>
          <t xml:space="preserve">BLK-05-041</t>
        </is>
      </c>
      <c r="L423" s="15" t="inlineStr">
        <is>
          <t xml:space="preserve">Covered</t>
        </is>
      </c>
      <c r="M423" s="15" t="inlineStr">
        <is>
          <t xml:space="preserve">Single reading block</t>
        </is>
      </c>
      <c r="N423" s="15"/>
      <c r="O423" s="15">
        <v>1</v>
      </c>
      <c r="P423" s="10" t="str">
        <f>IF(L423="MISSING","MISSING",IF(O423=1,"PASS","DUPLICATE"))</f>
        <v>PASS</v>
      </c>
    </row>
    <row r="424" ht="22" customHeight="1">
      <c r="A424" s="15" t="inlineStr">
        <is>
          <t xml:space="preserve">Nehemiah 7</t>
        </is>
      </c>
      <c r="B424" s="15">
        <v>420</v>
      </c>
      <c r="C424" s="15" t="inlineStr">
        <is>
          <t xml:space="preserve">Old Testament</t>
        </is>
      </c>
      <c r="D424" s="15">
        <v>16</v>
      </c>
      <c r="E424" s="15" t="inlineStr">
        <is>
          <t xml:space="preserve">Nehemiah</t>
        </is>
      </c>
      <c r="F424" s="15">
        <v>7</v>
      </c>
      <c r="G424" s="15" t="inlineStr">
        <is>
          <t xml:space="preserve">v0.5</t>
        </is>
      </c>
      <c r="H424" s="15" t="inlineStr">
        <is>
          <t xml:space="preserve">Bible_Journey_Canon_Map_v0_5_Exile_Return_Persia.xlsx</t>
        </is>
      </c>
      <c r="I424" s="15" t="inlineStr">
        <is>
          <t xml:space="preserve">Coverage Audit</t>
        </is>
      </c>
      <c r="J424" s="15" t="inlineStr">
        <is>
          <t xml:space="preserve">CRS-05-041</t>
        </is>
      </c>
      <c r="K424" s="15" t="inlineStr">
        <is>
          <t xml:space="preserve">BLK-05-041</t>
        </is>
      </c>
      <c r="L424" s="15" t="inlineStr">
        <is>
          <t xml:space="preserve">Covered</t>
        </is>
      </c>
      <c r="M424" s="15" t="inlineStr">
        <is>
          <t xml:space="preserve">Single reading block</t>
        </is>
      </c>
      <c r="N424" s="15"/>
      <c r="O424" s="15">
        <v>1</v>
      </c>
      <c r="P424" s="10" t="str">
        <f>IF(L424="MISSING","MISSING",IF(O424=1,"PASS","DUPLICATE"))</f>
        <v>PASS</v>
      </c>
    </row>
    <row r="425" ht="22" customHeight="1">
      <c r="A425" s="15" t="inlineStr">
        <is>
          <t xml:space="preserve">Nehemiah 8</t>
        </is>
      </c>
      <c r="B425" s="15">
        <v>421</v>
      </c>
      <c r="C425" s="15" t="inlineStr">
        <is>
          <t xml:space="preserve">Old Testament</t>
        </is>
      </c>
      <c r="D425" s="15">
        <v>16</v>
      </c>
      <c r="E425" s="15" t="inlineStr">
        <is>
          <t xml:space="preserve">Nehemiah</t>
        </is>
      </c>
      <c r="F425" s="15">
        <v>8</v>
      </c>
      <c r="G425" s="15" t="inlineStr">
        <is>
          <t xml:space="preserve">v0.5</t>
        </is>
      </c>
      <c r="H425" s="15" t="inlineStr">
        <is>
          <t xml:space="preserve">Bible_Journey_Canon_Map_v0_5_Exile_Return_Persia.xlsx</t>
        </is>
      </c>
      <c r="I425" s="15" t="inlineStr">
        <is>
          <t xml:space="preserve">Coverage Audit</t>
        </is>
      </c>
      <c r="J425" s="15" t="inlineStr">
        <is>
          <t xml:space="preserve">CRS-05-042</t>
        </is>
      </c>
      <c r="K425" s="15" t="inlineStr">
        <is>
          <t xml:space="preserve">BLK-05-042</t>
        </is>
      </c>
      <c r="L425" s="15" t="inlineStr">
        <is>
          <t xml:space="preserve">Covered</t>
        </is>
      </c>
      <c r="M425" s="15" t="inlineStr">
        <is>
          <t xml:space="preserve">Single reading block</t>
        </is>
      </c>
      <c r="N425" s="15"/>
      <c r="O425" s="15">
        <v>1</v>
      </c>
      <c r="P425" s="10" t="str">
        <f>IF(L425="MISSING","MISSING",IF(O425=1,"PASS","DUPLICATE"))</f>
        <v>PASS</v>
      </c>
    </row>
    <row r="426" ht="22" customHeight="1">
      <c r="A426" s="15" t="inlineStr">
        <is>
          <t xml:space="preserve">Nehemiah 9</t>
        </is>
      </c>
      <c r="B426" s="15">
        <v>422</v>
      </c>
      <c r="C426" s="15" t="inlineStr">
        <is>
          <t xml:space="preserve">Old Testament</t>
        </is>
      </c>
      <c r="D426" s="15">
        <v>16</v>
      </c>
      <c r="E426" s="15" t="inlineStr">
        <is>
          <t xml:space="preserve">Nehemiah</t>
        </is>
      </c>
      <c r="F426" s="15">
        <v>9</v>
      </c>
      <c r="G426" s="15" t="inlineStr">
        <is>
          <t xml:space="preserve">v0.5</t>
        </is>
      </c>
      <c r="H426" s="15" t="inlineStr">
        <is>
          <t xml:space="preserve">Bible_Journey_Canon_Map_v0_5_Exile_Return_Persia.xlsx</t>
        </is>
      </c>
      <c r="I426" s="15" t="inlineStr">
        <is>
          <t xml:space="preserve">Coverage Audit</t>
        </is>
      </c>
      <c r="J426" s="15" t="inlineStr">
        <is>
          <t xml:space="preserve">CRS-05-043</t>
        </is>
      </c>
      <c r="K426" s="15" t="inlineStr">
        <is>
          <t xml:space="preserve">BLK-05-043</t>
        </is>
      </c>
      <c r="L426" s="15" t="inlineStr">
        <is>
          <t xml:space="preserve">Covered</t>
        </is>
      </c>
      <c r="M426" s="15" t="inlineStr">
        <is>
          <t xml:space="preserve">Single reading block</t>
        </is>
      </c>
      <c r="N426" s="15"/>
      <c r="O426" s="15">
        <v>1</v>
      </c>
      <c r="P426" s="10" t="str">
        <f>IF(L426="MISSING","MISSING",IF(O426=1,"PASS","DUPLICATE"))</f>
        <v>PASS</v>
      </c>
    </row>
    <row r="427" ht="22" customHeight="1">
      <c r="A427" s="15" t="inlineStr">
        <is>
          <t xml:space="preserve">Nehemiah 10</t>
        </is>
      </c>
      <c r="B427" s="15">
        <v>423</v>
      </c>
      <c r="C427" s="15" t="inlineStr">
        <is>
          <t xml:space="preserve">Old Testament</t>
        </is>
      </c>
      <c r="D427" s="15">
        <v>16</v>
      </c>
      <c r="E427" s="15" t="inlineStr">
        <is>
          <t xml:space="preserve">Nehemiah</t>
        </is>
      </c>
      <c r="F427" s="15">
        <v>10</v>
      </c>
      <c r="G427" s="15" t="inlineStr">
        <is>
          <t xml:space="preserve">v0.5</t>
        </is>
      </c>
      <c r="H427" s="15" t="inlineStr">
        <is>
          <t xml:space="preserve">Bible_Journey_Canon_Map_v0_5_Exile_Return_Persia.xlsx</t>
        </is>
      </c>
      <c r="I427" s="15" t="inlineStr">
        <is>
          <t xml:space="preserve">Coverage Audit</t>
        </is>
      </c>
      <c r="J427" s="15" t="inlineStr">
        <is>
          <t xml:space="preserve">CRS-05-043</t>
        </is>
      </c>
      <c r="K427" s="15" t="inlineStr">
        <is>
          <t xml:space="preserve">BLK-05-043</t>
        </is>
      </c>
      <c r="L427" s="15" t="inlineStr">
        <is>
          <t xml:space="preserve">Covered</t>
        </is>
      </c>
      <c r="M427" s="15" t="inlineStr">
        <is>
          <t xml:space="preserve">Single reading block</t>
        </is>
      </c>
      <c r="N427" s="15"/>
      <c r="O427" s="15">
        <v>1</v>
      </c>
      <c r="P427" s="10" t="str">
        <f>IF(L427="MISSING","MISSING",IF(O427=1,"PASS","DUPLICATE"))</f>
        <v>PASS</v>
      </c>
    </row>
    <row r="428" ht="22" customHeight="1">
      <c r="A428" s="15" t="inlineStr">
        <is>
          <t xml:space="preserve">Nehemiah 11</t>
        </is>
      </c>
      <c r="B428" s="15">
        <v>424</v>
      </c>
      <c r="C428" s="15" t="inlineStr">
        <is>
          <t xml:space="preserve">Old Testament</t>
        </is>
      </c>
      <c r="D428" s="15">
        <v>16</v>
      </c>
      <c r="E428" s="15" t="inlineStr">
        <is>
          <t xml:space="preserve">Nehemiah</t>
        </is>
      </c>
      <c r="F428" s="15">
        <v>11</v>
      </c>
      <c r="G428" s="15" t="inlineStr">
        <is>
          <t xml:space="preserve">v0.5</t>
        </is>
      </c>
      <c r="H428" s="15" t="inlineStr">
        <is>
          <t xml:space="preserve">Bible_Journey_Canon_Map_v0_5_Exile_Return_Persia.xlsx</t>
        </is>
      </c>
      <c r="I428" s="15" t="inlineStr">
        <is>
          <t xml:space="preserve">Coverage Audit</t>
        </is>
      </c>
      <c r="J428" s="15" t="inlineStr">
        <is>
          <t xml:space="preserve">CRS-05-044</t>
        </is>
      </c>
      <c r="K428" s="15" t="inlineStr">
        <is>
          <t xml:space="preserve">BLK-05-044</t>
        </is>
      </c>
      <c r="L428" s="15" t="inlineStr">
        <is>
          <t xml:space="preserve">Covered</t>
        </is>
      </c>
      <c r="M428" s="15" t="inlineStr">
        <is>
          <t xml:space="preserve">Single reading block</t>
        </is>
      </c>
      <c r="N428" s="15"/>
      <c r="O428" s="15">
        <v>1</v>
      </c>
      <c r="P428" s="10" t="str">
        <f>IF(L428="MISSING","MISSING",IF(O428=1,"PASS","DUPLICATE"))</f>
        <v>PASS</v>
      </c>
    </row>
    <row r="429" ht="22" customHeight="1">
      <c r="A429" s="15" t="inlineStr">
        <is>
          <t xml:space="preserve">Nehemiah 12</t>
        </is>
      </c>
      <c r="B429" s="15">
        <v>425</v>
      </c>
      <c r="C429" s="15" t="inlineStr">
        <is>
          <t xml:space="preserve">Old Testament</t>
        </is>
      </c>
      <c r="D429" s="15">
        <v>16</v>
      </c>
      <c r="E429" s="15" t="inlineStr">
        <is>
          <t xml:space="preserve">Nehemiah</t>
        </is>
      </c>
      <c r="F429" s="15">
        <v>12</v>
      </c>
      <c r="G429" s="15" t="inlineStr">
        <is>
          <t xml:space="preserve">v0.5</t>
        </is>
      </c>
      <c r="H429" s="15" t="inlineStr">
        <is>
          <t xml:space="preserve">Bible_Journey_Canon_Map_v0_5_Exile_Return_Persia.xlsx</t>
        </is>
      </c>
      <c r="I429" s="15" t="inlineStr">
        <is>
          <t xml:space="preserve">Coverage Audit</t>
        </is>
      </c>
      <c r="J429" s="15" t="inlineStr">
        <is>
          <t xml:space="preserve">CRS-05-044</t>
        </is>
      </c>
      <c r="K429" s="15" t="inlineStr">
        <is>
          <t xml:space="preserve">BLK-05-044</t>
        </is>
      </c>
      <c r="L429" s="15" t="inlineStr">
        <is>
          <t xml:space="preserve">Covered</t>
        </is>
      </c>
      <c r="M429" s="15" t="inlineStr">
        <is>
          <t xml:space="preserve">Single reading block</t>
        </is>
      </c>
      <c r="N429" s="15"/>
      <c r="O429" s="15">
        <v>1</v>
      </c>
      <c r="P429" s="10" t="str">
        <f>IF(L429="MISSING","MISSING",IF(O429=1,"PASS","DUPLICATE"))</f>
        <v>PASS</v>
      </c>
    </row>
    <row r="430" ht="22" customHeight="1">
      <c r="A430" s="15" t="inlineStr">
        <is>
          <t xml:space="preserve">Nehemiah 13</t>
        </is>
      </c>
      <c r="B430" s="15">
        <v>426</v>
      </c>
      <c r="C430" s="15" t="inlineStr">
        <is>
          <t xml:space="preserve">Old Testament</t>
        </is>
      </c>
      <c r="D430" s="15">
        <v>16</v>
      </c>
      <c r="E430" s="15" t="inlineStr">
        <is>
          <t xml:space="preserve">Nehemiah</t>
        </is>
      </c>
      <c r="F430" s="15">
        <v>13</v>
      </c>
      <c r="G430" s="15" t="inlineStr">
        <is>
          <t xml:space="preserve">v0.5</t>
        </is>
      </c>
      <c r="H430" s="15" t="inlineStr">
        <is>
          <t xml:space="preserve">Bible_Journey_Canon_Map_v0_5_Exile_Return_Persia.xlsx</t>
        </is>
      </c>
      <c r="I430" s="15" t="inlineStr">
        <is>
          <t xml:space="preserve">Coverage Audit</t>
        </is>
      </c>
      <c r="J430" s="15" t="inlineStr">
        <is>
          <t xml:space="preserve">CRS-05-045</t>
        </is>
      </c>
      <c r="K430" s="15" t="inlineStr">
        <is>
          <t xml:space="preserve">BLK-05-045</t>
        </is>
      </c>
      <c r="L430" s="15" t="inlineStr">
        <is>
          <t xml:space="preserve">Covered</t>
        </is>
      </c>
      <c r="M430" s="15" t="inlineStr">
        <is>
          <t xml:space="preserve">Single reading block</t>
        </is>
      </c>
      <c r="N430" s="15"/>
      <c r="O430" s="15">
        <v>1</v>
      </c>
      <c r="P430" s="10" t="str">
        <f>IF(L430="MISSING","MISSING",IF(O430=1,"PASS","DUPLICATE"))</f>
        <v>PASS</v>
      </c>
    </row>
    <row r="431" ht="22" customHeight="1">
      <c r="A431" s="15" t="inlineStr">
        <is>
          <t xml:space="preserve">Esther 1</t>
        </is>
      </c>
      <c r="B431" s="15">
        <v>427</v>
      </c>
      <c r="C431" s="15" t="inlineStr">
        <is>
          <t xml:space="preserve">Old Testament</t>
        </is>
      </c>
      <c r="D431" s="15">
        <v>17</v>
      </c>
      <c r="E431" s="15" t="inlineStr">
        <is>
          <t xml:space="preserve">Esther</t>
        </is>
      </c>
      <c r="F431" s="15">
        <v>1</v>
      </c>
      <c r="G431" s="15" t="inlineStr">
        <is>
          <t xml:space="preserve">v0.6</t>
        </is>
      </c>
      <c r="H431" s="15" t="inlineStr">
        <is>
          <t xml:space="preserve">Bible_Journey_Canon_Map_v0_6_Esther_Intertestamental_Bridge.xlsx</t>
        </is>
      </c>
      <c r="I431" s="15" t="inlineStr">
        <is>
          <t xml:space="preserve">Coverage Audit</t>
        </is>
      </c>
      <c r="J431" s="15" t="inlineStr">
        <is>
          <t xml:space="preserve">CRS-06-001</t>
        </is>
      </c>
      <c r="K431" s="15" t="inlineStr">
        <is>
          <t xml:space="preserve">BLK-06-001</t>
        </is>
      </c>
      <c r="L431" s="15" t="inlineStr">
        <is>
          <t xml:space="preserve">Covered</t>
        </is>
      </c>
      <c r="M431" s="15" t="inlineStr">
        <is>
          <t xml:space="preserve">Single canonical block</t>
        </is>
      </c>
      <c r="N431" s="15"/>
      <c r="O431" s="15">
        <v>1</v>
      </c>
      <c r="P431" s="10" t="str">
        <f>IF(L431="MISSING","MISSING",IF(O431=1,"PASS","DUPLICATE"))</f>
        <v>PASS</v>
      </c>
    </row>
    <row r="432" ht="22" customHeight="1">
      <c r="A432" s="15" t="inlineStr">
        <is>
          <t xml:space="preserve">Esther 2</t>
        </is>
      </c>
      <c r="B432" s="15">
        <v>428</v>
      </c>
      <c r="C432" s="15" t="inlineStr">
        <is>
          <t xml:space="preserve">Old Testament</t>
        </is>
      </c>
      <c r="D432" s="15">
        <v>17</v>
      </c>
      <c r="E432" s="15" t="inlineStr">
        <is>
          <t xml:space="preserve">Esther</t>
        </is>
      </c>
      <c r="F432" s="15">
        <v>2</v>
      </c>
      <c r="G432" s="15" t="inlineStr">
        <is>
          <t xml:space="preserve">v0.6</t>
        </is>
      </c>
      <c r="H432" s="15" t="inlineStr">
        <is>
          <t xml:space="preserve">Bible_Journey_Canon_Map_v0_6_Esther_Intertestamental_Bridge.xlsx</t>
        </is>
      </c>
      <c r="I432" s="15" t="inlineStr">
        <is>
          <t xml:space="preserve">Coverage Audit</t>
        </is>
      </c>
      <c r="J432" s="15" t="inlineStr">
        <is>
          <t xml:space="preserve">CRS-06-001</t>
        </is>
      </c>
      <c r="K432" s="15" t="inlineStr">
        <is>
          <t xml:space="preserve">BLK-06-001</t>
        </is>
      </c>
      <c r="L432" s="15" t="inlineStr">
        <is>
          <t xml:space="preserve">Covered</t>
        </is>
      </c>
      <c r="M432" s="15" t="inlineStr">
        <is>
          <t xml:space="preserve">Single canonical block</t>
        </is>
      </c>
      <c r="N432" s="15"/>
      <c r="O432" s="15">
        <v>1</v>
      </c>
      <c r="P432" s="10" t="str">
        <f>IF(L432="MISSING","MISSING",IF(O432=1,"PASS","DUPLICATE"))</f>
        <v>PASS</v>
      </c>
    </row>
    <row r="433" ht="22" customHeight="1">
      <c r="A433" s="15" t="inlineStr">
        <is>
          <t xml:space="preserve">Esther 3</t>
        </is>
      </c>
      <c r="B433" s="15">
        <v>429</v>
      </c>
      <c r="C433" s="15" t="inlineStr">
        <is>
          <t xml:space="preserve">Old Testament</t>
        </is>
      </c>
      <c r="D433" s="15">
        <v>17</v>
      </c>
      <c r="E433" s="15" t="inlineStr">
        <is>
          <t xml:space="preserve">Esther</t>
        </is>
      </c>
      <c r="F433" s="15">
        <v>3</v>
      </c>
      <c r="G433" s="15" t="inlineStr">
        <is>
          <t xml:space="preserve">v0.6</t>
        </is>
      </c>
      <c r="H433" s="15" t="inlineStr">
        <is>
          <t xml:space="preserve">Bible_Journey_Canon_Map_v0_6_Esther_Intertestamental_Bridge.xlsx</t>
        </is>
      </c>
      <c r="I433" s="15" t="inlineStr">
        <is>
          <t xml:space="preserve">Coverage Audit</t>
        </is>
      </c>
      <c r="J433" s="15" t="inlineStr">
        <is>
          <t xml:space="preserve">CRS-06-002</t>
        </is>
      </c>
      <c r="K433" s="15" t="inlineStr">
        <is>
          <t xml:space="preserve">BLK-06-002</t>
        </is>
      </c>
      <c r="L433" s="15" t="inlineStr">
        <is>
          <t xml:space="preserve">Covered</t>
        </is>
      </c>
      <c r="M433" s="15" t="inlineStr">
        <is>
          <t xml:space="preserve">Single canonical block</t>
        </is>
      </c>
      <c r="N433" s="15"/>
      <c r="O433" s="15">
        <v>1</v>
      </c>
      <c r="P433" s="10" t="str">
        <f>IF(L433="MISSING","MISSING",IF(O433=1,"PASS","DUPLICATE"))</f>
        <v>PASS</v>
      </c>
    </row>
    <row r="434" ht="22" customHeight="1">
      <c r="A434" s="15" t="inlineStr">
        <is>
          <t xml:space="preserve">Esther 4</t>
        </is>
      </c>
      <c r="B434" s="15">
        <v>430</v>
      </c>
      <c r="C434" s="15" t="inlineStr">
        <is>
          <t xml:space="preserve">Old Testament</t>
        </is>
      </c>
      <c r="D434" s="15">
        <v>17</v>
      </c>
      <c r="E434" s="15" t="inlineStr">
        <is>
          <t xml:space="preserve">Esther</t>
        </is>
      </c>
      <c r="F434" s="15">
        <v>4</v>
      </c>
      <c r="G434" s="15" t="inlineStr">
        <is>
          <t xml:space="preserve">v0.6</t>
        </is>
      </c>
      <c r="H434" s="15" t="inlineStr">
        <is>
          <t xml:space="preserve">Bible_Journey_Canon_Map_v0_6_Esther_Intertestamental_Bridge.xlsx</t>
        </is>
      </c>
      <c r="I434" s="15" t="inlineStr">
        <is>
          <t xml:space="preserve">Coverage Audit</t>
        </is>
      </c>
      <c r="J434" s="15" t="inlineStr">
        <is>
          <t xml:space="preserve">CRS-06-002</t>
        </is>
      </c>
      <c r="K434" s="15" t="inlineStr">
        <is>
          <t xml:space="preserve">BLK-06-002</t>
        </is>
      </c>
      <c r="L434" s="15" t="inlineStr">
        <is>
          <t xml:space="preserve">Covered</t>
        </is>
      </c>
      <c r="M434" s="15" t="inlineStr">
        <is>
          <t xml:space="preserve">Single canonical block</t>
        </is>
      </c>
      <c r="N434" s="15"/>
      <c r="O434" s="15">
        <v>1</v>
      </c>
      <c r="P434" s="10" t="str">
        <f>IF(L434="MISSING","MISSING",IF(O434=1,"PASS","DUPLICATE"))</f>
        <v>PASS</v>
      </c>
    </row>
    <row r="435" ht="22" customHeight="1">
      <c r="A435" s="15" t="inlineStr">
        <is>
          <t xml:space="preserve">Esther 5</t>
        </is>
      </c>
      <c r="B435" s="15">
        <v>431</v>
      </c>
      <c r="C435" s="15" t="inlineStr">
        <is>
          <t xml:space="preserve">Old Testament</t>
        </is>
      </c>
      <c r="D435" s="15">
        <v>17</v>
      </c>
      <c r="E435" s="15" t="inlineStr">
        <is>
          <t xml:space="preserve">Esther</t>
        </is>
      </c>
      <c r="F435" s="15">
        <v>5</v>
      </c>
      <c r="G435" s="15" t="inlineStr">
        <is>
          <t xml:space="preserve">v0.6</t>
        </is>
      </c>
      <c r="H435" s="15" t="inlineStr">
        <is>
          <t xml:space="preserve">Bible_Journey_Canon_Map_v0_6_Esther_Intertestamental_Bridge.xlsx</t>
        </is>
      </c>
      <c r="I435" s="15" t="inlineStr">
        <is>
          <t xml:space="preserve">Coverage Audit</t>
        </is>
      </c>
      <c r="J435" s="15" t="inlineStr">
        <is>
          <t xml:space="preserve">CRS-06-003</t>
        </is>
      </c>
      <c r="K435" s="15" t="inlineStr">
        <is>
          <t xml:space="preserve">BLK-06-003</t>
        </is>
      </c>
      <c r="L435" s="15" t="inlineStr">
        <is>
          <t xml:space="preserve">Covered</t>
        </is>
      </c>
      <c r="M435" s="15" t="inlineStr">
        <is>
          <t xml:space="preserve">Single canonical block</t>
        </is>
      </c>
      <c r="N435" s="15"/>
      <c r="O435" s="15">
        <v>1</v>
      </c>
      <c r="P435" s="10" t="str">
        <f>IF(L435="MISSING","MISSING",IF(O435=1,"PASS","DUPLICATE"))</f>
        <v>PASS</v>
      </c>
    </row>
    <row r="436" ht="22" customHeight="1">
      <c r="A436" s="15" t="inlineStr">
        <is>
          <t xml:space="preserve">Esther 6</t>
        </is>
      </c>
      <c r="B436" s="15">
        <v>432</v>
      </c>
      <c r="C436" s="15" t="inlineStr">
        <is>
          <t xml:space="preserve">Old Testament</t>
        </is>
      </c>
      <c r="D436" s="15">
        <v>17</v>
      </c>
      <c r="E436" s="15" t="inlineStr">
        <is>
          <t xml:space="preserve">Esther</t>
        </is>
      </c>
      <c r="F436" s="15">
        <v>6</v>
      </c>
      <c r="G436" s="15" t="inlineStr">
        <is>
          <t xml:space="preserve">v0.6</t>
        </is>
      </c>
      <c r="H436" s="15" t="inlineStr">
        <is>
          <t xml:space="preserve">Bible_Journey_Canon_Map_v0_6_Esther_Intertestamental_Bridge.xlsx</t>
        </is>
      </c>
      <c r="I436" s="15" t="inlineStr">
        <is>
          <t xml:space="preserve">Coverage Audit</t>
        </is>
      </c>
      <c r="J436" s="15" t="inlineStr">
        <is>
          <t xml:space="preserve">CRS-06-003</t>
        </is>
      </c>
      <c r="K436" s="15" t="inlineStr">
        <is>
          <t xml:space="preserve">BLK-06-003</t>
        </is>
      </c>
      <c r="L436" s="15" t="inlineStr">
        <is>
          <t xml:space="preserve">Covered</t>
        </is>
      </c>
      <c r="M436" s="15" t="inlineStr">
        <is>
          <t xml:space="preserve">Single canonical block</t>
        </is>
      </c>
      <c r="N436" s="15"/>
      <c r="O436" s="15">
        <v>1</v>
      </c>
      <c r="P436" s="10" t="str">
        <f>IF(L436="MISSING","MISSING",IF(O436=1,"PASS","DUPLICATE"))</f>
        <v>PASS</v>
      </c>
    </row>
    <row r="437" ht="22" customHeight="1">
      <c r="A437" s="15" t="inlineStr">
        <is>
          <t xml:space="preserve">Esther 7</t>
        </is>
      </c>
      <c r="B437" s="15">
        <v>433</v>
      </c>
      <c r="C437" s="15" t="inlineStr">
        <is>
          <t xml:space="preserve">Old Testament</t>
        </is>
      </c>
      <c r="D437" s="15">
        <v>17</v>
      </c>
      <c r="E437" s="15" t="inlineStr">
        <is>
          <t xml:space="preserve">Esther</t>
        </is>
      </c>
      <c r="F437" s="15">
        <v>7</v>
      </c>
      <c r="G437" s="15" t="inlineStr">
        <is>
          <t xml:space="preserve">v0.6</t>
        </is>
      </c>
      <c r="H437" s="15" t="inlineStr">
        <is>
          <t xml:space="preserve">Bible_Journey_Canon_Map_v0_6_Esther_Intertestamental_Bridge.xlsx</t>
        </is>
      </c>
      <c r="I437" s="15" t="inlineStr">
        <is>
          <t xml:space="preserve">Coverage Audit</t>
        </is>
      </c>
      <c r="J437" s="15" t="inlineStr">
        <is>
          <t xml:space="preserve">CRS-06-003</t>
        </is>
      </c>
      <c r="K437" s="15" t="inlineStr">
        <is>
          <t xml:space="preserve">BLK-06-003</t>
        </is>
      </c>
      <c r="L437" s="15" t="inlineStr">
        <is>
          <t xml:space="preserve">Covered</t>
        </is>
      </c>
      <c r="M437" s="15" t="inlineStr">
        <is>
          <t xml:space="preserve">Single canonical block</t>
        </is>
      </c>
      <c r="N437" s="15"/>
      <c r="O437" s="15">
        <v>1</v>
      </c>
      <c r="P437" s="10" t="str">
        <f>IF(L437="MISSING","MISSING",IF(O437=1,"PASS","DUPLICATE"))</f>
        <v>PASS</v>
      </c>
    </row>
    <row r="438" ht="22" customHeight="1">
      <c r="A438" s="15" t="inlineStr">
        <is>
          <t xml:space="preserve">Esther 8</t>
        </is>
      </c>
      <c r="B438" s="15">
        <v>434</v>
      </c>
      <c r="C438" s="15" t="inlineStr">
        <is>
          <t xml:space="preserve">Old Testament</t>
        </is>
      </c>
      <c r="D438" s="15">
        <v>17</v>
      </c>
      <c r="E438" s="15" t="inlineStr">
        <is>
          <t xml:space="preserve">Esther</t>
        </is>
      </c>
      <c r="F438" s="15">
        <v>8</v>
      </c>
      <c r="G438" s="15" t="inlineStr">
        <is>
          <t xml:space="preserve">v0.6</t>
        </is>
      </c>
      <c r="H438" s="15" t="inlineStr">
        <is>
          <t xml:space="preserve">Bible_Journey_Canon_Map_v0_6_Esther_Intertestamental_Bridge.xlsx</t>
        </is>
      </c>
      <c r="I438" s="15" t="inlineStr">
        <is>
          <t xml:space="preserve">Coverage Audit</t>
        </is>
      </c>
      <c r="J438" s="15" t="inlineStr">
        <is>
          <t xml:space="preserve">CRS-06-004</t>
        </is>
      </c>
      <c r="K438" s="15" t="inlineStr">
        <is>
          <t xml:space="preserve">BLK-06-004</t>
        </is>
      </c>
      <c r="L438" s="15" t="inlineStr">
        <is>
          <t xml:space="preserve">Covered</t>
        </is>
      </c>
      <c r="M438" s="15" t="inlineStr">
        <is>
          <t xml:space="preserve">Single canonical block</t>
        </is>
      </c>
      <c r="N438" s="15"/>
      <c r="O438" s="15">
        <v>1</v>
      </c>
      <c r="P438" s="10" t="str">
        <f>IF(L438="MISSING","MISSING",IF(O438=1,"PASS","DUPLICATE"))</f>
        <v>PASS</v>
      </c>
    </row>
    <row r="439" ht="22" customHeight="1">
      <c r="A439" s="15" t="inlineStr">
        <is>
          <t xml:space="preserve">Esther 9</t>
        </is>
      </c>
      <c r="B439" s="15">
        <v>435</v>
      </c>
      <c r="C439" s="15" t="inlineStr">
        <is>
          <t xml:space="preserve">Old Testament</t>
        </is>
      </c>
      <c r="D439" s="15">
        <v>17</v>
      </c>
      <c r="E439" s="15" t="inlineStr">
        <is>
          <t xml:space="preserve">Esther</t>
        </is>
      </c>
      <c r="F439" s="15">
        <v>9</v>
      </c>
      <c r="G439" s="15" t="inlineStr">
        <is>
          <t xml:space="preserve">v0.6</t>
        </is>
      </c>
      <c r="H439" s="15" t="inlineStr">
        <is>
          <t xml:space="preserve">Bible_Journey_Canon_Map_v0_6_Esther_Intertestamental_Bridge.xlsx</t>
        </is>
      </c>
      <c r="I439" s="15" t="inlineStr">
        <is>
          <t xml:space="preserve">Coverage Audit</t>
        </is>
      </c>
      <c r="J439" s="15" t="inlineStr">
        <is>
          <t xml:space="preserve">CRS-06-004</t>
        </is>
      </c>
      <c r="K439" s="15" t="inlineStr">
        <is>
          <t xml:space="preserve">BLK-06-004</t>
        </is>
      </c>
      <c r="L439" s="15" t="inlineStr">
        <is>
          <t xml:space="preserve">Covered</t>
        </is>
      </c>
      <c r="M439" s="15" t="inlineStr">
        <is>
          <t xml:space="preserve">Single canonical block</t>
        </is>
      </c>
      <c r="N439" s="15"/>
      <c r="O439" s="15">
        <v>1</v>
      </c>
      <c r="P439" s="10" t="str">
        <f>IF(L439="MISSING","MISSING",IF(O439=1,"PASS","DUPLICATE"))</f>
        <v>PASS</v>
      </c>
    </row>
    <row r="440" ht="22" customHeight="1">
      <c r="A440" s="15" t="inlineStr">
        <is>
          <t xml:space="preserve">Esther 10</t>
        </is>
      </c>
      <c r="B440" s="15">
        <v>436</v>
      </c>
      <c r="C440" s="15" t="inlineStr">
        <is>
          <t xml:space="preserve">Old Testament</t>
        </is>
      </c>
      <c r="D440" s="15">
        <v>17</v>
      </c>
      <c r="E440" s="15" t="inlineStr">
        <is>
          <t xml:space="preserve">Esther</t>
        </is>
      </c>
      <c r="F440" s="15">
        <v>10</v>
      </c>
      <c r="G440" s="15" t="inlineStr">
        <is>
          <t xml:space="preserve">v0.6</t>
        </is>
      </c>
      <c r="H440" s="15" t="inlineStr">
        <is>
          <t xml:space="preserve">Bible_Journey_Canon_Map_v0_6_Esther_Intertestamental_Bridge.xlsx</t>
        </is>
      </c>
      <c r="I440" s="15" t="inlineStr">
        <is>
          <t xml:space="preserve">Coverage Audit</t>
        </is>
      </c>
      <c r="J440" s="15" t="inlineStr">
        <is>
          <t xml:space="preserve">CRS-06-004</t>
        </is>
      </c>
      <c r="K440" s="15" t="inlineStr">
        <is>
          <t xml:space="preserve">BLK-06-004</t>
        </is>
      </c>
      <c r="L440" s="15" t="inlineStr">
        <is>
          <t xml:space="preserve">Covered</t>
        </is>
      </c>
      <c r="M440" s="15" t="inlineStr">
        <is>
          <t xml:space="preserve">Single canonical block</t>
        </is>
      </c>
      <c r="N440" s="15"/>
      <c r="O440" s="15">
        <v>1</v>
      </c>
      <c r="P440" s="10" t="str">
        <f>IF(L440="MISSING","MISSING",IF(O440=1,"PASS","DUPLICATE"))</f>
        <v>PASS</v>
      </c>
    </row>
    <row r="441" ht="22" customHeight="1">
      <c r="A441" s="15" t="inlineStr">
        <is>
          <t xml:space="preserve">Job 1</t>
        </is>
      </c>
      <c r="B441" s="15">
        <v>437</v>
      </c>
      <c r="C441" s="15" t="inlineStr">
        <is>
          <t xml:space="preserve">Old Testament</t>
        </is>
      </c>
      <c r="D441" s="15">
        <v>18</v>
      </c>
      <c r="E441" s="15" t="inlineStr">
        <is>
          <t xml:space="preserve">Job</t>
        </is>
      </c>
      <c r="F441" s="15">
        <v>1</v>
      </c>
      <c r="G441" s="15" t="inlineStr">
        <is>
          <t xml:space="preserve">v0.2</t>
        </is>
      </c>
      <c r="H441" s="15" t="inlineStr">
        <is>
          <t xml:space="preserve">Bible_Journey_Canon_Map_v0_2_Chronicles_Psalms_Job_1Kings.xlsx</t>
        </is>
      </c>
      <c r="I441" s="15" t="inlineStr">
        <is>
          <t xml:space="preserve">Chapter Map</t>
        </is>
      </c>
      <c r="J441" s="15" t="inlineStr">
        <is>
          <t xml:space="preserve">CRS-JOB-001</t>
        </is>
      </c>
      <c r="K441" s="15"/>
      <c r="L441" s="10" t="inlineStr">
        <is>
          <t xml:space="preserve">Mapped</t>
        </is>
      </c>
      <c r="M441" s="15" t="inlineStr">
        <is>
          <t xml:space="preserve">Book-level sequence is intact; position in global chronology is unresolved.</t>
        </is>
      </c>
      <c r="N441" s="15"/>
      <c r="O441" s="15">
        <v>1</v>
      </c>
      <c r="P441" s="10" t="str">
        <f>IF(L441="MISSING","MISSING",IF(O441=1,"PASS","DUPLICATE"))</f>
        <v>PASS</v>
      </c>
    </row>
    <row r="442" ht="22" customHeight="1">
      <c r="A442" s="15" t="inlineStr">
        <is>
          <t xml:space="preserve">Job 2</t>
        </is>
      </c>
      <c r="B442" s="15">
        <v>438</v>
      </c>
      <c r="C442" s="15" t="inlineStr">
        <is>
          <t xml:space="preserve">Old Testament</t>
        </is>
      </c>
      <c r="D442" s="15">
        <v>18</v>
      </c>
      <c r="E442" s="15" t="inlineStr">
        <is>
          <t xml:space="preserve">Job</t>
        </is>
      </c>
      <c r="F442" s="15">
        <v>2</v>
      </c>
      <c r="G442" s="15" t="inlineStr">
        <is>
          <t xml:space="preserve">v0.2</t>
        </is>
      </c>
      <c r="H442" s="15" t="inlineStr">
        <is>
          <t xml:space="preserve">Bible_Journey_Canon_Map_v0_2_Chronicles_Psalms_Job_1Kings.xlsx</t>
        </is>
      </c>
      <c r="I442" s="15" t="inlineStr">
        <is>
          <t xml:space="preserve">Chapter Map</t>
        </is>
      </c>
      <c r="J442" s="15" t="inlineStr">
        <is>
          <t xml:space="preserve">CRS-JOB-001</t>
        </is>
      </c>
      <c r="K442" s="15"/>
      <c r="L442" s="10" t="inlineStr">
        <is>
          <t xml:space="preserve">Mapped</t>
        </is>
      </c>
      <c r="M442" s="15" t="inlineStr">
        <is>
          <t xml:space="preserve">Book-level sequence is intact; position in global chronology is unresolved.</t>
        </is>
      </c>
      <c r="N442" s="15"/>
      <c r="O442" s="15">
        <v>1</v>
      </c>
      <c r="P442" s="10" t="str">
        <f>IF(L442="MISSING","MISSING",IF(O442=1,"PASS","DUPLICATE"))</f>
        <v>PASS</v>
      </c>
    </row>
    <row r="443" ht="22" customHeight="1">
      <c r="A443" s="15" t="inlineStr">
        <is>
          <t xml:space="preserve">Job 3</t>
        </is>
      </c>
      <c r="B443" s="15">
        <v>439</v>
      </c>
      <c r="C443" s="15" t="inlineStr">
        <is>
          <t xml:space="preserve">Old Testament</t>
        </is>
      </c>
      <c r="D443" s="15">
        <v>18</v>
      </c>
      <c r="E443" s="15" t="inlineStr">
        <is>
          <t xml:space="preserve">Job</t>
        </is>
      </c>
      <c r="F443" s="15">
        <v>3</v>
      </c>
      <c r="G443" s="15" t="inlineStr">
        <is>
          <t xml:space="preserve">v0.2</t>
        </is>
      </c>
      <c r="H443" s="15" t="inlineStr">
        <is>
          <t xml:space="preserve">Bible_Journey_Canon_Map_v0_2_Chronicles_Psalms_Job_1Kings.xlsx</t>
        </is>
      </c>
      <c r="I443" s="15" t="inlineStr">
        <is>
          <t xml:space="preserve">Chapter Map</t>
        </is>
      </c>
      <c r="J443" s="15" t="inlineStr">
        <is>
          <t xml:space="preserve">CRS-JOB-002</t>
        </is>
      </c>
      <c r="K443" s="15"/>
      <c r="L443" s="10" t="inlineStr">
        <is>
          <t xml:space="preserve">Mapped</t>
        </is>
      </c>
      <c r="M443" s="15" t="inlineStr">
        <is>
          <t xml:space="preserve">Book-level sequence is intact; position in global chronology is unresolved.</t>
        </is>
      </c>
      <c r="N443" s="15"/>
      <c r="O443" s="15">
        <v>1</v>
      </c>
      <c r="P443" s="10" t="str">
        <f>IF(L443="MISSING","MISSING",IF(O443=1,"PASS","DUPLICATE"))</f>
        <v>PASS</v>
      </c>
    </row>
    <row r="444" ht="22" customHeight="1">
      <c r="A444" s="15" t="inlineStr">
        <is>
          <t xml:space="preserve">Job 4</t>
        </is>
      </c>
      <c r="B444" s="15">
        <v>440</v>
      </c>
      <c r="C444" s="15" t="inlineStr">
        <is>
          <t xml:space="preserve">Old Testament</t>
        </is>
      </c>
      <c r="D444" s="15">
        <v>18</v>
      </c>
      <c r="E444" s="15" t="inlineStr">
        <is>
          <t xml:space="preserve">Job</t>
        </is>
      </c>
      <c r="F444" s="15">
        <v>4</v>
      </c>
      <c r="G444" s="15" t="inlineStr">
        <is>
          <t xml:space="preserve">v0.2</t>
        </is>
      </c>
      <c r="H444" s="15" t="inlineStr">
        <is>
          <t xml:space="preserve">Bible_Journey_Canon_Map_v0_2_Chronicles_Psalms_Job_1Kings.xlsx</t>
        </is>
      </c>
      <c r="I444" s="15" t="inlineStr">
        <is>
          <t xml:space="preserve">Chapter Map</t>
        </is>
      </c>
      <c r="J444" s="15" t="inlineStr">
        <is>
          <t xml:space="preserve">CRS-JOB-003</t>
        </is>
      </c>
      <c r="K444" s="15"/>
      <c r="L444" s="10" t="inlineStr">
        <is>
          <t xml:space="preserve">Mapped</t>
        </is>
      </c>
      <c r="M444" s="15" t="inlineStr">
        <is>
          <t xml:space="preserve">Book-level sequence is intact; position in global chronology is unresolved.</t>
        </is>
      </c>
      <c r="N444" s="15"/>
      <c r="O444" s="15">
        <v>1</v>
      </c>
      <c r="P444" s="10" t="str">
        <f>IF(L444="MISSING","MISSING",IF(O444=1,"PASS","DUPLICATE"))</f>
        <v>PASS</v>
      </c>
    </row>
    <row r="445" ht="22" customHeight="1">
      <c r="A445" s="15" t="inlineStr">
        <is>
          <t xml:space="preserve">Job 5</t>
        </is>
      </c>
      <c r="B445" s="15">
        <v>441</v>
      </c>
      <c r="C445" s="15" t="inlineStr">
        <is>
          <t xml:space="preserve">Old Testament</t>
        </is>
      </c>
      <c r="D445" s="15">
        <v>18</v>
      </c>
      <c r="E445" s="15" t="inlineStr">
        <is>
          <t xml:space="preserve">Job</t>
        </is>
      </c>
      <c r="F445" s="15">
        <v>5</v>
      </c>
      <c r="G445" s="15" t="inlineStr">
        <is>
          <t xml:space="preserve">v0.2</t>
        </is>
      </c>
      <c r="H445" s="15" t="inlineStr">
        <is>
          <t xml:space="preserve">Bible_Journey_Canon_Map_v0_2_Chronicles_Psalms_Job_1Kings.xlsx</t>
        </is>
      </c>
      <c r="I445" s="15" t="inlineStr">
        <is>
          <t xml:space="preserve">Chapter Map</t>
        </is>
      </c>
      <c r="J445" s="15" t="inlineStr">
        <is>
          <t xml:space="preserve">CRS-JOB-003</t>
        </is>
      </c>
      <c r="K445" s="15"/>
      <c r="L445" s="10" t="inlineStr">
        <is>
          <t xml:space="preserve">Mapped</t>
        </is>
      </c>
      <c r="M445" s="15" t="inlineStr">
        <is>
          <t xml:space="preserve">Book-level sequence is intact; position in global chronology is unresolved.</t>
        </is>
      </c>
      <c r="N445" s="15"/>
      <c r="O445" s="15">
        <v>1</v>
      </c>
      <c r="P445" s="10" t="str">
        <f>IF(L445="MISSING","MISSING",IF(O445=1,"PASS","DUPLICATE"))</f>
        <v>PASS</v>
      </c>
    </row>
    <row r="446" ht="22" customHeight="1">
      <c r="A446" s="15" t="inlineStr">
        <is>
          <t xml:space="preserve">Job 6</t>
        </is>
      </c>
      <c r="B446" s="15">
        <v>442</v>
      </c>
      <c r="C446" s="15" t="inlineStr">
        <is>
          <t xml:space="preserve">Old Testament</t>
        </is>
      </c>
      <c r="D446" s="15">
        <v>18</v>
      </c>
      <c r="E446" s="15" t="inlineStr">
        <is>
          <t xml:space="preserve">Job</t>
        </is>
      </c>
      <c r="F446" s="15">
        <v>6</v>
      </c>
      <c r="G446" s="15" t="inlineStr">
        <is>
          <t xml:space="preserve">v0.2</t>
        </is>
      </c>
      <c r="H446" s="15" t="inlineStr">
        <is>
          <t xml:space="preserve">Bible_Journey_Canon_Map_v0_2_Chronicles_Psalms_Job_1Kings.xlsx</t>
        </is>
      </c>
      <c r="I446" s="15" t="inlineStr">
        <is>
          <t xml:space="preserve">Chapter Map</t>
        </is>
      </c>
      <c r="J446" s="15" t="inlineStr">
        <is>
          <t xml:space="preserve">CRS-JOB-003</t>
        </is>
      </c>
      <c r="K446" s="15"/>
      <c r="L446" s="10" t="inlineStr">
        <is>
          <t xml:space="preserve">Mapped</t>
        </is>
      </c>
      <c r="M446" s="15" t="inlineStr">
        <is>
          <t xml:space="preserve">Book-level sequence is intact; position in global chronology is unresolved.</t>
        </is>
      </c>
      <c r="N446" s="15"/>
      <c r="O446" s="15">
        <v>1</v>
      </c>
      <c r="P446" s="10" t="str">
        <f>IF(L446="MISSING","MISSING",IF(O446=1,"PASS","DUPLICATE"))</f>
        <v>PASS</v>
      </c>
    </row>
    <row r="447" ht="22" customHeight="1">
      <c r="A447" s="15" t="inlineStr">
        <is>
          <t xml:space="preserve">Job 7</t>
        </is>
      </c>
      <c r="B447" s="15">
        <v>443</v>
      </c>
      <c r="C447" s="15" t="inlineStr">
        <is>
          <t xml:space="preserve">Old Testament</t>
        </is>
      </c>
      <c r="D447" s="15">
        <v>18</v>
      </c>
      <c r="E447" s="15" t="inlineStr">
        <is>
          <t xml:space="preserve">Job</t>
        </is>
      </c>
      <c r="F447" s="15">
        <v>7</v>
      </c>
      <c r="G447" s="15" t="inlineStr">
        <is>
          <t xml:space="preserve">v0.2</t>
        </is>
      </c>
      <c r="H447" s="15" t="inlineStr">
        <is>
          <t xml:space="preserve">Bible_Journey_Canon_Map_v0_2_Chronicles_Psalms_Job_1Kings.xlsx</t>
        </is>
      </c>
      <c r="I447" s="15" t="inlineStr">
        <is>
          <t xml:space="preserve">Chapter Map</t>
        </is>
      </c>
      <c r="J447" s="15" t="inlineStr">
        <is>
          <t xml:space="preserve">CRS-JOB-003</t>
        </is>
      </c>
      <c r="K447" s="15"/>
      <c r="L447" s="10" t="inlineStr">
        <is>
          <t xml:space="preserve">Mapped</t>
        </is>
      </c>
      <c r="M447" s="15" t="inlineStr">
        <is>
          <t xml:space="preserve">Book-level sequence is intact; position in global chronology is unresolved.</t>
        </is>
      </c>
      <c r="N447" s="15"/>
      <c r="O447" s="15">
        <v>1</v>
      </c>
      <c r="P447" s="10" t="str">
        <f>IF(L447="MISSING","MISSING",IF(O447=1,"PASS","DUPLICATE"))</f>
        <v>PASS</v>
      </c>
    </row>
    <row r="448" ht="22" customHeight="1">
      <c r="A448" s="15" t="inlineStr">
        <is>
          <t xml:space="preserve">Job 8</t>
        </is>
      </c>
      <c r="B448" s="15">
        <v>444</v>
      </c>
      <c r="C448" s="15" t="inlineStr">
        <is>
          <t xml:space="preserve">Old Testament</t>
        </is>
      </c>
      <c r="D448" s="15">
        <v>18</v>
      </c>
      <c r="E448" s="15" t="inlineStr">
        <is>
          <t xml:space="preserve">Job</t>
        </is>
      </c>
      <c r="F448" s="15">
        <v>8</v>
      </c>
      <c r="G448" s="15" t="inlineStr">
        <is>
          <t xml:space="preserve">v0.2</t>
        </is>
      </c>
      <c r="H448" s="15" t="inlineStr">
        <is>
          <t xml:space="preserve">Bible_Journey_Canon_Map_v0_2_Chronicles_Psalms_Job_1Kings.xlsx</t>
        </is>
      </c>
      <c r="I448" s="15" t="inlineStr">
        <is>
          <t xml:space="preserve">Chapter Map</t>
        </is>
      </c>
      <c r="J448" s="15" t="inlineStr">
        <is>
          <t xml:space="preserve">CRS-JOB-003</t>
        </is>
      </c>
      <c r="K448" s="15"/>
      <c r="L448" s="10" t="inlineStr">
        <is>
          <t xml:space="preserve">Mapped</t>
        </is>
      </c>
      <c r="M448" s="15" t="inlineStr">
        <is>
          <t xml:space="preserve">Book-level sequence is intact; position in global chronology is unresolved.</t>
        </is>
      </c>
      <c r="N448" s="15"/>
      <c r="O448" s="15">
        <v>1</v>
      </c>
      <c r="P448" s="10" t="str">
        <f>IF(L448="MISSING","MISSING",IF(O448=1,"PASS","DUPLICATE"))</f>
        <v>PASS</v>
      </c>
    </row>
    <row r="449" ht="22" customHeight="1">
      <c r="A449" s="15" t="inlineStr">
        <is>
          <t xml:space="preserve">Job 9</t>
        </is>
      </c>
      <c r="B449" s="15">
        <v>445</v>
      </c>
      <c r="C449" s="15" t="inlineStr">
        <is>
          <t xml:space="preserve">Old Testament</t>
        </is>
      </c>
      <c r="D449" s="15">
        <v>18</v>
      </c>
      <c r="E449" s="15" t="inlineStr">
        <is>
          <t xml:space="preserve">Job</t>
        </is>
      </c>
      <c r="F449" s="15">
        <v>9</v>
      </c>
      <c r="G449" s="15" t="inlineStr">
        <is>
          <t xml:space="preserve">v0.2</t>
        </is>
      </c>
      <c r="H449" s="15" t="inlineStr">
        <is>
          <t xml:space="preserve">Bible_Journey_Canon_Map_v0_2_Chronicles_Psalms_Job_1Kings.xlsx</t>
        </is>
      </c>
      <c r="I449" s="15" t="inlineStr">
        <is>
          <t xml:space="preserve">Chapter Map</t>
        </is>
      </c>
      <c r="J449" s="15" t="inlineStr">
        <is>
          <t xml:space="preserve">CRS-JOB-003</t>
        </is>
      </c>
      <c r="K449" s="15"/>
      <c r="L449" s="10" t="inlineStr">
        <is>
          <t xml:space="preserve">Mapped</t>
        </is>
      </c>
      <c r="M449" s="15" t="inlineStr">
        <is>
          <t xml:space="preserve">Book-level sequence is intact; position in global chronology is unresolved.</t>
        </is>
      </c>
      <c r="N449" s="15"/>
      <c r="O449" s="15">
        <v>1</v>
      </c>
      <c r="P449" s="10" t="str">
        <f>IF(L449="MISSING","MISSING",IF(O449=1,"PASS","DUPLICATE"))</f>
        <v>PASS</v>
      </c>
    </row>
    <row r="450" ht="22" customHeight="1">
      <c r="A450" s="15" t="inlineStr">
        <is>
          <t xml:space="preserve">Job 10</t>
        </is>
      </c>
      <c r="B450" s="15">
        <v>446</v>
      </c>
      <c r="C450" s="15" t="inlineStr">
        <is>
          <t xml:space="preserve">Old Testament</t>
        </is>
      </c>
      <c r="D450" s="15">
        <v>18</v>
      </c>
      <c r="E450" s="15" t="inlineStr">
        <is>
          <t xml:space="preserve">Job</t>
        </is>
      </c>
      <c r="F450" s="15">
        <v>10</v>
      </c>
      <c r="G450" s="15" t="inlineStr">
        <is>
          <t xml:space="preserve">v0.2</t>
        </is>
      </c>
      <c r="H450" s="15" t="inlineStr">
        <is>
          <t xml:space="preserve">Bible_Journey_Canon_Map_v0_2_Chronicles_Psalms_Job_1Kings.xlsx</t>
        </is>
      </c>
      <c r="I450" s="15" t="inlineStr">
        <is>
          <t xml:space="preserve">Chapter Map</t>
        </is>
      </c>
      <c r="J450" s="15" t="inlineStr">
        <is>
          <t xml:space="preserve">CRS-JOB-003</t>
        </is>
      </c>
      <c r="K450" s="15"/>
      <c r="L450" s="10" t="inlineStr">
        <is>
          <t xml:space="preserve">Mapped</t>
        </is>
      </c>
      <c r="M450" s="15" t="inlineStr">
        <is>
          <t xml:space="preserve">Book-level sequence is intact; position in global chronology is unresolved.</t>
        </is>
      </c>
      <c r="N450" s="15"/>
      <c r="O450" s="15">
        <v>1</v>
      </c>
      <c r="P450" s="10" t="str">
        <f>IF(L450="MISSING","MISSING",IF(O450=1,"PASS","DUPLICATE"))</f>
        <v>PASS</v>
      </c>
    </row>
    <row r="451" ht="22" customHeight="1">
      <c r="A451" s="15" t="inlineStr">
        <is>
          <t xml:space="preserve">Job 11</t>
        </is>
      </c>
      <c r="B451" s="15">
        <v>447</v>
      </c>
      <c r="C451" s="15" t="inlineStr">
        <is>
          <t xml:space="preserve">Old Testament</t>
        </is>
      </c>
      <c r="D451" s="15">
        <v>18</v>
      </c>
      <c r="E451" s="15" t="inlineStr">
        <is>
          <t xml:space="preserve">Job</t>
        </is>
      </c>
      <c r="F451" s="15">
        <v>11</v>
      </c>
      <c r="G451" s="15" t="inlineStr">
        <is>
          <t xml:space="preserve">v0.2</t>
        </is>
      </c>
      <c r="H451" s="15" t="inlineStr">
        <is>
          <t xml:space="preserve">Bible_Journey_Canon_Map_v0_2_Chronicles_Psalms_Job_1Kings.xlsx</t>
        </is>
      </c>
      <c r="I451" s="15" t="inlineStr">
        <is>
          <t xml:space="preserve">Chapter Map</t>
        </is>
      </c>
      <c r="J451" s="15" t="inlineStr">
        <is>
          <t xml:space="preserve">CRS-JOB-003</t>
        </is>
      </c>
      <c r="K451" s="15"/>
      <c r="L451" s="10" t="inlineStr">
        <is>
          <t xml:space="preserve">Mapped</t>
        </is>
      </c>
      <c r="M451" s="15" t="inlineStr">
        <is>
          <t xml:space="preserve">Book-level sequence is intact; position in global chronology is unresolved.</t>
        </is>
      </c>
      <c r="N451" s="15"/>
      <c r="O451" s="15">
        <v>1</v>
      </c>
      <c r="P451" s="10" t="str">
        <f>IF(L451="MISSING","MISSING",IF(O451=1,"PASS","DUPLICATE"))</f>
        <v>PASS</v>
      </c>
    </row>
    <row r="452" ht="22" customHeight="1">
      <c r="A452" s="15" t="inlineStr">
        <is>
          <t xml:space="preserve">Job 12</t>
        </is>
      </c>
      <c r="B452" s="15">
        <v>448</v>
      </c>
      <c r="C452" s="15" t="inlineStr">
        <is>
          <t xml:space="preserve">Old Testament</t>
        </is>
      </c>
      <c r="D452" s="15">
        <v>18</v>
      </c>
      <c r="E452" s="15" t="inlineStr">
        <is>
          <t xml:space="preserve">Job</t>
        </is>
      </c>
      <c r="F452" s="15">
        <v>12</v>
      </c>
      <c r="G452" s="15" t="inlineStr">
        <is>
          <t xml:space="preserve">v0.2</t>
        </is>
      </c>
      <c r="H452" s="15" t="inlineStr">
        <is>
          <t xml:space="preserve">Bible_Journey_Canon_Map_v0_2_Chronicles_Psalms_Job_1Kings.xlsx</t>
        </is>
      </c>
      <c r="I452" s="15" t="inlineStr">
        <is>
          <t xml:space="preserve">Chapter Map</t>
        </is>
      </c>
      <c r="J452" s="15" t="inlineStr">
        <is>
          <t xml:space="preserve">CRS-JOB-003</t>
        </is>
      </c>
      <c r="K452" s="15"/>
      <c r="L452" s="10" t="inlineStr">
        <is>
          <t xml:space="preserve">Mapped</t>
        </is>
      </c>
      <c r="M452" s="15" t="inlineStr">
        <is>
          <t xml:space="preserve">Book-level sequence is intact; position in global chronology is unresolved.</t>
        </is>
      </c>
      <c r="N452" s="15"/>
      <c r="O452" s="15">
        <v>1</v>
      </c>
      <c r="P452" s="10" t="str">
        <f>IF(L452="MISSING","MISSING",IF(O452=1,"PASS","DUPLICATE"))</f>
        <v>PASS</v>
      </c>
    </row>
    <row r="453" ht="22" customHeight="1">
      <c r="A453" s="15" t="inlineStr">
        <is>
          <t xml:space="preserve">Job 13</t>
        </is>
      </c>
      <c r="B453" s="15">
        <v>449</v>
      </c>
      <c r="C453" s="15" t="inlineStr">
        <is>
          <t xml:space="preserve">Old Testament</t>
        </is>
      </c>
      <c r="D453" s="15">
        <v>18</v>
      </c>
      <c r="E453" s="15" t="inlineStr">
        <is>
          <t xml:space="preserve">Job</t>
        </is>
      </c>
      <c r="F453" s="15">
        <v>13</v>
      </c>
      <c r="G453" s="15" t="inlineStr">
        <is>
          <t xml:space="preserve">v0.2</t>
        </is>
      </c>
      <c r="H453" s="15" t="inlineStr">
        <is>
          <t xml:space="preserve">Bible_Journey_Canon_Map_v0_2_Chronicles_Psalms_Job_1Kings.xlsx</t>
        </is>
      </c>
      <c r="I453" s="15" t="inlineStr">
        <is>
          <t xml:space="preserve">Chapter Map</t>
        </is>
      </c>
      <c r="J453" s="15" t="inlineStr">
        <is>
          <t xml:space="preserve">CRS-JOB-003</t>
        </is>
      </c>
      <c r="K453" s="15"/>
      <c r="L453" s="10" t="inlineStr">
        <is>
          <t xml:space="preserve">Mapped</t>
        </is>
      </c>
      <c r="M453" s="15" t="inlineStr">
        <is>
          <t xml:space="preserve">Book-level sequence is intact; position in global chronology is unresolved.</t>
        </is>
      </c>
      <c r="N453" s="15"/>
      <c r="O453" s="15">
        <v>1</v>
      </c>
      <c r="P453" s="10" t="str">
        <f>IF(L453="MISSING","MISSING",IF(O453=1,"PASS","DUPLICATE"))</f>
        <v>PASS</v>
      </c>
    </row>
    <row r="454" ht="22" customHeight="1">
      <c r="A454" s="15" t="inlineStr">
        <is>
          <t xml:space="preserve">Job 14</t>
        </is>
      </c>
      <c r="B454" s="15">
        <v>450</v>
      </c>
      <c r="C454" s="15" t="inlineStr">
        <is>
          <t xml:space="preserve">Old Testament</t>
        </is>
      </c>
      <c r="D454" s="15">
        <v>18</v>
      </c>
      <c r="E454" s="15" t="inlineStr">
        <is>
          <t xml:space="preserve">Job</t>
        </is>
      </c>
      <c r="F454" s="15">
        <v>14</v>
      </c>
      <c r="G454" s="15" t="inlineStr">
        <is>
          <t xml:space="preserve">v0.2</t>
        </is>
      </c>
      <c r="H454" s="15" t="inlineStr">
        <is>
          <t xml:space="preserve">Bible_Journey_Canon_Map_v0_2_Chronicles_Psalms_Job_1Kings.xlsx</t>
        </is>
      </c>
      <c r="I454" s="15" t="inlineStr">
        <is>
          <t xml:space="preserve">Chapter Map</t>
        </is>
      </c>
      <c r="J454" s="15" t="inlineStr">
        <is>
          <t xml:space="preserve">CRS-JOB-003</t>
        </is>
      </c>
      <c r="K454" s="15"/>
      <c r="L454" s="10" t="inlineStr">
        <is>
          <t xml:space="preserve">Mapped</t>
        </is>
      </c>
      <c r="M454" s="15" t="inlineStr">
        <is>
          <t xml:space="preserve">Book-level sequence is intact; position in global chronology is unresolved.</t>
        </is>
      </c>
      <c r="N454" s="15"/>
      <c r="O454" s="15">
        <v>1</v>
      </c>
      <c r="P454" s="10" t="str">
        <f>IF(L454="MISSING","MISSING",IF(O454=1,"PASS","DUPLICATE"))</f>
        <v>PASS</v>
      </c>
    </row>
    <row r="455" ht="22" customHeight="1">
      <c r="A455" s="15" t="inlineStr">
        <is>
          <t xml:space="preserve">Job 15</t>
        </is>
      </c>
      <c r="B455" s="15">
        <v>451</v>
      </c>
      <c r="C455" s="15" t="inlineStr">
        <is>
          <t xml:space="preserve">Old Testament</t>
        </is>
      </c>
      <c r="D455" s="15">
        <v>18</v>
      </c>
      <c r="E455" s="15" t="inlineStr">
        <is>
          <t xml:space="preserve">Job</t>
        </is>
      </c>
      <c r="F455" s="15">
        <v>15</v>
      </c>
      <c r="G455" s="15" t="inlineStr">
        <is>
          <t xml:space="preserve">v0.2</t>
        </is>
      </c>
      <c r="H455" s="15" t="inlineStr">
        <is>
          <t xml:space="preserve">Bible_Journey_Canon_Map_v0_2_Chronicles_Psalms_Job_1Kings.xlsx</t>
        </is>
      </c>
      <c r="I455" s="15" t="inlineStr">
        <is>
          <t xml:space="preserve">Chapter Map</t>
        </is>
      </c>
      <c r="J455" s="15" t="inlineStr">
        <is>
          <t xml:space="preserve">CRS-JOB-004</t>
        </is>
      </c>
      <c r="K455" s="15"/>
      <c r="L455" s="10" t="inlineStr">
        <is>
          <t xml:space="preserve">Mapped</t>
        </is>
      </c>
      <c r="M455" s="15" t="inlineStr">
        <is>
          <t xml:space="preserve">Book-level sequence is intact; position in global chronology is unresolved.</t>
        </is>
      </c>
      <c r="N455" s="15"/>
      <c r="O455" s="15">
        <v>1</v>
      </c>
      <c r="P455" s="10" t="str">
        <f>IF(L455="MISSING","MISSING",IF(O455=1,"PASS","DUPLICATE"))</f>
        <v>PASS</v>
      </c>
    </row>
    <row r="456" ht="22" customHeight="1">
      <c r="A456" s="15" t="inlineStr">
        <is>
          <t xml:space="preserve">Job 16</t>
        </is>
      </c>
      <c r="B456" s="15">
        <v>452</v>
      </c>
      <c r="C456" s="15" t="inlineStr">
        <is>
          <t xml:space="preserve">Old Testament</t>
        </is>
      </c>
      <c r="D456" s="15">
        <v>18</v>
      </c>
      <c r="E456" s="15" t="inlineStr">
        <is>
          <t xml:space="preserve">Job</t>
        </is>
      </c>
      <c r="F456" s="15">
        <v>16</v>
      </c>
      <c r="G456" s="15" t="inlineStr">
        <is>
          <t xml:space="preserve">v0.2</t>
        </is>
      </c>
      <c r="H456" s="15" t="inlineStr">
        <is>
          <t xml:space="preserve">Bible_Journey_Canon_Map_v0_2_Chronicles_Psalms_Job_1Kings.xlsx</t>
        </is>
      </c>
      <c r="I456" s="15" t="inlineStr">
        <is>
          <t xml:space="preserve">Chapter Map</t>
        </is>
      </c>
      <c r="J456" s="15" t="inlineStr">
        <is>
          <t xml:space="preserve">CRS-JOB-004</t>
        </is>
      </c>
      <c r="K456" s="15"/>
      <c r="L456" s="10" t="inlineStr">
        <is>
          <t xml:space="preserve">Mapped</t>
        </is>
      </c>
      <c r="M456" s="15" t="inlineStr">
        <is>
          <t xml:space="preserve">Book-level sequence is intact; position in global chronology is unresolved.</t>
        </is>
      </c>
      <c r="N456" s="15"/>
      <c r="O456" s="15">
        <v>1</v>
      </c>
      <c r="P456" s="10" t="str">
        <f>IF(L456="MISSING","MISSING",IF(O456=1,"PASS","DUPLICATE"))</f>
        <v>PASS</v>
      </c>
    </row>
    <row r="457" ht="22" customHeight="1">
      <c r="A457" s="15" t="inlineStr">
        <is>
          <t xml:space="preserve">Job 17</t>
        </is>
      </c>
      <c r="B457" s="15">
        <v>453</v>
      </c>
      <c r="C457" s="15" t="inlineStr">
        <is>
          <t xml:space="preserve">Old Testament</t>
        </is>
      </c>
      <c r="D457" s="15">
        <v>18</v>
      </c>
      <c r="E457" s="15" t="inlineStr">
        <is>
          <t xml:space="preserve">Job</t>
        </is>
      </c>
      <c r="F457" s="15">
        <v>17</v>
      </c>
      <c r="G457" s="15" t="inlineStr">
        <is>
          <t xml:space="preserve">v0.2</t>
        </is>
      </c>
      <c r="H457" s="15" t="inlineStr">
        <is>
          <t xml:space="preserve">Bible_Journey_Canon_Map_v0_2_Chronicles_Psalms_Job_1Kings.xlsx</t>
        </is>
      </c>
      <c r="I457" s="15" t="inlineStr">
        <is>
          <t xml:space="preserve">Chapter Map</t>
        </is>
      </c>
      <c r="J457" s="15" t="inlineStr">
        <is>
          <t xml:space="preserve">CRS-JOB-004</t>
        </is>
      </c>
      <c r="K457" s="15"/>
      <c r="L457" s="10" t="inlineStr">
        <is>
          <t xml:space="preserve">Mapped</t>
        </is>
      </c>
      <c r="M457" s="15" t="inlineStr">
        <is>
          <t xml:space="preserve">Book-level sequence is intact; position in global chronology is unresolved.</t>
        </is>
      </c>
      <c r="N457" s="15"/>
      <c r="O457" s="15">
        <v>1</v>
      </c>
      <c r="P457" s="10" t="str">
        <f>IF(L457="MISSING","MISSING",IF(O457=1,"PASS","DUPLICATE"))</f>
        <v>PASS</v>
      </c>
    </row>
    <row r="458" ht="22" customHeight="1">
      <c r="A458" s="15" t="inlineStr">
        <is>
          <t xml:space="preserve">Job 18</t>
        </is>
      </c>
      <c r="B458" s="15">
        <v>454</v>
      </c>
      <c r="C458" s="15" t="inlineStr">
        <is>
          <t xml:space="preserve">Old Testament</t>
        </is>
      </c>
      <c r="D458" s="15">
        <v>18</v>
      </c>
      <c r="E458" s="15" t="inlineStr">
        <is>
          <t xml:space="preserve">Job</t>
        </is>
      </c>
      <c r="F458" s="15">
        <v>18</v>
      </c>
      <c r="G458" s="15" t="inlineStr">
        <is>
          <t xml:space="preserve">v0.2</t>
        </is>
      </c>
      <c r="H458" s="15" t="inlineStr">
        <is>
          <t xml:space="preserve">Bible_Journey_Canon_Map_v0_2_Chronicles_Psalms_Job_1Kings.xlsx</t>
        </is>
      </c>
      <c r="I458" s="15" t="inlineStr">
        <is>
          <t xml:space="preserve">Chapter Map</t>
        </is>
      </c>
      <c r="J458" s="15" t="inlineStr">
        <is>
          <t xml:space="preserve">CRS-JOB-004</t>
        </is>
      </c>
      <c r="K458" s="15"/>
      <c r="L458" s="10" t="inlineStr">
        <is>
          <t xml:space="preserve">Mapped</t>
        </is>
      </c>
      <c r="M458" s="15" t="inlineStr">
        <is>
          <t xml:space="preserve">Book-level sequence is intact; position in global chronology is unresolved.</t>
        </is>
      </c>
      <c r="N458" s="15"/>
      <c r="O458" s="15">
        <v>1</v>
      </c>
      <c r="P458" s="10" t="str">
        <f>IF(L458="MISSING","MISSING",IF(O458=1,"PASS","DUPLICATE"))</f>
        <v>PASS</v>
      </c>
    </row>
    <row r="459" ht="22" customHeight="1">
      <c r="A459" s="15" t="inlineStr">
        <is>
          <t xml:space="preserve">Job 19</t>
        </is>
      </c>
      <c r="B459" s="15">
        <v>455</v>
      </c>
      <c r="C459" s="15" t="inlineStr">
        <is>
          <t xml:space="preserve">Old Testament</t>
        </is>
      </c>
      <c r="D459" s="15">
        <v>18</v>
      </c>
      <c r="E459" s="15" t="inlineStr">
        <is>
          <t xml:space="preserve">Job</t>
        </is>
      </c>
      <c r="F459" s="15">
        <v>19</v>
      </c>
      <c r="G459" s="15" t="inlineStr">
        <is>
          <t xml:space="preserve">v0.2</t>
        </is>
      </c>
      <c r="H459" s="15" t="inlineStr">
        <is>
          <t xml:space="preserve">Bible_Journey_Canon_Map_v0_2_Chronicles_Psalms_Job_1Kings.xlsx</t>
        </is>
      </c>
      <c r="I459" s="15" t="inlineStr">
        <is>
          <t xml:space="preserve">Chapter Map</t>
        </is>
      </c>
      <c r="J459" s="15" t="inlineStr">
        <is>
          <t xml:space="preserve">CRS-JOB-004</t>
        </is>
      </c>
      <c r="K459" s="15"/>
      <c r="L459" s="10" t="inlineStr">
        <is>
          <t xml:space="preserve">Mapped</t>
        </is>
      </c>
      <c r="M459" s="15" t="inlineStr">
        <is>
          <t xml:space="preserve">Book-level sequence is intact; position in global chronology is unresolved.</t>
        </is>
      </c>
      <c r="N459" s="15"/>
      <c r="O459" s="15">
        <v>1</v>
      </c>
      <c r="P459" s="10" t="str">
        <f>IF(L459="MISSING","MISSING",IF(O459=1,"PASS","DUPLICATE"))</f>
        <v>PASS</v>
      </c>
    </row>
    <row r="460" ht="22" customHeight="1">
      <c r="A460" s="15" t="inlineStr">
        <is>
          <t xml:space="preserve">Job 20</t>
        </is>
      </c>
      <c r="B460" s="15">
        <v>456</v>
      </c>
      <c r="C460" s="15" t="inlineStr">
        <is>
          <t xml:space="preserve">Old Testament</t>
        </is>
      </c>
      <c r="D460" s="15">
        <v>18</v>
      </c>
      <c r="E460" s="15" t="inlineStr">
        <is>
          <t xml:space="preserve">Job</t>
        </is>
      </c>
      <c r="F460" s="15">
        <v>20</v>
      </c>
      <c r="G460" s="15" t="inlineStr">
        <is>
          <t xml:space="preserve">v0.2</t>
        </is>
      </c>
      <c r="H460" s="15" t="inlineStr">
        <is>
          <t xml:space="preserve">Bible_Journey_Canon_Map_v0_2_Chronicles_Psalms_Job_1Kings.xlsx</t>
        </is>
      </c>
      <c r="I460" s="15" t="inlineStr">
        <is>
          <t xml:space="preserve">Chapter Map</t>
        </is>
      </c>
      <c r="J460" s="15" t="inlineStr">
        <is>
          <t xml:space="preserve">CRS-JOB-004</t>
        </is>
      </c>
      <c r="K460" s="15"/>
      <c r="L460" s="10" t="inlineStr">
        <is>
          <t xml:space="preserve">Mapped</t>
        </is>
      </c>
      <c r="M460" s="15" t="inlineStr">
        <is>
          <t xml:space="preserve">Book-level sequence is intact; position in global chronology is unresolved.</t>
        </is>
      </c>
      <c r="N460" s="15"/>
      <c r="O460" s="15">
        <v>1</v>
      </c>
      <c r="P460" s="10" t="str">
        <f>IF(L460="MISSING","MISSING",IF(O460=1,"PASS","DUPLICATE"))</f>
        <v>PASS</v>
      </c>
    </row>
    <row r="461" ht="22" customHeight="1">
      <c r="A461" s="15" t="inlineStr">
        <is>
          <t xml:space="preserve">Job 21</t>
        </is>
      </c>
      <c r="B461" s="15">
        <v>457</v>
      </c>
      <c r="C461" s="15" t="inlineStr">
        <is>
          <t xml:space="preserve">Old Testament</t>
        </is>
      </c>
      <c r="D461" s="15">
        <v>18</v>
      </c>
      <c r="E461" s="15" t="inlineStr">
        <is>
          <t xml:space="preserve">Job</t>
        </is>
      </c>
      <c r="F461" s="15">
        <v>21</v>
      </c>
      <c r="G461" s="15" t="inlineStr">
        <is>
          <t xml:space="preserve">v0.2</t>
        </is>
      </c>
      <c r="H461" s="15" t="inlineStr">
        <is>
          <t xml:space="preserve">Bible_Journey_Canon_Map_v0_2_Chronicles_Psalms_Job_1Kings.xlsx</t>
        </is>
      </c>
      <c r="I461" s="15" t="inlineStr">
        <is>
          <t xml:space="preserve">Chapter Map</t>
        </is>
      </c>
      <c r="J461" s="15" t="inlineStr">
        <is>
          <t xml:space="preserve">CRS-JOB-004</t>
        </is>
      </c>
      <c r="K461" s="15"/>
      <c r="L461" s="10" t="inlineStr">
        <is>
          <t xml:space="preserve">Mapped</t>
        </is>
      </c>
      <c r="M461" s="15" t="inlineStr">
        <is>
          <t xml:space="preserve">Book-level sequence is intact; position in global chronology is unresolved.</t>
        </is>
      </c>
      <c r="N461" s="15"/>
      <c r="O461" s="15">
        <v>1</v>
      </c>
      <c r="P461" s="10" t="str">
        <f>IF(L461="MISSING","MISSING",IF(O461=1,"PASS","DUPLICATE"))</f>
        <v>PASS</v>
      </c>
    </row>
    <row r="462" ht="22" customHeight="1">
      <c r="A462" s="15" t="inlineStr">
        <is>
          <t xml:space="preserve">Job 22</t>
        </is>
      </c>
      <c r="B462" s="15">
        <v>458</v>
      </c>
      <c r="C462" s="15" t="inlineStr">
        <is>
          <t xml:space="preserve">Old Testament</t>
        </is>
      </c>
      <c r="D462" s="15">
        <v>18</v>
      </c>
      <c r="E462" s="15" t="inlineStr">
        <is>
          <t xml:space="preserve">Job</t>
        </is>
      </c>
      <c r="F462" s="15">
        <v>22</v>
      </c>
      <c r="G462" s="15" t="inlineStr">
        <is>
          <t xml:space="preserve">v0.2</t>
        </is>
      </c>
      <c r="H462" s="15" t="inlineStr">
        <is>
          <t xml:space="preserve">Bible_Journey_Canon_Map_v0_2_Chronicles_Psalms_Job_1Kings.xlsx</t>
        </is>
      </c>
      <c r="I462" s="15" t="inlineStr">
        <is>
          <t xml:space="preserve">Chapter Map</t>
        </is>
      </c>
      <c r="J462" s="15" t="inlineStr">
        <is>
          <t xml:space="preserve">CRS-JOB-005</t>
        </is>
      </c>
      <c r="K462" s="15"/>
      <c r="L462" s="10" t="inlineStr">
        <is>
          <t xml:space="preserve">Mapped</t>
        </is>
      </c>
      <c r="M462" s="15" t="inlineStr">
        <is>
          <t xml:space="preserve">Book-level sequence is intact; position in global chronology is unresolved.</t>
        </is>
      </c>
      <c r="N462" s="15"/>
      <c r="O462" s="15">
        <v>1</v>
      </c>
      <c r="P462" s="10" t="str">
        <f>IF(L462="MISSING","MISSING",IF(O462=1,"PASS","DUPLICATE"))</f>
        <v>PASS</v>
      </c>
    </row>
    <row r="463" ht="22" customHeight="1">
      <c r="A463" s="15" t="inlineStr">
        <is>
          <t xml:space="preserve">Job 23</t>
        </is>
      </c>
      <c r="B463" s="15">
        <v>459</v>
      </c>
      <c r="C463" s="15" t="inlineStr">
        <is>
          <t xml:space="preserve">Old Testament</t>
        </is>
      </c>
      <c r="D463" s="15">
        <v>18</v>
      </c>
      <c r="E463" s="15" t="inlineStr">
        <is>
          <t xml:space="preserve">Job</t>
        </is>
      </c>
      <c r="F463" s="15">
        <v>23</v>
      </c>
      <c r="G463" s="15" t="inlineStr">
        <is>
          <t xml:space="preserve">v0.2</t>
        </is>
      </c>
      <c r="H463" s="15" t="inlineStr">
        <is>
          <t xml:space="preserve">Bible_Journey_Canon_Map_v0_2_Chronicles_Psalms_Job_1Kings.xlsx</t>
        </is>
      </c>
      <c r="I463" s="15" t="inlineStr">
        <is>
          <t xml:space="preserve">Chapter Map</t>
        </is>
      </c>
      <c r="J463" s="15" t="inlineStr">
        <is>
          <t xml:space="preserve">CRS-JOB-005</t>
        </is>
      </c>
      <c r="K463" s="15"/>
      <c r="L463" s="10" t="inlineStr">
        <is>
          <t xml:space="preserve">Mapped</t>
        </is>
      </c>
      <c r="M463" s="15" t="inlineStr">
        <is>
          <t xml:space="preserve">Book-level sequence is intact; position in global chronology is unresolved.</t>
        </is>
      </c>
      <c r="N463" s="15"/>
      <c r="O463" s="15">
        <v>1</v>
      </c>
      <c r="P463" s="10" t="str">
        <f>IF(L463="MISSING","MISSING",IF(O463=1,"PASS","DUPLICATE"))</f>
        <v>PASS</v>
      </c>
    </row>
    <row r="464" ht="22" customHeight="1">
      <c r="A464" s="15" t="inlineStr">
        <is>
          <t xml:space="preserve">Job 24</t>
        </is>
      </c>
      <c r="B464" s="15">
        <v>460</v>
      </c>
      <c r="C464" s="15" t="inlineStr">
        <is>
          <t xml:space="preserve">Old Testament</t>
        </is>
      </c>
      <c r="D464" s="15">
        <v>18</v>
      </c>
      <c r="E464" s="15" t="inlineStr">
        <is>
          <t xml:space="preserve">Job</t>
        </is>
      </c>
      <c r="F464" s="15">
        <v>24</v>
      </c>
      <c r="G464" s="15" t="inlineStr">
        <is>
          <t xml:space="preserve">v0.2</t>
        </is>
      </c>
      <c r="H464" s="15" t="inlineStr">
        <is>
          <t xml:space="preserve">Bible_Journey_Canon_Map_v0_2_Chronicles_Psalms_Job_1Kings.xlsx</t>
        </is>
      </c>
      <c r="I464" s="15" t="inlineStr">
        <is>
          <t xml:space="preserve">Chapter Map</t>
        </is>
      </c>
      <c r="J464" s="15" t="inlineStr">
        <is>
          <t xml:space="preserve">CRS-JOB-005</t>
        </is>
      </c>
      <c r="K464" s="15"/>
      <c r="L464" s="10" t="inlineStr">
        <is>
          <t xml:space="preserve">Mapped</t>
        </is>
      </c>
      <c r="M464" s="15" t="inlineStr">
        <is>
          <t xml:space="preserve">Book-level sequence is intact; position in global chronology is unresolved.</t>
        </is>
      </c>
      <c r="N464" s="15"/>
      <c r="O464" s="15">
        <v>1</v>
      </c>
      <c r="P464" s="10" t="str">
        <f>IF(L464="MISSING","MISSING",IF(O464=1,"PASS","DUPLICATE"))</f>
        <v>PASS</v>
      </c>
    </row>
    <row r="465" ht="22" customHeight="1">
      <c r="A465" s="15" t="inlineStr">
        <is>
          <t xml:space="preserve">Job 25</t>
        </is>
      </c>
      <c r="B465" s="15">
        <v>461</v>
      </c>
      <c r="C465" s="15" t="inlineStr">
        <is>
          <t xml:space="preserve">Old Testament</t>
        </is>
      </c>
      <c r="D465" s="15">
        <v>18</v>
      </c>
      <c r="E465" s="15" t="inlineStr">
        <is>
          <t xml:space="preserve">Job</t>
        </is>
      </c>
      <c r="F465" s="15">
        <v>25</v>
      </c>
      <c r="G465" s="15" t="inlineStr">
        <is>
          <t xml:space="preserve">v0.2</t>
        </is>
      </c>
      <c r="H465" s="15" t="inlineStr">
        <is>
          <t xml:space="preserve">Bible_Journey_Canon_Map_v0_2_Chronicles_Psalms_Job_1Kings.xlsx</t>
        </is>
      </c>
      <c r="I465" s="15" t="inlineStr">
        <is>
          <t xml:space="preserve">Chapter Map</t>
        </is>
      </c>
      <c r="J465" s="15" t="inlineStr">
        <is>
          <t xml:space="preserve">CRS-JOB-005</t>
        </is>
      </c>
      <c r="K465" s="15"/>
      <c r="L465" s="10" t="inlineStr">
        <is>
          <t xml:space="preserve">Mapped</t>
        </is>
      </c>
      <c r="M465" s="15" t="inlineStr">
        <is>
          <t xml:space="preserve">Book-level sequence is intact; position in global chronology is unresolved.</t>
        </is>
      </c>
      <c r="N465" s="15"/>
      <c r="O465" s="15">
        <v>1</v>
      </c>
      <c r="P465" s="10" t="str">
        <f>IF(L465="MISSING","MISSING",IF(O465=1,"PASS","DUPLICATE"))</f>
        <v>PASS</v>
      </c>
    </row>
    <row r="466" ht="22" customHeight="1">
      <c r="A466" s="15" t="inlineStr">
        <is>
          <t xml:space="preserve">Job 26</t>
        </is>
      </c>
      <c r="B466" s="15">
        <v>462</v>
      </c>
      <c r="C466" s="15" t="inlineStr">
        <is>
          <t xml:space="preserve">Old Testament</t>
        </is>
      </c>
      <c r="D466" s="15">
        <v>18</v>
      </c>
      <c r="E466" s="15" t="inlineStr">
        <is>
          <t xml:space="preserve">Job</t>
        </is>
      </c>
      <c r="F466" s="15">
        <v>26</v>
      </c>
      <c r="G466" s="15" t="inlineStr">
        <is>
          <t xml:space="preserve">v0.2</t>
        </is>
      </c>
      <c r="H466" s="15" t="inlineStr">
        <is>
          <t xml:space="preserve">Bible_Journey_Canon_Map_v0_2_Chronicles_Psalms_Job_1Kings.xlsx</t>
        </is>
      </c>
      <c r="I466" s="15" t="inlineStr">
        <is>
          <t xml:space="preserve">Chapter Map</t>
        </is>
      </c>
      <c r="J466" s="15" t="inlineStr">
        <is>
          <t xml:space="preserve">CRS-JOB-005</t>
        </is>
      </c>
      <c r="K466" s="15"/>
      <c r="L466" s="10" t="inlineStr">
        <is>
          <t xml:space="preserve">Mapped</t>
        </is>
      </c>
      <c r="M466" s="15" t="inlineStr">
        <is>
          <t xml:space="preserve">Book-level sequence is intact; position in global chronology is unresolved.</t>
        </is>
      </c>
      <c r="N466" s="15"/>
      <c r="O466" s="15">
        <v>1</v>
      </c>
      <c r="P466" s="10" t="str">
        <f>IF(L466="MISSING","MISSING",IF(O466=1,"PASS","DUPLICATE"))</f>
        <v>PASS</v>
      </c>
    </row>
    <row r="467" ht="22" customHeight="1">
      <c r="A467" s="15" t="inlineStr">
        <is>
          <t xml:space="preserve">Job 27</t>
        </is>
      </c>
      <c r="B467" s="15">
        <v>463</v>
      </c>
      <c r="C467" s="15" t="inlineStr">
        <is>
          <t xml:space="preserve">Old Testament</t>
        </is>
      </c>
      <c r="D467" s="15">
        <v>18</v>
      </c>
      <c r="E467" s="15" t="inlineStr">
        <is>
          <t xml:space="preserve">Job</t>
        </is>
      </c>
      <c r="F467" s="15">
        <v>27</v>
      </c>
      <c r="G467" s="15" t="inlineStr">
        <is>
          <t xml:space="preserve">v0.2</t>
        </is>
      </c>
      <c r="H467" s="15" t="inlineStr">
        <is>
          <t xml:space="preserve">Bible_Journey_Canon_Map_v0_2_Chronicles_Psalms_Job_1Kings.xlsx</t>
        </is>
      </c>
      <c r="I467" s="15" t="inlineStr">
        <is>
          <t xml:space="preserve">Chapter Map</t>
        </is>
      </c>
      <c r="J467" s="15" t="inlineStr">
        <is>
          <t xml:space="preserve">CRS-JOB-005</t>
        </is>
      </c>
      <c r="K467" s="15"/>
      <c r="L467" s="10" t="inlineStr">
        <is>
          <t xml:space="preserve">Mapped</t>
        </is>
      </c>
      <c r="M467" s="15" t="inlineStr">
        <is>
          <t xml:space="preserve">Book-level sequence is intact; position in global chronology is unresolved.</t>
        </is>
      </c>
      <c r="N467" s="15"/>
      <c r="O467" s="15">
        <v>1</v>
      </c>
      <c r="P467" s="10" t="str">
        <f>IF(L467="MISSING","MISSING",IF(O467=1,"PASS","DUPLICATE"))</f>
        <v>PASS</v>
      </c>
    </row>
    <row r="468" ht="22" customHeight="1">
      <c r="A468" s="15" t="inlineStr">
        <is>
          <t xml:space="preserve">Job 28</t>
        </is>
      </c>
      <c r="B468" s="15">
        <v>464</v>
      </c>
      <c r="C468" s="15" t="inlineStr">
        <is>
          <t xml:space="preserve">Old Testament</t>
        </is>
      </c>
      <c r="D468" s="15">
        <v>18</v>
      </c>
      <c r="E468" s="15" t="inlineStr">
        <is>
          <t xml:space="preserve">Job</t>
        </is>
      </c>
      <c r="F468" s="15">
        <v>28</v>
      </c>
      <c r="G468" s="15" t="inlineStr">
        <is>
          <t xml:space="preserve">v0.2</t>
        </is>
      </c>
      <c r="H468" s="15" t="inlineStr">
        <is>
          <t xml:space="preserve">Bible_Journey_Canon_Map_v0_2_Chronicles_Psalms_Job_1Kings.xlsx</t>
        </is>
      </c>
      <c r="I468" s="15" t="inlineStr">
        <is>
          <t xml:space="preserve">Chapter Map</t>
        </is>
      </c>
      <c r="J468" s="15" t="inlineStr">
        <is>
          <t xml:space="preserve">CRS-JOB-006</t>
        </is>
      </c>
      <c r="K468" s="15"/>
      <c r="L468" s="10" t="inlineStr">
        <is>
          <t xml:space="preserve">Mapped</t>
        </is>
      </c>
      <c r="M468" s="15" t="inlineStr">
        <is>
          <t xml:space="preserve">Book-level sequence is intact; position in global chronology is unresolved.</t>
        </is>
      </c>
      <c r="N468" s="15"/>
      <c r="O468" s="15">
        <v>1</v>
      </c>
      <c r="P468" s="10" t="str">
        <f>IF(L468="MISSING","MISSING",IF(O468=1,"PASS","DUPLICATE"))</f>
        <v>PASS</v>
      </c>
    </row>
    <row r="469" ht="22" customHeight="1">
      <c r="A469" s="15" t="inlineStr">
        <is>
          <t xml:space="preserve">Job 29</t>
        </is>
      </c>
      <c r="B469" s="15">
        <v>465</v>
      </c>
      <c r="C469" s="15" t="inlineStr">
        <is>
          <t xml:space="preserve">Old Testament</t>
        </is>
      </c>
      <c r="D469" s="15">
        <v>18</v>
      </c>
      <c r="E469" s="15" t="inlineStr">
        <is>
          <t xml:space="preserve">Job</t>
        </is>
      </c>
      <c r="F469" s="15">
        <v>29</v>
      </c>
      <c r="G469" s="15" t="inlineStr">
        <is>
          <t xml:space="preserve">v0.2</t>
        </is>
      </c>
      <c r="H469" s="15" t="inlineStr">
        <is>
          <t xml:space="preserve">Bible_Journey_Canon_Map_v0_2_Chronicles_Psalms_Job_1Kings.xlsx</t>
        </is>
      </c>
      <c r="I469" s="15" t="inlineStr">
        <is>
          <t xml:space="preserve">Chapter Map</t>
        </is>
      </c>
      <c r="J469" s="15" t="inlineStr">
        <is>
          <t xml:space="preserve">CRS-JOB-007</t>
        </is>
      </c>
      <c r="K469" s="15"/>
      <c r="L469" s="10" t="inlineStr">
        <is>
          <t xml:space="preserve">Mapped</t>
        </is>
      </c>
      <c r="M469" s="15" t="inlineStr">
        <is>
          <t xml:space="preserve">Book-level sequence is intact; position in global chronology is unresolved.</t>
        </is>
      </c>
      <c r="N469" s="15"/>
      <c r="O469" s="15">
        <v>1</v>
      </c>
      <c r="P469" s="10" t="str">
        <f>IF(L469="MISSING","MISSING",IF(O469=1,"PASS","DUPLICATE"))</f>
        <v>PASS</v>
      </c>
    </row>
    <row r="470" ht="22" customHeight="1">
      <c r="A470" s="15" t="inlineStr">
        <is>
          <t xml:space="preserve">Job 30</t>
        </is>
      </c>
      <c r="B470" s="15">
        <v>466</v>
      </c>
      <c r="C470" s="15" t="inlineStr">
        <is>
          <t xml:space="preserve">Old Testament</t>
        </is>
      </c>
      <c r="D470" s="15">
        <v>18</v>
      </c>
      <c r="E470" s="15" t="inlineStr">
        <is>
          <t xml:space="preserve">Job</t>
        </is>
      </c>
      <c r="F470" s="15">
        <v>30</v>
      </c>
      <c r="G470" s="15" t="inlineStr">
        <is>
          <t xml:space="preserve">v0.2</t>
        </is>
      </c>
      <c r="H470" s="15" t="inlineStr">
        <is>
          <t xml:space="preserve">Bible_Journey_Canon_Map_v0_2_Chronicles_Psalms_Job_1Kings.xlsx</t>
        </is>
      </c>
      <c r="I470" s="15" t="inlineStr">
        <is>
          <t xml:space="preserve">Chapter Map</t>
        </is>
      </c>
      <c r="J470" s="15" t="inlineStr">
        <is>
          <t xml:space="preserve">CRS-JOB-007</t>
        </is>
      </c>
      <c r="K470" s="15"/>
      <c r="L470" s="10" t="inlineStr">
        <is>
          <t xml:space="preserve">Mapped</t>
        </is>
      </c>
      <c r="M470" s="15" t="inlineStr">
        <is>
          <t xml:space="preserve">Book-level sequence is intact; position in global chronology is unresolved.</t>
        </is>
      </c>
      <c r="N470" s="15"/>
      <c r="O470" s="15">
        <v>1</v>
      </c>
      <c r="P470" s="10" t="str">
        <f>IF(L470="MISSING","MISSING",IF(O470=1,"PASS","DUPLICATE"))</f>
        <v>PASS</v>
      </c>
    </row>
    <row r="471" ht="22" customHeight="1">
      <c r="A471" s="15" t="inlineStr">
        <is>
          <t xml:space="preserve">Job 31</t>
        </is>
      </c>
      <c r="B471" s="15">
        <v>467</v>
      </c>
      <c r="C471" s="15" t="inlineStr">
        <is>
          <t xml:space="preserve">Old Testament</t>
        </is>
      </c>
      <c r="D471" s="15">
        <v>18</v>
      </c>
      <c r="E471" s="15" t="inlineStr">
        <is>
          <t xml:space="preserve">Job</t>
        </is>
      </c>
      <c r="F471" s="15">
        <v>31</v>
      </c>
      <c r="G471" s="15" t="inlineStr">
        <is>
          <t xml:space="preserve">v0.2</t>
        </is>
      </c>
      <c r="H471" s="15" t="inlineStr">
        <is>
          <t xml:space="preserve">Bible_Journey_Canon_Map_v0_2_Chronicles_Psalms_Job_1Kings.xlsx</t>
        </is>
      </c>
      <c r="I471" s="15" t="inlineStr">
        <is>
          <t xml:space="preserve">Chapter Map</t>
        </is>
      </c>
      <c r="J471" s="15" t="inlineStr">
        <is>
          <t xml:space="preserve">CRS-JOB-007</t>
        </is>
      </c>
      <c r="K471" s="15"/>
      <c r="L471" s="10" t="inlineStr">
        <is>
          <t xml:space="preserve">Mapped</t>
        </is>
      </c>
      <c r="M471" s="15" t="inlineStr">
        <is>
          <t xml:space="preserve">Book-level sequence is intact; position in global chronology is unresolved.</t>
        </is>
      </c>
      <c r="N471" s="15"/>
      <c r="O471" s="15">
        <v>1</v>
      </c>
      <c r="P471" s="10" t="str">
        <f>IF(L471="MISSING","MISSING",IF(O471=1,"PASS","DUPLICATE"))</f>
        <v>PASS</v>
      </c>
    </row>
    <row r="472" ht="22" customHeight="1">
      <c r="A472" s="15" t="inlineStr">
        <is>
          <t xml:space="preserve">Job 32</t>
        </is>
      </c>
      <c r="B472" s="15">
        <v>468</v>
      </c>
      <c r="C472" s="15" t="inlineStr">
        <is>
          <t xml:space="preserve">Old Testament</t>
        </is>
      </c>
      <c r="D472" s="15">
        <v>18</v>
      </c>
      <c r="E472" s="15" t="inlineStr">
        <is>
          <t xml:space="preserve">Job</t>
        </is>
      </c>
      <c r="F472" s="15">
        <v>32</v>
      </c>
      <c r="G472" s="15" t="inlineStr">
        <is>
          <t xml:space="preserve">v0.2</t>
        </is>
      </c>
      <c r="H472" s="15" t="inlineStr">
        <is>
          <t xml:space="preserve">Bible_Journey_Canon_Map_v0_2_Chronicles_Psalms_Job_1Kings.xlsx</t>
        </is>
      </c>
      <c r="I472" s="15" t="inlineStr">
        <is>
          <t xml:space="preserve">Chapter Map</t>
        </is>
      </c>
      <c r="J472" s="15" t="inlineStr">
        <is>
          <t xml:space="preserve">CRS-JOB-008</t>
        </is>
      </c>
      <c r="K472" s="15"/>
      <c r="L472" s="10" t="inlineStr">
        <is>
          <t xml:space="preserve">Mapped</t>
        </is>
      </c>
      <c r="M472" s="15" t="inlineStr">
        <is>
          <t xml:space="preserve">Book-level sequence is intact; position in global chronology is unresolved.</t>
        </is>
      </c>
      <c r="N472" s="15"/>
      <c r="O472" s="15">
        <v>1</v>
      </c>
      <c r="P472" s="10" t="str">
        <f>IF(L472="MISSING","MISSING",IF(O472=1,"PASS","DUPLICATE"))</f>
        <v>PASS</v>
      </c>
    </row>
    <row r="473" ht="22" customHeight="1">
      <c r="A473" s="15" t="inlineStr">
        <is>
          <t xml:space="preserve">Job 33</t>
        </is>
      </c>
      <c r="B473" s="15">
        <v>469</v>
      </c>
      <c r="C473" s="15" t="inlineStr">
        <is>
          <t xml:space="preserve">Old Testament</t>
        </is>
      </c>
      <c r="D473" s="15">
        <v>18</v>
      </c>
      <c r="E473" s="15" t="inlineStr">
        <is>
          <t xml:space="preserve">Job</t>
        </is>
      </c>
      <c r="F473" s="15">
        <v>33</v>
      </c>
      <c r="G473" s="15" t="inlineStr">
        <is>
          <t xml:space="preserve">v0.2</t>
        </is>
      </c>
      <c r="H473" s="15" t="inlineStr">
        <is>
          <t xml:space="preserve">Bible_Journey_Canon_Map_v0_2_Chronicles_Psalms_Job_1Kings.xlsx</t>
        </is>
      </c>
      <c r="I473" s="15" t="inlineStr">
        <is>
          <t xml:space="preserve">Chapter Map</t>
        </is>
      </c>
      <c r="J473" s="15" t="inlineStr">
        <is>
          <t xml:space="preserve">CRS-JOB-008</t>
        </is>
      </c>
      <c r="K473" s="15"/>
      <c r="L473" s="10" t="inlineStr">
        <is>
          <t xml:space="preserve">Mapped</t>
        </is>
      </c>
      <c r="M473" s="15" t="inlineStr">
        <is>
          <t xml:space="preserve">Book-level sequence is intact; position in global chronology is unresolved.</t>
        </is>
      </c>
      <c r="N473" s="15"/>
      <c r="O473" s="15">
        <v>1</v>
      </c>
      <c r="P473" s="10" t="str">
        <f>IF(L473="MISSING","MISSING",IF(O473=1,"PASS","DUPLICATE"))</f>
        <v>PASS</v>
      </c>
    </row>
    <row r="474" ht="22" customHeight="1">
      <c r="A474" s="15" t="inlineStr">
        <is>
          <t xml:space="preserve">Job 34</t>
        </is>
      </c>
      <c r="B474" s="15">
        <v>470</v>
      </c>
      <c r="C474" s="15" t="inlineStr">
        <is>
          <t xml:space="preserve">Old Testament</t>
        </is>
      </c>
      <c r="D474" s="15">
        <v>18</v>
      </c>
      <c r="E474" s="15" t="inlineStr">
        <is>
          <t xml:space="preserve">Job</t>
        </is>
      </c>
      <c r="F474" s="15">
        <v>34</v>
      </c>
      <c r="G474" s="15" t="inlineStr">
        <is>
          <t xml:space="preserve">v0.2</t>
        </is>
      </c>
      <c r="H474" s="15" t="inlineStr">
        <is>
          <t xml:space="preserve">Bible_Journey_Canon_Map_v0_2_Chronicles_Psalms_Job_1Kings.xlsx</t>
        </is>
      </c>
      <c r="I474" s="15" t="inlineStr">
        <is>
          <t xml:space="preserve">Chapter Map</t>
        </is>
      </c>
      <c r="J474" s="15" t="inlineStr">
        <is>
          <t xml:space="preserve">CRS-JOB-008</t>
        </is>
      </c>
      <c r="K474" s="15"/>
      <c r="L474" s="10" t="inlineStr">
        <is>
          <t xml:space="preserve">Mapped</t>
        </is>
      </c>
      <c r="M474" s="15" t="inlineStr">
        <is>
          <t xml:space="preserve">Book-level sequence is intact; position in global chronology is unresolved.</t>
        </is>
      </c>
      <c r="N474" s="15"/>
      <c r="O474" s="15">
        <v>1</v>
      </c>
      <c r="P474" s="10" t="str">
        <f>IF(L474="MISSING","MISSING",IF(O474=1,"PASS","DUPLICATE"))</f>
        <v>PASS</v>
      </c>
    </row>
    <row r="475" ht="22" customHeight="1">
      <c r="A475" s="15" t="inlineStr">
        <is>
          <t xml:space="preserve">Job 35</t>
        </is>
      </c>
      <c r="B475" s="15">
        <v>471</v>
      </c>
      <c r="C475" s="15" t="inlineStr">
        <is>
          <t xml:space="preserve">Old Testament</t>
        </is>
      </c>
      <c r="D475" s="15">
        <v>18</v>
      </c>
      <c r="E475" s="15" t="inlineStr">
        <is>
          <t xml:space="preserve">Job</t>
        </is>
      </c>
      <c r="F475" s="15">
        <v>35</v>
      </c>
      <c r="G475" s="15" t="inlineStr">
        <is>
          <t xml:space="preserve">v0.2</t>
        </is>
      </c>
      <c r="H475" s="15" t="inlineStr">
        <is>
          <t xml:space="preserve">Bible_Journey_Canon_Map_v0_2_Chronicles_Psalms_Job_1Kings.xlsx</t>
        </is>
      </c>
      <c r="I475" s="15" t="inlineStr">
        <is>
          <t xml:space="preserve">Chapter Map</t>
        </is>
      </c>
      <c r="J475" s="15" t="inlineStr">
        <is>
          <t xml:space="preserve">CRS-JOB-008</t>
        </is>
      </c>
      <c r="K475" s="15"/>
      <c r="L475" s="10" t="inlineStr">
        <is>
          <t xml:space="preserve">Mapped</t>
        </is>
      </c>
      <c r="M475" s="15" t="inlineStr">
        <is>
          <t xml:space="preserve">Book-level sequence is intact; position in global chronology is unresolved.</t>
        </is>
      </c>
      <c r="N475" s="15"/>
      <c r="O475" s="15">
        <v>1</v>
      </c>
      <c r="P475" s="10" t="str">
        <f>IF(L475="MISSING","MISSING",IF(O475=1,"PASS","DUPLICATE"))</f>
        <v>PASS</v>
      </c>
    </row>
    <row r="476" ht="22" customHeight="1">
      <c r="A476" s="15" t="inlineStr">
        <is>
          <t xml:space="preserve">Job 36</t>
        </is>
      </c>
      <c r="B476" s="15">
        <v>472</v>
      </c>
      <c r="C476" s="15" t="inlineStr">
        <is>
          <t xml:space="preserve">Old Testament</t>
        </is>
      </c>
      <c r="D476" s="15">
        <v>18</v>
      </c>
      <c r="E476" s="15" t="inlineStr">
        <is>
          <t xml:space="preserve">Job</t>
        </is>
      </c>
      <c r="F476" s="15">
        <v>36</v>
      </c>
      <c r="G476" s="15" t="inlineStr">
        <is>
          <t xml:space="preserve">v0.2</t>
        </is>
      </c>
      <c r="H476" s="15" t="inlineStr">
        <is>
          <t xml:space="preserve">Bible_Journey_Canon_Map_v0_2_Chronicles_Psalms_Job_1Kings.xlsx</t>
        </is>
      </c>
      <c r="I476" s="15" t="inlineStr">
        <is>
          <t xml:space="preserve">Chapter Map</t>
        </is>
      </c>
      <c r="J476" s="15" t="inlineStr">
        <is>
          <t xml:space="preserve">CRS-JOB-008</t>
        </is>
      </c>
      <c r="K476" s="15"/>
      <c r="L476" s="10" t="inlineStr">
        <is>
          <t xml:space="preserve">Mapped</t>
        </is>
      </c>
      <c r="M476" s="15" t="inlineStr">
        <is>
          <t xml:space="preserve">Book-level sequence is intact; position in global chronology is unresolved.</t>
        </is>
      </c>
      <c r="N476" s="15"/>
      <c r="O476" s="15">
        <v>1</v>
      </c>
      <c r="P476" s="10" t="str">
        <f>IF(L476="MISSING","MISSING",IF(O476=1,"PASS","DUPLICATE"))</f>
        <v>PASS</v>
      </c>
    </row>
    <row r="477" ht="22" customHeight="1">
      <c r="A477" s="15" t="inlineStr">
        <is>
          <t xml:space="preserve">Job 37</t>
        </is>
      </c>
      <c r="B477" s="15">
        <v>473</v>
      </c>
      <c r="C477" s="15" t="inlineStr">
        <is>
          <t xml:space="preserve">Old Testament</t>
        </is>
      </c>
      <c r="D477" s="15">
        <v>18</v>
      </c>
      <c r="E477" s="15" t="inlineStr">
        <is>
          <t xml:space="preserve">Job</t>
        </is>
      </c>
      <c r="F477" s="15">
        <v>37</v>
      </c>
      <c r="G477" s="15" t="inlineStr">
        <is>
          <t xml:space="preserve">v0.2</t>
        </is>
      </c>
      <c r="H477" s="15" t="inlineStr">
        <is>
          <t xml:space="preserve">Bible_Journey_Canon_Map_v0_2_Chronicles_Psalms_Job_1Kings.xlsx</t>
        </is>
      </c>
      <c r="I477" s="15" t="inlineStr">
        <is>
          <t xml:space="preserve">Chapter Map</t>
        </is>
      </c>
      <c r="J477" s="15" t="inlineStr">
        <is>
          <t xml:space="preserve">CRS-JOB-008</t>
        </is>
      </c>
      <c r="K477" s="15"/>
      <c r="L477" s="10" t="inlineStr">
        <is>
          <t xml:space="preserve">Mapped</t>
        </is>
      </c>
      <c r="M477" s="15" t="inlineStr">
        <is>
          <t xml:space="preserve">Book-level sequence is intact; position in global chronology is unresolved.</t>
        </is>
      </c>
      <c r="N477" s="15"/>
      <c r="O477" s="15">
        <v>1</v>
      </c>
      <c r="P477" s="10" t="str">
        <f>IF(L477="MISSING","MISSING",IF(O477=1,"PASS","DUPLICATE"))</f>
        <v>PASS</v>
      </c>
    </row>
    <row r="478" ht="22" customHeight="1">
      <c r="A478" s="15" t="inlineStr">
        <is>
          <t xml:space="preserve">Job 38</t>
        </is>
      </c>
      <c r="B478" s="15">
        <v>474</v>
      </c>
      <c r="C478" s="15" t="inlineStr">
        <is>
          <t xml:space="preserve">Old Testament</t>
        </is>
      </c>
      <c r="D478" s="15">
        <v>18</v>
      </c>
      <c r="E478" s="15" t="inlineStr">
        <is>
          <t xml:space="preserve">Job</t>
        </is>
      </c>
      <c r="F478" s="15">
        <v>38</v>
      </c>
      <c r="G478" s="15" t="inlineStr">
        <is>
          <t xml:space="preserve">v0.2</t>
        </is>
      </c>
      <c r="H478" s="15" t="inlineStr">
        <is>
          <t xml:space="preserve">Bible_Journey_Canon_Map_v0_2_Chronicles_Psalms_Job_1Kings.xlsx</t>
        </is>
      </c>
      <c r="I478" s="15" t="inlineStr">
        <is>
          <t xml:space="preserve">Chapter Map</t>
        </is>
      </c>
      <c r="J478" s="15" t="inlineStr">
        <is>
          <t xml:space="preserve">CRS-JOB-009</t>
        </is>
      </c>
      <c r="K478" s="15"/>
      <c r="L478" s="10" t="inlineStr">
        <is>
          <t xml:space="preserve">Mapped</t>
        </is>
      </c>
      <c r="M478" s="15" t="inlineStr">
        <is>
          <t xml:space="preserve">Book-level sequence is intact; position in global chronology is unresolved.</t>
        </is>
      </c>
      <c r="N478" s="15"/>
      <c r="O478" s="15">
        <v>1</v>
      </c>
      <c r="P478" s="10" t="str">
        <f>IF(L478="MISSING","MISSING",IF(O478=1,"PASS","DUPLICATE"))</f>
        <v>PASS</v>
      </c>
    </row>
    <row r="479" ht="22" customHeight="1">
      <c r="A479" s="15" t="inlineStr">
        <is>
          <t xml:space="preserve">Job 39</t>
        </is>
      </c>
      <c r="B479" s="15">
        <v>475</v>
      </c>
      <c r="C479" s="15" t="inlineStr">
        <is>
          <t xml:space="preserve">Old Testament</t>
        </is>
      </c>
      <c r="D479" s="15">
        <v>18</v>
      </c>
      <c r="E479" s="15" t="inlineStr">
        <is>
          <t xml:space="preserve">Job</t>
        </is>
      </c>
      <c r="F479" s="15">
        <v>39</v>
      </c>
      <c r="G479" s="15" t="inlineStr">
        <is>
          <t xml:space="preserve">v0.2</t>
        </is>
      </c>
      <c r="H479" s="15" t="inlineStr">
        <is>
          <t xml:space="preserve">Bible_Journey_Canon_Map_v0_2_Chronicles_Psalms_Job_1Kings.xlsx</t>
        </is>
      </c>
      <c r="I479" s="15" t="inlineStr">
        <is>
          <t xml:space="preserve">Chapter Map</t>
        </is>
      </c>
      <c r="J479" s="15" t="inlineStr">
        <is>
          <t xml:space="preserve">CRS-JOB-009</t>
        </is>
      </c>
      <c r="K479" s="15"/>
      <c r="L479" s="10" t="inlineStr">
        <is>
          <t xml:space="preserve">Mapped</t>
        </is>
      </c>
      <c r="M479" s="15" t="inlineStr">
        <is>
          <t xml:space="preserve">Book-level sequence is intact; position in global chronology is unresolved.</t>
        </is>
      </c>
      <c r="N479" s="15"/>
      <c r="O479" s="15">
        <v>1</v>
      </c>
      <c r="P479" s="10" t="str">
        <f>IF(L479="MISSING","MISSING",IF(O479=1,"PASS","DUPLICATE"))</f>
        <v>PASS</v>
      </c>
    </row>
    <row r="480" ht="22" customHeight="1">
      <c r="A480" s="15" t="inlineStr">
        <is>
          <t xml:space="preserve">Job 40</t>
        </is>
      </c>
      <c r="B480" s="15">
        <v>476</v>
      </c>
      <c r="C480" s="15" t="inlineStr">
        <is>
          <t xml:space="preserve">Old Testament</t>
        </is>
      </c>
      <c r="D480" s="15">
        <v>18</v>
      </c>
      <c r="E480" s="15" t="inlineStr">
        <is>
          <t xml:space="preserve">Job</t>
        </is>
      </c>
      <c r="F480" s="15">
        <v>40</v>
      </c>
      <c r="G480" s="15" t="inlineStr">
        <is>
          <t xml:space="preserve">v0.2</t>
        </is>
      </c>
      <c r="H480" s="15" t="inlineStr">
        <is>
          <t xml:space="preserve">Bible_Journey_Canon_Map_v0_2_Chronicles_Psalms_Job_1Kings.xlsx</t>
        </is>
      </c>
      <c r="I480" s="15" t="inlineStr">
        <is>
          <t xml:space="preserve">Chapter Map</t>
        </is>
      </c>
      <c r="J480" s="15" t="inlineStr">
        <is>
          <t xml:space="preserve">CRS-JOB-009</t>
        </is>
      </c>
      <c r="K480" s="15"/>
      <c r="L480" s="10" t="inlineStr">
        <is>
          <t xml:space="preserve">Mapped</t>
        </is>
      </c>
      <c r="M480" s="15" t="inlineStr">
        <is>
          <t xml:space="preserve">Book-level sequence is intact; position in global chronology is unresolved.</t>
        </is>
      </c>
      <c r="N480" s="15"/>
      <c r="O480" s="15">
        <v>1</v>
      </c>
      <c r="P480" s="10" t="str">
        <f>IF(L480="MISSING","MISSING",IF(O480=1,"PASS","DUPLICATE"))</f>
        <v>PASS</v>
      </c>
    </row>
    <row r="481" ht="22" customHeight="1">
      <c r="A481" s="15" t="inlineStr">
        <is>
          <t xml:space="preserve">Job 41</t>
        </is>
      </c>
      <c r="B481" s="15">
        <v>477</v>
      </c>
      <c r="C481" s="15" t="inlineStr">
        <is>
          <t xml:space="preserve">Old Testament</t>
        </is>
      </c>
      <c r="D481" s="15">
        <v>18</v>
      </c>
      <c r="E481" s="15" t="inlineStr">
        <is>
          <t xml:space="preserve">Job</t>
        </is>
      </c>
      <c r="F481" s="15">
        <v>41</v>
      </c>
      <c r="G481" s="15" t="inlineStr">
        <is>
          <t xml:space="preserve">v0.2</t>
        </is>
      </c>
      <c r="H481" s="15" t="inlineStr">
        <is>
          <t xml:space="preserve">Bible_Journey_Canon_Map_v0_2_Chronicles_Psalms_Job_1Kings.xlsx</t>
        </is>
      </c>
      <c r="I481" s="15" t="inlineStr">
        <is>
          <t xml:space="preserve">Chapter Map</t>
        </is>
      </c>
      <c r="J481" s="15" t="inlineStr">
        <is>
          <t xml:space="preserve">CRS-JOB-009</t>
        </is>
      </c>
      <c r="K481" s="15"/>
      <c r="L481" s="10" t="inlineStr">
        <is>
          <t xml:space="preserve">Mapped</t>
        </is>
      </c>
      <c r="M481" s="15" t="inlineStr">
        <is>
          <t xml:space="preserve">Book-level sequence is intact; position in global chronology is unresolved.</t>
        </is>
      </c>
      <c r="N481" s="15"/>
      <c r="O481" s="15">
        <v>1</v>
      </c>
      <c r="P481" s="10" t="str">
        <f>IF(L481="MISSING","MISSING",IF(O481=1,"PASS","DUPLICATE"))</f>
        <v>PASS</v>
      </c>
    </row>
    <row r="482" ht="22" customHeight="1">
      <c r="A482" s="15" t="inlineStr">
        <is>
          <t xml:space="preserve">Job 42</t>
        </is>
      </c>
      <c r="B482" s="15">
        <v>478</v>
      </c>
      <c r="C482" s="15" t="inlineStr">
        <is>
          <t xml:space="preserve">Old Testament</t>
        </is>
      </c>
      <c r="D482" s="15">
        <v>18</v>
      </c>
      <c r="E482" s="15" t="inlineStr">
        <is>
          <t xml:space="preserve">Job</t>
        </is>
      </c>
      <c r="F482" s="15">
        <v>42</v>
      </c>
      <c r="G482" s="15" t="inlineStr">
        <is>
          <t xml:space="preserve">v0.2</t>
        </is>
      </c>
      <c r="H482" s="15" t="inlineStr">
        <is>
          <t xml:space="preserve">Bible_Journey_Canon_Map_v0_2_Chronicles_Psalms_Job_1Kings.xlsx</t>
        </is>
      </c>
      <c r="I482" s="15" t="inlineStr">
        <is>
          <t xml:space="preserve">Chapter Map</t>
        </is>
      </c>
      <c r="J482" s="15" t="inlineStr">
        <is>
          <t xml:space="preserve">CRS-JOB-010</t>
        </is>
      </c>
      <c r="K482" s="15"/>
      <c r="L482" s="10" t="inlineStr">
        <is>
          <t xml:space="preserve">Mapped</t>
        </is>
      </c>
      <c r="M482" s="15" t="inlineStr">
        <is>
          <t xml:space="preserve">Book-level sequence is intact; position in global chronology is unresolved.</t>
        </is>
      </c>
      <c r="N482" s="15"/>
      <c r="O482" s="15">
        <v>1</v>
      </c>
      <c r="P482" s="10" t="str">
        <f>IF(L482="MISSING","MISSING",IF(O482=1,"PASS","DUPLICATE"))</f>
        <v>PASS</v>
      </c>
    </row>
    <row r="483" ht="22" customHeight="1">
      <c r="A483" s="15" t="inlineStr">
        <is>
          <t xml:space="preserve">Psalms 1</t>
        </is>
      </c>
      <c r="B483" s="15">
        <v>479</v>
      </c>
      <c r="C483" s="15" t="inlineStr">
        <is>
          <t xml:space="preserve">Old Testament</t>
        </is>
      </c>
      <c r="D483" s="15">
        <v>19</v>
      </c>
      <c r="E483" s="15" t="inlineStr">
        <is>
          <t xml:space="preserve">Psalms</t>
        </is>
      </c>
      <c r="F483" s="15">
        <v>1</v>
      </c>
      <c r="G483" s="15" t="inlineStr">
        <is>
          <t xml:space="preserve">v0.2</t>
        </is>
      </c>
      <c r="H483" s="15" t="inlineStr">
        <is>
          <t xml:space="preserve">Bible_Journey_Canon_Map_v0_2_Chronicles_Psalms_Job_1Kings.xlsx</t>
        </is>
      </c>
      <c r="I483" s="15" t="inlineStr">
        <is>
          <t xml:space="preserve">Chapter Map</t>
        </is>
      </c>
      <c r="J483" s="15" t="inlineStr">
        <is>
          <t xml:space="preserve">CRS-PSA-001</t>
        </is>
      </c>
      <c r="K483" s="15"/>
      <c r="L483" s="10" t="inlineStr">
        <is>
          <t xml:space="preserve">Mapped</t>
        </is>
      </c>
      <c r="M483" s="15" t="inlineStr">
        <is>
          <t xml:space="preserve">Poetic material; event placement disclosed where a superscription or textual-reuse link is used.</t>
        </is>
      </c>
      <c r="N483" s="15"/>
      <c r="O483" s="15">
        <v>1</v>
      </c>
      <c r="P483" s="10" t="str">
        <f>IF(L483="MISSING","MISSING",IF(O483=1,"PASS","DUPLICATE"))</f>
        <v>PASS</v>
      </c>
    </row>
    <row r="484" ht="22" customHeight="1">
      <c r="A484" s="15" t="inlineStr">
        <is>
          <t xml:space="preserve">Psalms 2</t>
        </is>
      </c>
      <c r="B484" s="15">
        <v>480</v>
      </c>
      <c r="C484" s="15" t="inlineStr">
        <is>
          <t xml:space="preserve">Old Testament</t>
        </is>
      </c>
      <c r="D484" s="15">
        <v>19</v>
      </c>
      <c r="E484" s="15" t="inlineStr">
        <is>
          <t xml:space="preserve">Psalms</t>
        </is>
      </c>
      <c r="F484" s="15">
        <v>2</v>
      </c>
      <c r="G484" s="15" t="inlineStr">
        <is>
          <t xml:space="preserve">v0.2</t>
        </is>
      </c>
      <c r="H484" s="15" t="inlineStr">
        <is>
          <t xml:space="preserve">Bible_Journey_Canon_Map_v0_2_Chronicles_Psalms_Job_1Kings.xlsx</t>
        </is>
      </c>
      <c r="I484" s="15" t="inlineStr">
        <is>
          <t xml:space="preserve">Chapter Map</t>
        </is>
      </c>
      <c r="J484" s="15" t="inlineStr">
        <is>
          <t xml:space="preserve">CRS-PSA-001</t>
        </is>
      </c>
      <c r="K484" s="15"/>
      <c r="L484" s="10" t="inlineStr">
        <is>
          <t xml:space="preserve">Mapped</t>
        </is>
      </c>
      <c r="M484" s="15" t="inlineStr">
        <is>
          <t xml:space="preserve">Poetic material; event placement disclosed where a superscription or textual-reuse link is used.</t>
        </is>
      </c>
      <c r="N484" s="15"/>
      <c r="O484" s="15">
        <v>1</v>
      </c>
      <c r="P484" s="10" t="str">
        <f>IF(L484="MISSING","MISSING",IF(O484=1,"PASS","DUPLICATE"))</f>
        <v>PASS</v>
      </c>
    </row>
    <row r="485" ht="22" customHeight="1">
      <c r="A485" s="15" t="inlineStr">
        <is>
          <t xml:space="preserve">Psalms 3</t>
        </is>
      </c>
      <c r="B485" s="15">
        <v>481</v>
      </c>
      <c r="C485" s="15" t="inlineStr">
        <is>
          <t xml:space="preserve">Old Testament</t>
        </is>
      </c>
      <c r="D485" s="15">
        <v>19</v>
      </c>
      <c r="E485" s="15" t="inlineStr">
        <is>
          <t xml:space="preserve">Psalms</t>
        </is>
      </c>
      <c r="F485" s="15">
        <v>3</v>
      </c>
      <c r="G485" s="15" t="inlineStr">
        <is>
          <t xml:space="preserve">v0.2</t>
        </is>
      </c>
      <c r="H485" s="15" t="inlineStr">
        <is>
          <t xml:space="preserve">Bible_Journey_Canon_Map_v0_2_Chronicles_Psalms_Job_1Kings.xlsx</t>
        </is>
      </c>
      <c r="I485" s="15" t="inlineStr">
        <is>
          <t xml:space="preserve">Chapter Map</t>
        </is>
      </c>
      <c r="J485" s="15" t="inlineStr">
        <is>
          <t xml:space="preserve">CRS-PSA-002</t>
        </is>
      </c>
      <c r="K485" s="15"/>
      <c r="L485" s="10" t="inlineStr">
        <is>
          <t xml:space="preserve">Mapped</t>
        </is>
      </c>
      <c r="M485" s="15" t="inlineStr">
        <is>
          <t xml:space="preserve">Poetic material; event placement disclosed where a superscription or textual-reuse link is used.</t>
        </is>
      </c>
      <c r="N485" s="15"/>
      <c r="O485" s="15">
        <v>1</v>
      </c>
      <c r="P485" s="10" t="str">
        <f>IF(L485="MISSING","MISSING",IF(O485=1,"PASS","DUPLICATE"))</f>
        <v>PASS</v>
      </c>
    </row>
    <row r="486" ht="22" customHeight="1">
      <c r="A486" s="15" t="inlineStr">
        <is>
          <t xml:space="preserve">Psalms 4</t>
        </is>
      </c>
      <c r="B486" s="15">
        <v>482</v>
      </c>
      <c r="C486" s="15" t="inlineStr">
        <is>
          <t xml:space="preserve">Old Testament</t>
        </is>
      </c>
      <c r="D486" s="15">
        <v>19</v>
      </c>
      <c r="E486" s="15" t="inlineStr">
        <is>
          <t xml:space="preserve">Psalms</t>
        </is>
      </c>
      <c r="F486" s="15">
        <v>4</v>
      </c>
      <c r="G486" s="15" t="inlineStr">
        <is>
          <t xml:space="preserve">v0.2</t>
        </is>
      </c>
      <c r="H486" s="15" t="inlineStr">
        <is>
          <t xml:space="preserve">Bible_Journey_Canon_Map_v0_2_Chronicles_Psalms_Job_1Kings.xlsx</t>
        </is>
      </c>
      <c r="I486" s="15" t="inlineStr">
        <is>
          <t xml:space="preserve">Chapter Map</t>
        </is>
      </c>
      <c r="J486" s="15" t="inlineStr">
        <is>
          <t xml:space="preserve">CRS-PSA-003</t>
        </is>
      </c>
      <c r="K486" s="15"/>
      <c r="L486" s="10" t="inlineStr">
        <is>
          <t xml:space="preserve">Mapped</t>
        </is>
      </c>
      <c r="M486" s="15" t="inlineStr">
        <is>
          <t xml:space="preserve">Poetic material; event placement disclosed where a superscription or textual-reuse link is used.</t>
        </is>
      </c>
      <c r="N486" s="15"/>
      <c r="O486" s="15">
        <v>1</v>
      </c>
      <c r="P486" s="10" t="str">
        <f>IF(L486="MISSING","MISSING",IF(O486=1,"PASS","DUPLICATE"))</f>
        <v>PASS</v>
      </c>
    </row>
    <row r="487" ht="22" customHeight="1">
      <c r="A487" s="15" t="inlineStr">
        <is>
          <t xml:space="preserve">Psalms 5</t>
        </is>
      </c>
      <c r="B487" s="15">
        <v>483</v>
      </c>
      <c r="C487" s="15" t="inlineStr">
        <is>
          <t xml:space="preserve">Old Testament</t>
        </is>
      </c>
      <c r="D487" s="15">
        <v>19</v>
      </c>
      <c r="E487" s="15" t="inlineStr">
        <is>
          <t xml:space="preserve">Psalms</t>
        </is>
      </c>
      <c r="F487" s="15">
        <v>5</v>
      </c>
      <c r="G487" s="15" t="inlineStr">
        <is>
          <t xml:space="preserve">v0.2</t>
        </is>
      </c>
      <c r="H487" s="15" t="inlineStr">
        <is>
          <t xml:space="preserve">Bible_Journey_Canon_Map_v0_2_Chronicles_Psalms_Job_1Kings.xlsx</t>
        </is>
      </c>
      <c r="I487" s="15" t="inlineStr">
        <is>
          <t xml:space="preserve">Chapter Map</t>
        </is>
      </c>
      <c r="J487" s="15" t="inlineStr">
        <is>
          <t xml:space="preserve">CRS-PSA-003</t>
        </is>
      </c>
      <c r="K487" s="15"/>
      <c r="L487" s="10" t="inlineStr">
        <is>
          <t xml:space="preserve">Mapped</t>
        </is>
      </c>
      <c r="M487" s="15" t="inlineStr">
        <is>
          <t xml:space="preserve">Poetic material; event placement disclosed where a superscription or textual-reuse link is used.</t>
        </is>
      </c>
      <c r="N487" s="15"/>
      <c r="O487" s="15">
        <v>1</v>
      </c>
      <c r="P487" s="10" t="str">
        <f>IF(L487="MISSING","MISSING",IF(O487=1,"PASS","DUPLICATE"))</f>
        <v>PASS</v>
      </c>
    </row>
    <row r="488" ht="22" customHeight="1">
      <c r="A488" s="15" t="inlineStr">
        <is>
          <t xml:space="preserve">Psalms 6</t>
        </is>
      </c>
      <c r="B488" s="15">
        <v>484</v>
      </c>
      <c r="C488" s="15" t="inlineStr">
        <is>
          <t xml:space="preserve">Old Testament</t>
        </is>
      </c>
      <c r="D488" s="15">
        <v>19</v>
      </c>
      <c r="E488" s="15" t="inlineStr">
        <is>
          <t xml:space="preserve">Psalms</t>
        </is>
      </c>
      <c r="F488" s="15">
        <v>6</v>
      </c>
      <c r="G488" s="15" t="inlineStr">
        <is>
          <t xml:space="preserve">v0.2</t>
        </is>
      </c>
      <c r="H488" s="15" t="inlineStr">
        <is>
          <t xml:space="preserve">Bible_Journey_Canon_Map_v0_2_Chronicles_Psalms_Job_1Kings.xlsx</t>
        </is>
      </c>
      <c r="I488" s="15" t="inlineStr">
        <is>
          <t xml:space="preserve">Chapter Map</t>
        </is>
      </c>
      <c r="J488" s="15" t="inlineStr">
        <is>
          <t xml:space="preserve">CRS-PSA-003</t>
        </is>
      </c>
      <c r="K488" s="15"/>
      <c r="L488" s="10" t="inlineStr">
        <is>
          <t xml:space="preserve">Mapped</t>
        </is>
      </c>
      <c r="M488" s="15" t="inlineStr">
        <is>
          <t xml:space="preserve">Poetic material; event placement disclosed where a superscription or textual-reuse link is used.</t>
        </is>
      </c>
      <c r="N488" s="15"/>
      <c r="O488" s="15">
        <v>1</v>
      </c>
      <c r="P488" s="10" t="str">
        <f>IF(L488="MISSING","MISSING",IF(O488=1,"PASS","DUPLICATE"))</f>
        <v>PASS</v>
      </c>
    </row>
    <row r="489" ht="22" customHeight="1">
      <c r="A489" s="15" t="inlineStr">
        <is>
          <t xml:space="preserve">Psalms 7</t>
        </is>
      </c>
      <c r="B489" s="15">
        <v>485</v>
      </c>
      <c r="C489" s="15" t="inlineStr">
        <is>
          <t xml:space="preserve">Old Testament</t>
        </is>
      </c>
      <c r="D489" s="15">
        <v>19</v>
      </c>
      <c r="E489" s="15" t="inlineStr">
        <is>
          <t xml:space="preserve">Psalms</t>
        </is>
      </c>
      <c r="F489" s="15">
        <v>7</v>
      </c>
      <c r="G489" s="15" t="inlineStr">
        <is>
          <t xml:space="preserve">v0.2</t>
        </is>
      </c>
      <c r="H489" s="15" t="inlineStr">
        <is>
          <t xml:space="preserve">Bible_Journey_Canon_Map_v0_2_Chronicles_Psalms_Job_1Kings.xlsx</t>
        </is>
      </c>
      <c r="I489" s="15" t="inlineStr">
        <is>
          <t xml:space="preserve">Chapter Map</t>
        </is>
      </c>
      <c r="J489" s="15" t="inlineStr">
        <is>
          <t xml:space="preserve">CRS-PSA-004</t>
        </is>
      </c>
      <c r="K489" s="15"/>
      <c r="L489" s="10" t="inlineStr">
        <is>
          <t xml:space="preserve">Mapped</t>
        </is>
      </c>
      <c r="M489" s="15" t="inlineStr">
        <is>
          <t xml:space="preserve">Poetic material; event placement disclosed where a superscription or textual-reuse link is used.</t>
        </is>
      </c>
      <c r="N489" s="15"/>
      <c r="O489" s="15">
        <v>1</v>
      </c>
      <c r="P489" s="10" t="str">
        <f>IF(L489="MISSING","MISSING",IF(O489=1,"PASS","DUPLICATE"))</f>
        <v>PASS</v>
      </c>
    </row>
    <row r="490" ht="22" customHeight="1">
      <c r="A490" s="15" t="inlineStr">
        <is>
          <t xml:space="preserve">Psalms 8</t>
        </is>
      </c>
      <c r="B490" s="15">
        <v>486</v>
      </c>
      <c r="C490" s="15" t="inlineStr">
        <is>
          <t xml:space="preserve">Old Testament</t>
        </is>
      </c>
      <c r="D490" s="15">
        <v>19</v>
      </c>
      <c r="E490" s="15" t="inlineStr">
        <is>
          <t xml:space="preserve">Psalms</t>
        </is>
      </c>
      <c r="F490" s="15">
        <v>8</v>
      </c>
      <c r="G490" s="15" t="inlineStr">
        <is>
          <t xml:space="preserve">v0.2</t>
        </is>
      </c>
      <c r="H490" s="15" t="inlineStr">
        <is>
          <t xml:space="preserve">Bible_Journey_Canon_Map_v0_2_Chronicles_Psalms_Job_1Kings.xlsx</t>
        </is>
      </c>
      <c r="I490" s="15" t="inlineStr">
        <is>
          <t xml:space="preserve">Chapter Map</t>
        </is>
      </c>
      <c r="J490" s="15" t="inlineStr">
        <is>
          <t xml:space="preserve">CRS-PSA-005</t>
        </is>
      </c>
      <c r="K490" s="15"/>
      <c r="L490" s="10" t="inlineStr">
        <is>
          <t xml:space="preserve">Mapped</t>
        </is>
      </c>
      <c r="M490" s="15" t="inlineStr">
        <is>
          <t xml:space="preserve">Poetic material; event placement disclosed where a superscription or textual-reuse link is used.</t>
        </is>
      </c>
      <c r="N490" s="15"/>
      <c r="O490" s="15">
        <v>1</v>
      </c>
      <c r="P490" s="10" t="str">
        <f>IF(L490="MISSING","MISSING",IF(O490=1,"PASS","DUPLICATE"))</f>
        <v>PASS</v>
      </c>
    </row>
    <row r="491" ht="22" customHeight="1">
      <c r="A491" s="15" t="inlineStr">
        <is>
          <t xml:space="preserve">Psalms 9</t>
        </is>
      </c>
      <c r="B491" s="15">
        <v>487</v>
      </c>
      <c r="C491" s="15" t="inlineStr">
        <is>
          <t xml:space="preserve">Old Testament</t>
        </is>
      </c>
      <c r="D491" s="15">
        <v>19</v>
      </c>
      <c r="E491" s="15" t="inlineStr">
        <is>
          <t xml:space="preserve">Psalms</t>
        </is>
      </c>
      <c r="F491" s="15">
        <v>9</v>
      </c>
      <c r="G491" s="15" t="inlineStr">
        <is>
          <t xml:space="preserve">v0.2</t>
        </is>
      </c>
      <c r="H491" s="15" t="inlineStr">
        <is>
          <t xml:space="preserve">Bible_Journey_Canon_Map_v0_2_Chronicles_Psalms_Job_1Kings.xlsx</t>
        </is>
      </c>
      <c r="I491" s="15" t="inlineStr">
        <is>
          <t xml:space="preserve">Chapter Map</t>
        </is>
      </c>
      <c r="J491" s="15" t="inlineStr">
        <is>
          <t xml:space="preserve">CRS-PSA-005</t>
        </is>
      </c>
      <c r="K491" s="15"/>
      <c r="L491" s="10" t="inlineStr">
        <is>
          <t xml:space="preserve">Mapped</t>
        </is>
      </c>
      <c r="M491" s="15" t="inlineStr">
        <is>
          <t xml:space="preserve">Poetic material; event placement disclosed where a superscription or textual-reuse link is used.</t>
        </is>
      </c>
      <c r="N491" s="15"/>
      <c r="O491" s="15">
        <v>1</v>
      </c>
      <c r="P491" s="10" t="str">
        <f>IF(L491="MISSING","MISSING",IF(O491=1,"PASS","DUPLICATE"))</f>
        <v>PASS</v>
      </c>
    </row>
    <row r="492" ht="22" customHeight="1">
      <c r="A492" s="15" t="inlineStr">
        <is>
          <t xml:space="preserve">Psalms 10</t>
        </is>
      </c>
      <c r="B492" s="15">
        <v>488</v>
      </c>
      <c r="C492" s="15" t="inlineStr">
        <is>
          <t xml:space="preserve">Old Testament</t>
        </is>
      </c>
      <c r="D492" s="15">
        <v>19</v>
      </c>
      <c r="E492" s="15" t="inlineStr">
        <is>
          <t xml:space="preserve">Psalms</t>
        </is>
      </c>
      <c r="F492" s="15">
        <v>10</v>
      </c>
      <c r="G492" s="15" t="inlineStr">
        <is>
          <t xml:space="preserve">v0.2</t>
        </is>
      </c>
      <c r="H492" s="15" t="inlineStr">
        <is>
          <t xml:space="preserve">Bible_Journey_Canon_Map_v0_2_Chronicles_Psalms_Job_1Kings.xlsx</t>
        </is>
      </c>
      <c r="I492" s="15" t="inlineStr">
        <is>
          <t xml:space="preserve">Chapter Map</t>
        </is>
      </c>
      <c r="J492" s="15" t="inlineStr">
        <is>
          <t xml:space="preserve">CRS-PSA-005</t>
        </is>
      </c>
      <c r="K492" s="15"/>
      <c r="L492" s="10" t="inlineStr">
        <is>
          <t xml:space="preserve">Mapped</t>
        </is>
      </c>
      <c r="M492" s="15" t="inlineStr">
        <is>
          <t xml:space="preserve">Poetic material; event placement disclosed where a superscription or textual-reuse link is used.</t>
        </is>
      </c>
      <c r="N492" s="15"/>
      <c r="O492" s="15">
        <v>1</v>
      </c>
      <c r="P492" s="10" t="str">
        <f>IF(L492="MISSING","MISSING",IF(O492=1,"PASS","DUPLICATE"))</f>
        <v>PASS</v>
      </c>
    </row>
    <row r="493" ht="22" customHeight="1">
      <c r="A493" s="15" t="inlineStr">
        <is>
          <t xml:space="preserve">Psalms 11</t>
        </is>
      </c>
      <c r="B493" s="15">
        <v>489</v>
      </c>
      <c r="C493" s="15" t="inlineStr">
        <is>
          <t xml:space="preserve">Old Testament</t>
        </is>
      </c>
      <c r="D493" s="15">
        <v>19</v>
      </c>
      <c r="E493" s="15" t="inlineStr">
        <is>
          <t xml:space="preserve">Psalms</t>
        </is>
      </c>
      <c r="F493" s="15">
        <v>11</v>
      </c>
      <c r="G493" s="15" t="inlineStr">
        <is>
          <t xml:space="preserve">v0.2</t>
        </is>
      </c>
      <c r="H493" s="15" t="inlineStr">
        <is>
          <t xml:space="preserve">Bible_Journey_Canon_Map_v0_2_Chronicles_Psalms_Job_1Kings.xlsx</t>
        </is>
      </c>
      <c r="I493" s="15" t="inlineStr">
        <is>
          <t xml:space="preserve">Chapter Map</t>
        </is>
      </c>
      <c r="J493" s="15" t="inlineStr">
        <is>
          <t xml:space="preserve">CRS-PSA-005</t>
        </is>
      </c>
      <c r="K493" s="15"/>
      <c r="L493" s="10" t="inlineStr">
        <is>
          <t xml:space="preserve">Mapped</t>
        </is>
      </c>
      <c r="M493" s="15" t="inlineStr">
        <is>
          <t xml:space="preserve">Poetic material; event placement disclosed where a superscription or textual-reuse link is used.</t>
        </is>
      </c>
      <c r="N493" s="15"/>
      <c r="O493" s="15">
        <v>1</v>
      </c>
      <c r="P493" s="10" t="str">
        <f>IF(L493="MISSING","MISSING",IF(O493=1,"PASS","DUPLICATE"))</f>
        <v>PASS</v>
      </c>
    </row>
    <row r="494" ht="22" customHeight="1">
      <c r="A494" s="15" t="inlineStr">
        <is>
          <t xml:space="preserve">Psalms 12</t>
        </is>
      </c>
      <c r="B494" s="15">
        <v>490</v>
      </c>
      <c r="C494" s="15" t="inlineStr">
        <is>
          <t xml:space="preserve">Old Testament</t>
        </is>
      </c>
      <c r="D494" s="15">
        <v>19</v>
      </c>
      <c r="E494" s="15" t="inlineStr">
        <is>
          <t xml:space="preserve">Psalms</t>
        </is>
      </c>
      <c r="F494" s="15">
        <v>12</v>
      </c>
      <c r="G494" s="15" t="inlineStr">
        <is>
          <t xml:space="preserve">v0.2</t>
        </is>
      </c>
      <c r="H494" s="15" t="inlineStr">
        <is>
          <t xml:space="preserve">Bible_Journey_Canon_Map_v0_2_Chronicles_Psalms_Job_1Kings.xlsx</t>
        </is>
      </c>
      <c r="I494" s="15" t="inlineStr">
        <is>
          <t xml:space="preserve">Chapter Map</t>
        </is>
      </c>
      <c r="J494" s="15" t="inlineStr">
        <is>
          <t xml:space="preserve">CRS-PSA-005</t>
        </is>
      </c>
      <c r="K494" s="15"/>
      <c r="L494" s="10" t="inlineStr">
        <is>
          <t xml:space="preserve">Mapped</t>
        </is>
      </c>
      <c r="M494" s="15" t="inlineStr">
        <is>
          <t xml:space="preserve">Poetic material; event placement disclosed where a superscription or textual-reuse link is used.</t>
        </is>
      </c>
      <c r="N494" s="15"/>
      <c r="O494" s="15">
        <v>1</v>
      </c>
      <c r="P494" s="10" t="str">
        <f>IF(L494="MISSING","MISSING",IF(O494=1,"PASS","DUPLICATE"))</f>
        <v>PASS</v>
      </c>
    </row>
    <row r="495" ht="22" customHeight="1">
      <c r="A495" s="15" t="inlineStr">
        <is>
          <t xml:space="preserve">Psalms 13</t>
        </is>
      </c>
      <c r="B495" s="15">
        <v>491</v>
      </c>
      <c r="C495" s="15" t="inlineStr">
        <is>
          <t xml:space="preserve">Old Testament</t>
        </is>
      </c>
      <c r="D495" s="15">
        <v>19</v>
      </c>
      <c r="E495" s="15" t="inlineStr">
        <is>
          <t xml:space="preserve">Psalms</t>
        </is>
      </c>
      <c r="F495" s="15">
        <v>13</v>
      </c>
      <c r="G495" s="15" t="inlineStr">
        <is>
          <t xml:space="preserve">v0.2</t>
        </is>
      </c>
      <c r="H495" s="15" t="inlineStr">
        <is>
          <t xml:space="preserve">Bible_Journey_Canon_Map_v0_2_Chronicles_Psalms_Job_1Kings.xlsx</t>
        </is>
      </c>
      <c r="I495" s="15" t="inlineStr">
        <is>
          <t xml:space="preserve">Chapter Map</t>
        </is>
      </c>
      <c r="J495" s="15" t="inlineStr">
        <is>
          <t xml:space="preserve">CRS-PSA-005</t>
        </is>
      </c>
      <c r="K495" s="15"/>
      <c r="L495" s="10" t="inlineStr">
        <is>
          <t xml:space="preserve">Mapped</t>
        </is>
      </c>
      <c r="M495" s="15" t="inlineStr">
        <is>
          <t xml:space="preserve">Poetic material; event placement disclosed where a superscription or textual-reuse link is used.</t>
        </is>
      </c>
      <c r="N495" s="15"/>
      <c r="O495" s="15">
        <v>1</v>
      </c>
      <c r="P495" s="10" t="str">
        <f>IF(L495="MISSING","MISSING",IF(O495=1,"PASS","DUPLICATE"))</f>
        <v>PASS</v>
      </c>
    </row>
    <row r="496" ht="22" customHeight="1">
      <c r="A496" s="15" t="inlineStr">
        <is>
          <t xml:space="preserve">Psalms 14</t>
        </is>
      </c>
      <c r="B496" s="15">
        <v>492</v>
      </c>
      <c r="C496" s="15" t="inlineStr">
        <is>
          <t xml:space="preserve">Old Testament</t>
        </is>
      </c>
      <c r="D496" s="15">
        <v>19</v>
      </c>
      <c r="E496" s="15" t="inlineStr">
        <is>
          <t xml:space="preserve">Psalms</t>
        </is>
      </c>
      <c r="F496" s="15">
        <v>14</v>
      </c>
      <c r="G496" s="15" t="inlineStr">
        <is>
          <t xml:space="preserve">v0.2</t>
        </is>
      </c>
      <c r="H496" s="15" t="inlineStr">
        <is>
          <t xml:space="preserve">Bible_Journey_Canon_Map_v0_2_Chronicles_Psalms_Job_1Kings.xlsx</t>
        </is>
      </c>
      <c r="I496" s="15" t="inlineStr">
        <is>
          <t xml:space="preserve">Chapter Map</t>
        </is>
      </c>
      <c r="J496" s="15" t="inlineStr">
        <is>
          <t xml:space="preserve">CRS-PSA-005</t>
        </is>
      </c>
      <c r="K496" s="15"/>
      <c r="L496" s="10" t="inlineStr">
        <is>
          <t xml:space="preserve">Mapped</t>
        </is>
      </c>
      <c r="M496" s="15" t="inlineStr">
        <is>
          <t xml:space="preserve">Poetic material; event placement disclosed where a superscription or textual-reuse link is used.</t>
        </is>
      </c>
      <c r="N496" s="15"/>
      <c r="O496" s="15">
        <v>1</v>
      </c>
      <c r="P496" s="10" t="str">
        <f>IF(L496="MISSING","MISSING",IF(O496=1,"PASS","DUPLICATE"))</f>
        <v>PASS</v>
      </c>
    </row>
    <row r="497" ht="22" customHeight="1">
      <c r="A497" s="15" t="inlineStr">
        <is>
          <t xml:space="preserve">Psalms 15</t>
        </is>
      </c>
      <c r="B497" s="15">
        <v>493</v>
      </c>
      <c r="C497" s="15" t="inlineStr">
        <is>
          <t xml:space="preserve">Old Testament</t>
        </is>
      </c>
      <c r="D497" s="15">
        <v>19</v>
      </c>
      <c r="E497" s="15" t="inlineStr">
        <is>
          <t xml:space="preserve">Psalms</t>
        </is>
      </c>
      <c r="F497" s="15">
        <v>15</v>
      </c>
      <c r="G497" s="15" t="inlineStr">
        <is>
          <t xml:space="preserve">v0.2</t>
        </is>
      </c>
      <c r="H497" s="15" t="inlineStr">
        <is>
          <t xml:space="preserve">Bible_Journey_Canon_Map_v0_2_Chronicles_Psalms_Job_1Kings.xlsx</t>
        </is>
      </c>
      <c r="I497" s="15" t="inlineStr">
        <is>
          <t xml:space="preserve">Chapter Map</t>
        </is>
      </c>
      <c r="J497" s="15" t="inlineStr">
        <is>
          <t xml:space="preserve">CRS-PSA-005</t>
        </is>
      </c>
      <c r="K497" s="15"/>
      <c r="L497" s="10" t="inlineStr">
        <is>
          <t xml:space="preserve">Mapped</t>
        </is>
      </c>
      <c r="M497" s="15" t="inlineStr">
        <is>
          <t xml:space="preserve">Poetic material; event placement disclosed where a superscription or textual-reuse link is used.</t>
        </is>
      </c>
      <c r="N497" s="15"/>
      <c r="O497" s="15">
        <v>1</v>
      </c>
      <c r="P497" s="10" t="str">
        <f>IF(L497="MISSING","MISSING",IF(O497=1,"PASS","DUPLICATE"))</f>
        <v>PASS</v>
      </c>
    </row>
    <row r="498" ht="22" customHeight="1">
      <c r="A498" s="15" t="inlineStr">
        <is>
          <t xml:space="preserve">Psalms 16</t>
        </is>
      </c>
      <c r="B498" s="15">
        <v>494</v>
      </c>
      <c r="C498" s="15" t="inlineStr">
        <is>
          <t xml:space="preserve">Old Testament</t>
        </is>
      </c>
      <c r="D498" s="15">
        <v>19</v>
      </c>
      <c r="E498" s="15" t="inlineStr">
        <is>
          <t xml:space="preserve">Psalms</t>
        </is>
      </c>
      <c r="F498" s="15">
        <v>16</v>
      </c>
      <c r="G498" s="15" t="inlineStr">
        <is>
          <t xml:space="preserve">v0.2</t>
        </is>
      </c>
      <c r="H498" s="15" t="inlineStr">
        <is>
          <t xml:space="preserve">Bible_Journey_Canon_Map_v0_2_Chronicles_Psalms_Job_1Kings.xlsx</t>
        </is>
      </c>
      <c r="I498" s="15" t="inlineStr">
        <is>
          <t xml:space="preserve">Chapter Map</t>
        </is>
      </c>
      <c r="J498" s="15" t="inlineStr">
        <is>
          <t xml:space="preserve">CRS-PSA-005</t>
        </is>
      </c>
      <c r="K498" s="15"/>
      <c r="L498" s="10" t="inlineStr">
        <is>
          <t xml:space="preserve">Mapped</t>
        </is>
      </c>
      <c r="M498" s="15" t="inlineStr">
        <is>
          <t xml:space="preserve">Poetic material; event placement disclosed where a superscription or textual-reuse link is used.</t>
        </is>
      </c>
      <c r="N498" s="15"/>
      <c r="O498" s="15">
        <v>1</v>
      </c>
      <c r="P498" s="10" t="str">
        <f>IF(L498="MISSING","MISSING",IF(O498=1,"PASS","DUPLICATE"))</f>
        <v>PASS</v>
      </c>
    </row>
    <row r="499" ht="22" customHeight="1">
      <c r="A499" s="15" t="inlineStr">
        <is>
          <t xml:space="preserve">Psalms 17</t>
        </is>
      </c>
      <c r="B499" s="15">
        <v>495</v>
      </c>
      <c r="C499" s="15" t="inlineStr">
        <is>
          <t xml:space="preserve">Old Testament</t>
        </is>
      </c>
      <c r="D499" s="15">
        <v>19</v>
      </c>
      <c r="E499" s="15" t="inlineStr">
        <is>
          <t xml:space="preserve">Psalms</t>
        </is>
      </c>
      <c r="F499" s="15">
        <v>17</v>
      </c>
      <c r="G499" s="15" t="inlineStr">
        <is>
          <t xml:space="preserve">v0.2</t>
        </is>
      </c>
      <c r="H499" s="15" t="inlineStr">
        <is>
          <t xml:space="preserve">Bible_Journey_Canon_Map_v0_2_Chronicles_Psalms_Job_1Kings.xlsx</t>
        </is>
      </c>
      <c r="I499" s="15" t="inlineStr">
        <is>
          <t xml:space="preserve">Chapter Map</t>
        </is>
      </c>
      <c r="J499" s="15" t="inlineStr">
        <is>
          <t xml:space="preserve">CRS-PSA-005</t>
        </is>
      </c>
      <c r="K499" s="15"/>
      <c r="L499" s="10" t="inlineStr">
        <is>
          <t xml:space="preserve">Mapped</t>
        </is>
      </c>
      <c r="M499" s="15" t="inlineStr">
        <is>
          <t xml:space="preserve">Poetic material; event placement disclosed where a superscription or textual-reuse link is used.</t>
        </is>
      </c>
      <c r="N499" s="15"/>
      <c r="O499" s="15">
        <v>1</v>
      </c>
      <c r="P499" s="10" t="str">
        <f>IF(L499="MISSING","MISSING",IF(O499=1,"PASS","DUPLICATE"))</f>
        <v>PASS</v>
      </c>
    </row>
    <row r="500" ht="22" customHeight="1">
      <c r="A500" s="15" t="inlineStr">
        <is>
          <t xml:space="preserve">Psalms 18</t>
        </is>
      </c>
      <c r="B500" s="15">
        <v>496</v>
      </c>
      <c r="C500" s="15" t="inlineStr">
        <is>
          <t xml:space="preserve">Old Testament</t>
        </is>
      </c>
      <c r="D500" s="15">
        <v>19</v>
      </c>
      <c r="E500" s="15" t="inlineStr">
        <is>
          <t xml:space="preserve">Psalms</t>
        </is>
      </c>
      <c r="F500" s="15">
        <v>18</v>
      </c>
      <c r="G500" s="15" t="inlineStr">
        <is>
          <t xml:space="preserve">v0.2</t>
        </is>
      </c>
      <c r="H500" s="15" t="inlineStr">
        <is>
          <t xml:space="preserve">Bible_Journey_Canon_Map_v0_2_Chronicles_Psalms_Job_1Kings.xlsx</t>
        </is>
      </c>
      <c r="I500" s="15" t="inlineStr">
        <is>
          <t xml:space="preserve">Chapter Map</t>
        </is>
      </c>
      <c r="J500" s="15" t="inlineStr">
        <is>
          <t xml:space="preserve">CRS-PSA-006</t>
        </is>
      </c>
      <c r="K500" s="15"/>
      <c r="L500" s="10" t="inlineStr">
        <is>
          <t xml:space="preserve">Mapped</t>
        </is>
      </c>
      <c r="M500" s="15" t="inlineStr">
        <is>
          <t xml:space="preserve">Poetic material; event placement disclosed where a superscription or textual-reuse link is used.</t>
        </is>
      </c>
      <c r="N500" s="15"/>
      <c r="O500" s="15">
        <v>1</v>
      </c>
      <c r="P500" s="10" t="str">
        <f>IF(L500="MISSING","MISSING",IF(O500=1,"PASS","DUPLICATE"))</f>
        <v>PASS</v>
      </c>
    </row>
    <row r="501" ht="22" customHeight="1">
      <c r="A501" s="15" t="inlineStr">
        <is>
          <t xml:space="preserve">Psalms 19</t>
        </is>
      </c>
      <c r="B501" s="15">
        <v>497</v>
      </c>
      <c r="C501" s="15" t="inlineStr">
        <is>
          <t xml:space="preserve">Old Testament</t>
        </is>
      </c>
      <c r="D501" s="15">
        <v>19</v>
      </c>
      <c r="E501" s="15" t="inlineStr">
        <is>
          <t xml:space="preserve">Psalms</t>
        </is>
      </c>
      <c r="F501" s="15">
        <v>19</v>
      </c>
      <c r="G501" s="15" t="inlineStr">
        <is>
          <t xml:space="preserve">v0.2</t>
        </is>
      </c>
      <c r="H501" s="15" t="inlineStr">
        <is>
          <t xml:space="preserve">Bible_Journey_Canon_Map_v0_2_Chronicles_Psalms_Job_1Kings.xlsx</t>
        </is>
      </c>
      <c r="I501" s="15" t="inlineStr">
        <is>
          <t xml:space="preserve">Chapter Map</t>
        </is>
      </c>
      <c r="J501" s="15" t="inlineStr">
        <is>
          <t xml:space="preserve">CRS-PSA-007</t>
        </is>
      </c>
      <c r="K501" s="15"/>
      <c r="L501" s="10" t="inlineStr">
        <is>
          <t xml:space="preserve">Mapped</t>
        </is>
      </c>
      <c r="M501" s="15" t="inlineStr">
        <is>
          <t xml:space="preserve">Poetic material; event placement disclosed where a superscription or textual-reuse link is used.</t>
        </is>
      </c>
      <c r="N501" s="15"/>
      <c r="O501" s="15">
        <v>1</v>
      </c>
      <c r="P501" s="10" t="str">
        <f>IF(L501="MISSING","MISSING",IF(O501=1,"PASS","DUPLICATE"))</f>
        <v>PASS</v>
      </c>
    </row>
    <row r="502" ht="22" customHeight="1">
      <c r="A502" s="15" t="inlineStr">
        <is>
          <t xml:space="preserve">Psalms 20</t>
        </is>
      </c>
      <c r="B502" s="15">
        <v>498</v>
      </c>
      <c r="C502" s="15" t="inlineStr">
        <is>
          <t xml:space="preserve">Old Testament</t>
        </is>
      </c>
      <c r="D502" s="15">
        <v>19</v>
      </c>
      <c r="E502" s="15" t="inlineStr">
        <is>
          <t xml:space="preserve">Psalms</t>
        </is>
      </c>
      <c r="F502" s="15">
        <v>20</v>
      </c>
      <c r="G502" s="15" t="inlineStr">
        <is>
          <t xml:space="preserve">v0.2</t>
        </is>
      </c>
      <c r="H502" s="15" t="inlineStr">
        <is>
          <t xml:space="preserve">Bible_Journey_Canon_Map_v0_2_Chronicles_Psalms_Job_1Kings.xlsx</t>
        </is>
      </c>
      <c r="I502" s="15" t="inlineStr">
        <is>
          <t xml:space="preserve">Chapter Map</t>
        </is>
      </c>
      <c r="J502" s="15" t="inlineStr">
        <is>
          <t xml:space="preserve">CRS-PSA-007</t>
        </is>
      </c>
      <c r="K502" s="15"/>
      <c r="L502" s="10" t="inlineStr">
        <is>
          <t xml:space="preserve">Mapped</t>
        </is>
      </c>
      <c r="M502" s="15" t="inlineStr">
        <is>
          <t xml:space="preserve">Poetic material; event placement disclosed where a superscription or textual-reuse link is used.</t>
        </is>
      </c>
      <c r="N502" s="15"/>
      <c r="O502" s="15">
        <v>1</v>
      </c>
      <c r="P502" s="10" t="str">
        <f>IF(L502="MISSING","MISSING",IF(O502=1,"PASS","DUPLICATE"))</f>
        <v>PASS</v>
      </c>
    </row>
    <row r="503" ht="22" customHeight="1">
      <c r="A503" s="15" t="inlineStr">
        <is>
          <t xml:space="preserve">Psalms 21</t>
        </is>
      </c>
      <c r="B503" s="15">
        <v>499</v>
      </c>
      <c r="C503" s="15" t="inlineStr">
        <is>
          <t xml:space="preserve">Old Testament</t>
        </is>
      </c>
      <c r="D503" s="15">
        <v>19</v>
      </c>
      <c r="E503" s="15" t="inlineStr">
        <is>
          <t xml:space="preserve">Psalms</t>
        </is>
      </c>
      <c r="F503" s="15">
        <v>21</v>
      </c>
      <c r="G503" s="15" t="inlineStr">
        <is>
          <t xml:space="preserve">v0.2</t>
        </is>
      </c>
      <c r="H503" s="15" t="inlineStr">
        <is>
          <t xml:space="preserve">Bible_Journey_Canon_Map_v0_2_Chronicles_Psalms_Job_1Kings.xlsx</t>
        </is>
      </c>
      <c r="I503" s="15" t="inlineStr">
        <is>
          <t xml:space="preserve">Chapter Map</t>
        </is>
      </c>
      <c r="J503" s="15" t="inlineStr">
        <is>
          <t xml:space="preserve">CRS-PSA-007</t>
        </is>
      </c>
      <c r="K503" s="15"/>
      <c r="L503" s="10" t="inlineStr">
        <is>
          <t xml:space="preserve">Mapped</t>
        </is>
      </c>
      <c r="M503" s="15" t="inlineStr">
        <is>
          <t xml:space="preserve">Poetic material; event placement disclosed where a superscription or textual-reuse link is used.</t>
        </is>
      </c>
      <c r="N503" s="15"/>
      <c r="O503" s="15">
        <v>1</v>
      </c>
      <c r="P503" s="10" t="str">
        <f>IF(L503="MISSING","MISSING",IF(O503=1,"PASS","DUPLICATE"))</f>
        <v>PASS</v>
      </c>
    </row>
    <row r="504" ht="22" customHeight="1">
      <c r="A504" s="15" t="inlineStr">
        <is>
          <t xml:space="preserve">Psalms 22</t>
        </is>
      </c>
      <c r="B504" s="15">
        <v>500</v>
      </c>
      <c r="C504" s="15" t="inlineStr">
        <is>
          <t xml:space="preserve">Old Testament</t>
        </is>
      </c>
      <c r="D504" s="15">
        <v>19</v>
      </c>
      <c r="E504" s="15" t="inlineStr">
        <is>
          <t xml:space="preserve">Psalms</t>
        </is>
      </c>
      <c r="F504" s="15">
        <v>22</v>
      </c>
      <c r="G504" s="15" t="inlineStr">
        <is>
          <t xml:space="preserve">v0.2</t>
        </is>
      </c>
      <c r="H504" s="15" t="inlineStr">
        <is>
          <t xml:space="preserve">Bible_Journey_Canon_Map_v0_2_Chronicles_Psalms_Job_1Kings.xlsx</t>
        </is>
      </c>
      <c r="I504" s="15" t="inlineStr">
        <is>
          <t xml:space="preserve">Chapter Map</t>
        </is>
      </c>
      <c r="J504" s="15" t="inlineStr">
        <is>
          <t xml:space="preserve">CRS-PSA-007</t>
        </is>
      </c>
      <c r="K504" s="15"/>
      <c r="L504" s="10" t="inlineStr">
        <is>
          <t xml:space="preserve">Mapped</t>
        </is>
      </c>
      <c r="M504" s="15" t="inlineStr">
        <is>
          <t xml:space="preserve">Poetic material; event placement disclosed where a superscription or textual-reuse link is used.</t>
        </is>
      </c>
      <c r="N504" s="15"/>
      <c r="O504" s="15">
        <v>1</v>
      </c>
      <c r="P504" s="10" t="str">
        <f>IF(L504="MISSING","MISSING",IF(O504=1,"PASS","DUPLICATE"))</f>
        <v>PASS</v>
      </c>
    </row>
    <row r="505" ht="22" customHeight="1">
      <c r="A505" s="15" t="inlineStr">
        <is>
          <t xml:space="preserve">Psalms 23</t>
        </is>
      </c>
      <c r="B505" s="15">
        <v>501</v>
      </c>
      <c r="C505" s="15" t="inlineStr">
        <is>
          <t xml:space="preserve">Old Testament</t>
        </is>
      </c>
      <c r="D505" s="15">
        <v>19</v>
      </c>
      <c r="E505" s="15" t="inlineStr">
        <is>
          <t xml:space="preserve">Psalms</t>
        </is>
      </c>
      <c r="F505" s="15">
        <v>23</v>
      </c>
      <c r="G505" s="15" t="inlineStr">
        <is>
          <t xml:space="preserve">v0.2</t>
        </is>
      </c>
      <c r="H505" s="15" t="inlineStr">
        <is>
          <t xml:space="preserve">Bible_Journey_Canon_Map_v0_2_Chronicles_Psalms_Job_1Kings.xlsx</t>
        </is>
      </c>
      <c r="I505" s="15" t="inlineStr">
        <is>
          <t xml:space="preserve">Chapter Map</t>
        </is>
      </c>
      <c r="J505" s="15" t="inlineStr">
        <is>
          <t xml:space="preserve">CRS-PSA-007</t>
        </is>
      </c>
      <c r="K505" s="15"/>
      <c r="L505" s="10" t="inlineStr">
        <is>
          <t xml:space="preserve">Mapped</t>
        </is>
      </c>
      <c r="M505" s="15" t="inlineStr">
        <is>
          <t xml:space="preserve">Poetic material; event placement disclosed where a superscription or textual-reuse link is used.</t>
        </is>
      </c>
      <c r="N505" s="15"/>
      <c r="O505" s="15">
        <v>1</v>
      </c>
      <c r="P505" s="10" t="str">
        <f>IF(L505="MISSING","MISSING",IF(O505=1,"PASS","DUPLICATE"))</f>
        <v>PASS</v>
      </c>
    </row>
    <row r="506" ht="22" customHeight="1">
      <c r="A506" s="15" t="inlineStr">
        <is>
          <t xml:space="preserve">Psalms 24</t>
        </is>
      </c>
      <c r="B506" s="15">
        <v>502</v>
      </c>
      <c r="C506" s="15" t="inlineStr">
        <is>
          <t xml:space="preserve">Old Testament</t>
        </is>
      </c>
      <c r="D506" s="15">
        <v>19</v>
      </c>
      <c r="E506" s="15" t="inlineStr">
        <is>
          <t xml:space="preserve">Psalms</t>
        </is>
      </c>
      <c r="F506" s="15">
        <v>24</v>
      </c>
      <c r="G506" s="15" t="inlineStr">
        <is>
          <t xml:space="preserve">v0.2</t>
        </is>
      </c>
      <c r="H506" s="15" t="inlineStr">
        <is>
          <t xml:space="preserve">Bible_Journey_Canon_Map_v0_2_Chronicles_Psalms_Job_1Kings.xlsx</t>
        </is>
      </c>
      <c r="I506" s="15" t="inlineStr">
        <is>
          <t xml:space="preserve">Chapter Map</t>
        </is>
      </c>
      <c r="J506" s="15" t="inlineStr">
        <is>
          <t xml:space="preserve">CRS-PSA-007</t>
        </is>
      </c>
      <c r="K506" s="15"/>
      <c r="L506" s="10" t="inlineStr">
        <is>
          <t xml:space="preserve">Mapped</t>
        </is>
      </c>
      <c r="M506" s="15" t="inlineStr">
        <is>
          <t xml:space="preserve">Poetic material; event placement disclosed where a superscription or textual-reuse link is used.</t>
        </is>
      </c>
      <c r="N506" s="15"/>
      <c r="O506" s="15">
        <v>1</v>
      </c>
      <c r="P506" s="10" t="str">
        <f>IF(L506="MISSING","MISSING",IF(O506=1,"PASS","DUPLICATE"))</f>
        <v>PASS</v>
      </c>
    </row>
    <row r="507" ht="22" customHeight="1">
      <c r="A507" s="15" t="inlineStr">
        <is>
          <t xml:space="preserve">Psalms 25</t>
        </is>
      </c>
      <c r="B507" s="15">
        <v>503</v>
      </c>
      <c r="C507" s="15" t="inlineStr">
        <is>
          <t xml:space="preserve">Old Testament</t>
        </is>
      </c>
      <c r="D507" s="15">
        <v>19</v>
      </c>
      <c r="E507" s="15" t="inlineStr">
        <is>
          <t xml:space="preserve">Psalms</t>
        </is>
      </c>
      <c r="F507" s="15">
        <v>25</v>
      </c>
      <c r="G507" s="15" t="inlineStr">
        <is>
          <t xml:space="preserve">v0.2</t>
        </is>
      </c>
      <c r="H507" s="15" t="inlineStr">
        <is>
          <t xml:space="preserve">Bible_Journey_Canon_Map_v0_2_Chronicles_Psalms_Job_1Kings.xlsx</t>
        </is>
      </c>
      <c r="I507" s="15" t="inlineStr">
        <is>
          <t xml:space="preserve">Chapter Map</t>
        </is>
      </c>
      <c r="J507" s="15" t="inlineStr">
        <is>
          <t xml:space="preserve">CRS-PSA-007</t>
        </is>
      </c>
      <c r="K507" s="15"/>
      <c r="L507" s="10" t="inlineStr">
        <is>
          <t xml:space="preserve">Mapped</t>
        </is>
      </c>
      <c r="M507" s="15" t="inlineStr">
        <is>
          <t xml:space="preserve">Poetic material; event placement disclosed where a superscription or textual-reuse link is used.</t>
        </is>
      </c>
      <c r="N507" s="15"/>
      <c r="O507" s="15">
        <v>1</v>
      </c>
      <c r="P507" s="10" t="str">
        <f>IF(L507="MISSING","MISSING",IF(O507=1,"PASS","DUPLICATE"))</f>
        <v>PASS</v>
      </c>
    </row>
    <row r="508" ht="22" customHeight="1">
      <c r="A508" s="15" t="inlineStr">
        <is>
          <t xml:space="preserve">Psalms 26</t>
        </is>
      </c>
      <c r="B508" s="15">
        <v>504</v>
      </c>
      <c r="C508" s="15" t="inlineStr">
        <is>
          <t xml:space="preserve">Old Testament</t>
        </is>
      </c>
      <c r="D508" s="15">
        <v>19</v>
      </c>
      <c r="E508" s="15" t="inlineStr">
        <is>
          <t xml:space="preserve">Psalms</t>
        </is>
      </c>
      <c r="F508" s="15">
        <v>26</v>
      </c>
      <c r="G508" s="15" t="inlineStr">
        <is>
          <t xml:space="preserve">v0.2</t>
        </is>
      </c>
      <c r="H508" s="15" t="inlineStr">
        <is>
          <t xml:space="preserve">Bible_Journey_Canon_Map_v0_2_Chronicles_Psalms_Job_1Kings.xlsx</t>
        </is>
      </c>
      <c r="I508" s="15" t="inlineStr">
        <is>
          <t xml:space="preserve">Chapter Map</t>
        </is>
      </c>
      <c r="J508" s="15" t="inlineStr">
        <is>
          <t xml:space="preserve">CRS-PSA-007</t>
        </is>
      </c>
      <c r="K508" s="15"/>
      <c r="L508" s="10" t="inlineStr">
        <is>
          <t xml:space="preserve">Mapped</t>
        </is>
      </c>
      <c r="M508" s="15" t="inlineStr">
        <is>
          <t xml:space="preserve">Poetic material; event placement disclosed where a superscription or textual-reuse link is used.</t>
        </is>
      </c>
      <c r="N508" s="15"/>
      <c r="O508" s="15">
        <v>1</v>
      </c>
      <c r="P508" s="10" t="str">
        <f>IF(L508="MISSING","MISSING",IF(O508=1,"PASS","DUPLICATE"))</f>
        <v>PASS</v>
      </c>
    </row>
    <row r="509" ht="22" customHeight="1">
      <c r="A509" s="15" t="inlineStr">
        <is>
          <t xml:space="preserve">Psalms 27</t>
        </is>
      </c>
      <c r="B509" s="15">
        <v>505</v>
      </c>
      <c r="C509" s="15" t="inlineStr">
        <is>
          <t xml:space="preserve">Old Testament</t>
        </is>
      </c>
      <c r="D509" s="15">
        <v>19</v>
      </c>
      <c r="E509" s="15" t="inlineStr">
        <is>
          <t xml:space="preserve">Psalms</t>
        </is>
      </c>
      <c r="F509" s="15">
        <v>27</v>
      </c>
      <c r="G509" s="15" t="inlineStr">
        <is>
          <t xml:space="preserve">v0.2</t>
        </is>
      </c>
      <c r="H509" s="15" t="inlineStr">
        <is>
          <t xml:space="preserve">Bible_Journey_Canon_Map_v0_2_Chronicles_Psalms_Job_1Kings.xlsx</t>
        </is>
      </c>
      <c r="I509" s="15" t="inlineStr">
        <is>
          <t xml:space="preserve">Chapter Map</t>
        </is>
      </c>
      <c r="J509" s="15" t="inlineStr">
        <is>
          <t xml:space="preserve">CRS-PSA-007</t>
        </is>
      </c>
      <c r="K509" s="15"/>
      <c r="L509" s="10" t="inlineStr">
        <is>
          <t xml:space="preserve">Mapped</t>
        </is>
      </c>
      <c r="M509" s="15" t="inlineStr">
        <is>
          <t xml:space="preserve">Poetic material; event placement disclosed where a superscription or textual-reuse link is used.</t>
        </is>
      </c>
      <c r="N509" s="15"/>
      <c r="O509" s="15">
        <v>1</v>
      </c>
      <c r="P509" s="10" t="str">
        <f>IF(L509="MISSING","MISSING",IF(O509=1,"PASS","DUPLICATE"))</f>
        <v>PASS</v>
      </c>
    </row>
    <row r="510" ht="22" customHeight="1">
      <c r="A510" s="15" t="inlineStr">
        <is>
          <t xml:space="preserve">Psalms 28</t>
        </is>
      </c>
      <c r="B510" s="15">
        <v>506</v>
      </c>
      <c r="C510" s="15" t="inlineStr">
        <is>
          <t xml:space="preserve">Old Testament</t>
        </is>
      </c>
      <c r="D510" s="15">
        <v>19</v>
      </c>
      <c r="E510" s="15" t="inlineStr">
        <is>
          <t xml:space="preserve">Psalms</t>
        </is>
      </c>
      <c r="F510" s="15">
        <v>28</v>
      </c>
      <c r="G510" s="15" t="inlineStr">
        <is>
          <t xml:space="preserve">v0.2</t>
        </is>
      </c>
      <c r="H510" s="15" t="inlineStr">
        <is>
          <t xml:space="preserve">Bible_Journey_Canon_Map_v0_2_Chronicles_Psalms_Job_1Kings.xlsx</t>
        </is>
      </c>
      <c r="I510" s="15" t="inlineStr">
        <is>
          <t xml:space="preserve">Chapter Map</t>
        </is>
      </c>
      <c r="J510" s="15" t="inlineStr">
        <is>
          <t xml:space="preserve">CRS-PSA-007</t>
        </is>
      </c>
      <c r="K510" s="15"/>
      <c r="L510" s="10" t="inlineStr">
        <is>
          <t xml:space="preserve">Mapped</t>
        </is>
      </c>
      <c r="M510" s="15" t="inlineStr">
        <is>
          <t xml:space="preserve">Poetic material; event placement disclosed where a superscription or textual-reuse link is used.</t>
        </is>
      </c>
      <c r="N510" s="15"/>
      <c r="O510" s="15">
        <v>1</v>
      </c>
      <c r="P510" s="10" t="str">
        <f>IF(L510="MISSING","MISSING",IF(O510=1,"PASS","DUPLICATE"))</f>
        <v>PASS</v>
      </c>
    </row>
    <row r="511" ht="22" customHeight="1">
      <c r="A511" s="15" t="inlineStr">
        <is>
          <t xml:space="preserve">Psalms 29</t>
        </is>
      </c>
      <c r="B511" s="15">
        <v>507</v>
      </c>
      <c r="C511" s="15" t="inlineStr">
        <is>
          <t xml:space="preserve">Old Testament</t>
        </is>
      </c>
      <c r="D511" s="15">
        <v>19</v>
      </c>
      <c r="E511" s="15" t="inlineStr">
        <is>
          <t xml:space="preserve">Psalms</t>
        </is>
      </c>
      <c r="F511" s="15">
        <v>29</v>
      </c>
      <c r="G511" s="15" t="inlineStr">
        <is>
          <t xml:space="preserve">v0.2</t>
        </is>
      </c>
      <c r="H511" s="15" t="inlineStr">
        <is>
          <t xml:space="preserve">Bible_Journey_Canon_Map_v0_2_Chronicles_Psalms_Job_1Kings.xlsx</t>
        </is>
      </c>
      <c r="I511" s="15" t="inlineStr">
        <is>
          <t xml:space="preserve">Chapter Map</t>
        </is>
      </c>
      <c r="J511" s="15" t="inlineStr">
        <is>
          <t xml:space="preserve">CRS-PSA-007</t>
        </is>
      </c>
      <c r="K511" s="15"/>
      <c r="L511" s="10" t="inlineStr">
        <is>
          <t xml:space="preserve">Mapped</t>
        </is>
      </c>
      <c r="M511" s="15" t="inlineStr">
        <is>
          <t xml:space="preserve">Poetic material; event placement disclosed where a superscription or textual-reuse link is used.</t>
        </is>
      </c>
      <c r="N511" s="15"/>
      <c r="O511" s="15">
        <v>1</v>
      </c>
      <c r="P511" s="10" t="str">
        <f>IF(L511="MISSING","MISSING",IF(O511=1,"PASS","DUPLICATE"))</f>
        <v>PASS</v>
      </c>
    </row>
    <row r="512" ht="22" customHeight="1">
      <c r="A512" s="15" t="inlineStr">
        <is>
          <t xml:space="preserve">Psalms 30</t>
        </is>
      </c>
      <c r="B512" s="15">
        <v>508</v>
      </c>
      <c r="C512" s="15" t="inlineStr">
        <is>
          <t xml:space="preserve">Old Testament</t>
        </is>
      </c>
      <c r="D512" s="15">
        <v>19</v>
      </c>
      <c r="E512" s="15" t="inlineStr">
        <is>
          <t xml:space="preserve">Psalms</t>
        </is>
      </c>
      <c r="F512" s="15">
        <v>30</v>
      </c>
      <c r="G512" s="15" t="inlineStr">
        <is>
          <t xml:space="preserve">v0.2</t>
        </is>
      </c>
      <c r="H512" s="15" t="inlineStr">
        <is>
          <t xml:space="preserve">Bible_Journey_Canon_Map_v0_2_Chronicles_Psalms_Job_1Kings.xlsx</t>
        </is>
      </c>
      <c r="I512" s="15" t="inlineStr">
        <is>
          <t xml:space="preserve">Chapter Map</t>
        </is>
      </c>
      <c r="J512" s="15" t="inlineStr">
        <is>
          <t xml:space="preserve">CRS-PSA-008</t>
        </is>
      </c>
      <c r="K512" s="15"/>
      <c r="L512" s="10" t="inlineStr">
        <is>
          <t xml:space="preserve">Mapped</t>
        </is>
      </c>
      <c r="M512" s="15" t="inlineStr">
        <is>
          <t xml:space="preserve">Poetic material; event placement disclosed where a superscription or textual-reuse link is used.</t>
        </is>
      </c>
      <c r="N512" s="15"/>
      <c r="O512" s="15">
        <v>1</v>
      </c>
      <c r="P512" s="10" t="str">
        <f>IF(L512="MISSING","MISSING",IF(O512=1,"PASS","DUPLICATE"))</f>
        <v>PASS</v>
      </c>
    </row>
    <row r="513" ht="22" customHeight="1">
      <c r="A513" s="15" t="inlineStr">
        <is>
          <t xml:space="preserve">Psalms 31</t>
        </is>
      </c>
      <c r="B513" s="15">
        <v>509</v>
      </c>
      <c r="C513" s="15" t="inlineStr">
        <is>
          <t xml:space="preserve">Old Testament</t>
        </is>
      </c>
      <c r="D513" s="15">
        <v>19</v>
      </c>
      <c r="E513" s="15" t="inlineStr">
        <is>
          <t xml:space="preserve">Psalms</t>
        </is>
      </c>
      <c r="F513" s="15">
        <v>31</v>
      </c>
      <c r="G513" s="15" t="inlineStr">
        <is>
          <t xml:space="preserve">v0.2</t>
        </is>
      </c>
      <c r="H513" s="15" t="inlineStr">
        <is>
          <t xml:space="preserve">Bible_Journey_Canon_Map_v0_2_Chronicles_Psalms_Job_1Kings.xlsx</t>
        </is>
      </c>
      <c r="I513" s="15" t="inlineStr">
        <is>
          <t xml:space="preserve">Chapter Map</t>
        </is>
      </c>
      <c r="J513" s="15" t="inlineStr">
        <is>
          <t xml:space="preserve">CRS-PSA-009</t>
        </is>
      </c>
      <c r="K513" s="15"/>
      <c r="L513" s="10" t="inlineStr">
        <is>
          <t xml:space="preserve">Mapped</t>
        </is>
      </c>
      <c r="M513" s="15" t="inlineStr">
        <is>
          <t xml:space="preserve">Poetic material; event placement disclosed where a superscription or textual-reuse link is used.</t>
        </is>
      </c>
      <c r="N513" s="15"/>
      <c r="O513" s="15">
        <v>1</v>
      </c>
      <c r="P513" s="10" t="str">
        <f>IF(L513="MISSING","MISSING",IF(O513=1,"PASS","DUPLICATE"))</f>
        <v>PASS</v>
      </c>
    </row>
    <row r="514" ht="22" customHeight="1">
      <c r="A514" s="15" t="inlineStr">
        <is>
          <t xml:space="preserve">Psalms 32</t>
        </is>
      </c>
      <c r="B514" s="15">
        <v>510</v>
      </c>
      <c r="C514" s="15" t="inlineStr">
        <is>
          <t xml:space="preserve">Old Testament</t>
        </is>
      </c>
      <c r="D514" s="15">
        <v>19</v>
      </c>
      <c r="E514" s="15" t="inlineStr">
        <is>
          <t xml:space="preserve">Psalms</t>
        </is>
      </c>
      <c r="F514" s="15">
        <v>32</v>
      </c>
      <c r="G514" s="15" t="inlineStr">
        <is>
          <t xml:space="preserve">v0.2</t>
        </is>
      </c>
      <c r="H514" s="15" t="inlineStr">
        <is>
          <t xml:space="preserve">Bible_Journey_Canon_Map_v0_2_Chronicles_Psalms_Job_1Kings.xlsx</t>
        </is>
      </c>
      <c r="I514" s="15" t="inlineStr">
        <is>
          <t xml:space="preserve">Chapter Map</t>
        </is>
      </c>
      <c r="J514" s="15" t="inlineStr">
        <is>
          <t xml:space="preserve">CRS-PSA-009</t>
        </is>
      </c>
      <c r="K514" s="15"/>
      <c r="L514" s="10" t="inlineStr">
        <is>
          <t xml:space="preserve">Mapped</t>
        </is>
      </c>
      <c r="M514" s="15" t="inlineStr">
        <is>
          <t xml:space="preserve">Poetic material; event placement disclosed where a superscription or textual-reuse link is used.</t>
        </is>
      </c>
      <c r="N514" s="15"/>
      <c r="O514" s="15">
        <v>1</v>
      </c>
      <c r="P514" s="10" t="str">
        <f>IF(L514="MISSING","MISSING",IF(O514=1,"PASS","DUPLICATE"))</f>
        <v>PASS</v>
      </c>
    </row>
    <row r="515" ht="22" customHeight="1">
      <c r="A515" s="15" t="inlineStr">
        <is>
          <t xml:space="preserve">Psalms 33</t>
        </is>
      </c>
      <c r="B515" s="15">
        <v>511</v>
      </c>
      <c r="C515" s="15" t="inlineStr">
        <is>
          <t xml:space="preserve">Old Testament</t>
        </is>
      </c>
      <c r="D515" s="15">
        <v>19</v>
      </c>
      <c r="E515" s="15" t="inlineStr">
        <is>
          <t xml:space="preserve">Psalms</t>
        </is>
      </c>
      <c r="F515" s="15">
        <v>33</v>
      </c>
      <c r="G515" s="15" t="inlineStr">
        <is>
          <t xml:space="preserve">v0.2</t>
        </is>
      </c>
      <c r="H515" s="15" t="inlineStr">
        <is>
          <t xml:space="preserve">Bible_Journey_Canon_Map_v0_2_Chronicles_Psalms_Job_1Kings.xlsx</t>
        </is>
      </c>
      <c r="I515" s="15" t="inlineStr">
        <is>
          <t xml:space="preserve">Chapter Map</t>
        </is>
      </c>
      <c r="J515" s="15" t="inlineStr">
        <is>
          <t xml:space="preserve">CRS-PSA-009</t>
        </is>
      </c>
      <c r="K515" s="15"/>
      <c r="L515" s="10" t="inlineStr">
        <is>
          <t xml:space="preserve">Mapped</t>
        </is>
      </c>
      <c r="M515" s="15" t="inlineStr">
        <is>
          <t xml:space="preserve">Poetic material; event placement disclosed where a superscription or textual-reuse link is used.</t>
        </is>
      </c>
      <c r="N515" s="15"/>
      <c r="O515" s="15">
        <v>1</v>
      </c>
      <c r="P515" s="10" t="str">
        <f>IF(L515="MISSING","MISSING",IF(O515=1,"PASS","DUPLICATE"))</f>
        <v>PASS</v>
      </c>
    </row>
    <row r="516" ht="22" customHeight="1">
      <c r="A516" s="15" t="inlineStr">
        <is>
          <t xml:space="preserve">Psalms 34</t>
        </is>
      </c>
      <c r="B516" s="15">
        <v>512</v>
      </c>
      <c r="C516" s="15" t="inlineStr">
        <is>
          <t xml:space="preserve">Old Testament</t>
        </is>
      </c>
      <c r="D516" s="15">
        <v>19</v>
      </c>
      <c r="E516" s="15" t="inlineStr">
        <is>
          <t xml:space="preserve">Psalms</t>
        </is>
      </c>
      <c r="F516" s="15">
        <v>34</v>
      </c>
      <c r="G516" s="15" t="inlineStr">
        <is>
          <t xml:space="preserve">v0.2</t>
        </is>
      </c>
      <c r="H516" s="15" t="inlineStr">
        <is>
          <t xml:space="preserve">Bible_Journey_Canon_Map_v0_2_Chronicles_Psalms_Job_1Kings.xlsx</t>
        </is>
      </c>
      <c r="I516" s="15" t="inlineStr">
        <is>
          <t xml:space="preserve">Chapter Map</t>
        </is>
      </c>
      <c r="J516" s="15" t="inlineStr">
        <is>
          <t xml:space="preserve">CRS-PSA-010</t>
        </is>
      </c>
      <c r="K516" s="15"/>
      <c r="L516" s="10" t="inlineStr">
        <is>
          <t xml:space="preserve">Mapped</t>
        </is>
      </c>
      <c r="M516" s="15" t="inlineStr">
        <is>
          <t xml:space="preserve">Poetic material; event placement disclosed where a superscription or textual-reuse link is used.</t>
        </is>
      </c>
      <c r="N516" s="15"/>
      <c r="O516" s="15">
        <v>1</v>
      </c>
      <c r="P516" s="10" t="str">
        <f>IF(L516="MISSING","MISSING",IF(O516=1,"PASS","DUPLICATE"))</f>
        <v>PASS</v>
      </c>
    </row>
    <row r="517" ht="22" customHeight="1">
      <c r="A517" s="15" t="inlineStr">
        <is>
          <t xml:space="preserve">Psalms 35</t>
        </is>
      </c>
      <c r="B517" s="15">
        <v>513</v>
      </c>
      <c r="C517" s="15" t="inlineStr">
        <is>
          <t xml:space="preserve">Old Testament</t>
        </is>
      </c>
      <c r="D517" s="15">
        <v>19</v>
      </c>
      <c r="E517" s="15" t="inlineStr">
        <is>
          <t xml:space="preserve">Psalms</t>
        </is>
      </c>
      <c r="F517" s="15">
        <v>35</v>
      </c>
      <c r="G517" s="15" t="inlineStr">
        <is>
          <t xml:space="preserve">v0.2</t>
        </is>
      </c>
      <c r="H517" s="15" t="inlineStr">
        <is>
          <t xml:space="preserve">Bible_Journey_Canon_Map_v0_2_Chronicles_Psalms_Job_1Kings.xlsx</t>
        </is>
      </c>
      <c r="I517" s="15" t="inlineStr">
        <is>
          <t xml:space="preserve">Chapter Map</t>
        </is>
      </c>
      <c r="J517" s="15" t="inlineStr">
        <is>
          <t xml:space="preserve">CRS-PSA-011</t>
        </is>
      </c>
      <c r="K517" s="15"/>
      <c r="L517" s="10" t="inlineStr">
        <is>
          <t xml:space="preserve">Mapped</t>
        </is>
      </c>
      <c r="M517" s="15" t="inlineStr">
        <is>
          <t xml:space="preserve">Poetic material; event placement disclosed where a superscription or textual-reuse link is used.</t>
        </is>
      </c>
      <c r="N517" s="15"/>
      <c r="O517" s="15">
        <v>1</v>
      </c>
      <c r="P517" s="10" t="str">
        <f>IF(L517="MISSING","MISSING",IF(O517=1,"PASS","DUPLICATE"))</f>
        <v>PASS</v>
      </c>
    </row>
    <row r="518" ht="22" customHeight="1">
      <c r="A518" s="15" t="inlineStr">
        <is>
          <t xml:space="preserve">Psalms 36</t>
        </is>
      </c>
      <c r="B518" s="15">
        <v>514</v>
      </c>
      <c r="C518" s="15" t="inlineStr">
        <is>
          <t xml:space="preserve">Old Testament</t>
        </is>
      </c>
      <c r="D518" s="15">
        <v>19</v>
      </c>
      <c r="E518" s="15" t="inlineStr">
        <is>
          <t xml:space="preserve">Psalms</t>
        </is>
      </c>
      <c r="F518" s="15">
        <v>36</v>
      </c>
      <c r="G518" s="15" t="inlineStr">
        <is>
          <t xml:space="preserve">v0.2</t>
        </is>
      </c>
      <c r="H518" s="15" t="inlineStr">
        <is>
          <t xml:space="preserve">Bible_Journey_Canon_Map_v0_2_Chronicles_Psalms_Job_1Kings.xlsx</t>
        </is>
      </c>
      <c r="I518" s="15" t="inlineStr">
        <is>
          <t xml:space="preserve">Chapter Map</t>
        </is>
      </c>
      <c r="J518" s="15" t="inlineStr">
        <is>
          <t xml:space="preserve">CRS-PSA-011</t>
        </is>
      </c>
      <c r="K518" s="15"/>
      <c r="L518" s="10" t="inlineStr">
        <is>
          <t xml:space="preserve">Mapped</t>
        </is>
      </c>
      <c r="M518" s="15" t="inlineStr">
        <is>
          <t xml:space="preserve">Poetic material; event placement disclosed where a superscription or textual-reuse link is used.</t>
        </is>
      </c>
      <c r="N518" s="15"/>
      <c r="O518" s="15">
        <v>1</v>
      </c>
      <c r="P518" s="10" t="str">
        <f>IF(L518="MISSING","MISSING",IF(O518=1,"PASS","DUPLICATE"))</f>
        <v>PASS</v>
      </c>
    </row>
    <row r="519" ht="22" customHeight="1">
      <c r="A519" s="15" t="inlineStr">
        <is>
          <t xml:space="preserve">Psalms 37</t>
        </is>
      </c>
      <c r="B519" s="15">
        <v>515</v>
      </c>
      <c r="C519" s="15" t="inlineStr">
        <is>
          <t xml:space="preserve">Old Testament</t>
        </is>
      </c>
      <c r="D519" s="15">
        <v>19</v>
      </c>
      <c r="E519" s="15" t="inlineStr">
        <is>
          <t xml:space="preserve">Psalms</t>
        </is>
      </c>
      <c r="F519" s="15">
        <v>37</v>
      </c>
      <c r="G519" s="15" t="inlineStr">
        <is>
          <t xml:space="preserve">v0.2</t>
        </is>
      </c>
      <c r="H519" s="15" t="inlineStr">
        <is>
          <t xml:space="preserve">Bible_Journey_Canon_Map_v0_2_Chronicles_Psalms_Job_1Kings.xlsx</t>
        </is>
      </c>
      <c r="I519" s="15" t="inlineStr">
        <is>
          <t xml:space="preserve">Chapter Map</t>
        </is>
      </c>
      <c r="J519" s="15" t="inlineStr">
        <is>
          <t xml:space="preserve">CRS-PSA-011</t>
        </is>
      </c>
      <c r="K519" s="15"/>
      <c r="L519" s="10" t="inlineStr">
        <is>
          <t xml:space="preserve">Mapped</t>
        </is>
      </c>
      <c r="M519" s="15" t="inlineStr">
        <is>
          <t xml:space="preserve">Poetic material; event placement disclosed where a superscription or textual-reuse link is used.</t>
        </is>
      </c>
      <c r="N519" s="15"/>
      <c r="O519" s="15">
        <v>1</v>
      </c>
      <c r="P519" s="10" t="str">
        <f>IF(L519="MISSING","MISSING",IF(O519=1,"PASS","DUPLICATE"))</f>
        <v>PASS</v>
      </c>
    </row>
    <row r="520" ht="22" customHeight="1">
      <c r="A520" s="15" t="inlineStr">
        <is>
          <t xml:space="preserve">Psalms 38</t>
        </is>
      </c>
      <c r="B520" s="15">
        <v>516</v>
      </c>
      <c r="C520" s="15" t="inlineStr">
        <is>
          <t xml:space="preserve">Old Testament</t>
        </is>
      </c>
      <c r="D520" s="15">
        <v>19</v>
      </c>
      <c r="E520" s="15" t="inlineStr">
        <is>
          <t xml:space="preserve">Psalms</t>
        </is>
      </c>
      <c r="F520" s="15">
        <v>38</v>
      </c>
      <c r="G520" s="15" t="inlineStr">
        <is>
          <t xml:space="preserve">v0.2</t>
        </is>
      </c>
      <c r="H520" s="15" t="inlineStr">
        <is>
          <t xml:space="preserve">Bible_Journey_Canon_Map_v0_2_Chronicles_Psalms_Job_1Kings.xlsx</t>
        </is>
      </c>
      <c r="I520" s="15" t="inlineStr">
        <is>
          <t xml:space="preserve">Chapter Map</t>
        </is>
      </c>
      <c r="J520" s="15" t="inlineStr">
        <is>
          <t xml:space="preserve">CRS-PSA-011</t>
        </is>
      </c>
      <c r="K520" s="15"/>
      <c r="L520" s="10" t="inlineStr">
        <is>
          <t xml:space="preserve">Mapped</t>
        </is>
      </c>
      <c r="M520" s="15" t="inlineStr">
        <is>
          <t xml:space="preserve">Poetic material; event placement disclosed where a superscription or textual-reuse link is used.</t>
        </is>
      </c>
      <c r="N520" s="15"/>
      <c r="O520" s="15">
        <v>1</v>
      </c>
      <c r="P520" s="10" t="str">
        <f>IF(L520="MISSING","MISSING",IF(O520=1,"PASS","DUPLICATE"))</f>
        <v>PASS</v>
      </c>
    </row>
    <row r="521" ht="22" customHeight="1">
      <c r="A521" s="15" t="inlineStr">
        <is>
          <t xml:space="preserve">Psalms 39</t>
        </is>
      </c>
      <c r="B521" s="15">
        <v>517</v>
      </c>
      <c r="C521" s="15" t="inlineStr">
        <is>
          <t xml:space="preserve">Old Testament</t>
        </is>
      </c>
      <c r="D521" s="15">
        <v>19</v>
      </c>
      <c r="E521" s="15" t="inlineStr">
        <is>
          <t xml:space="preserve">Psalms</t>
        </is>
      </c>
      <c r="F521" s="15">
        <v>39</v>
      </c>
      <c r="G521" s="15" t="inlineStr">
        <is>
          <t xml:space="preserve">v0.2</t>
        </is>
      </c>
      <c r="H521" s="15" t="inlineStr">
        <is>
          <t xml:space="preserve">Bible_Journey_Canon_Map_v0_2_Chronicles_Psalms_Job_1Kings.xlsx</t>
        </is>
      </c>
      <c r="I521" s="15" t="inlineStr">
        <is>
          <t xml:space="preserve">Chapter Map</t>
        </is>
      </c>
      <c r="J521" s="15" t="inlineStr">
        <is>
          <t xml:space="preserve">CRS-PSA-011</t>
        </is>
      </c>
      <c r="K521" s="15"/>
      <c r="L521" s="10" t="inlineStr">
        <is>
          <t xml:space="preserve">Mapped</t>
        </is>
      </c>
      <c r="M521" s="15" t="inlineStr">
        <is>
          <t xml:space="preserve">Poetic material; event placement disclosed where a superscription or textual-reuse link is used.</t>
        </is>
      </c>
      <c r="N521" s="15"/>
      <c r="O521" s="15">
        <v>1</v>
      </c>
      <c r="P521" s="10" t="str">
        <f>IF(L521="MISSING","MISSING",IF(O521=1,"PASS","DUPLICATE"))</f>
        <v>PASS</v>
      </c>
    </row>
    <row r="522" ht="22" customHeight="1">
      <c r="A522" s="15" t="inlineStr">
        <is>
          <t xml:space="preserve">Psalms 40</t>
        </is>
      </c>
      <c r="B522" s="15">
        <v>518</v>
      </c>
      <c r="C522" s="15" t="inlineStr">
        <is>
          <t xml:space="preserve">Old Testament</t>
        </is>
      </c>
      <c r="D522" s="15">
        <v>19</v>
      </c>
      <c r="E522" s="15" t="inlineStr">
        <is>
          <t xml:space="preserve">Psalms</t>
        </is>
      </c>
      <c r="F522" s="15">
        <v>40</v>
      </c>
      <c r="G522" s="15" t="inlineStr">
        <is>
          <t xml:space="preserve">v0.2</t>
        </is>
      </c>
      <c r="H522" s="15" t="inlineStr">
        <is>
          <t xml:space="preserve">Bible_Journey_Canon_Map_v0_2_Chronicles_Psalms_Job_1Kings.xlsx</t>
        </is>
      </c>
      <c r="I522" s="15" t="inlineStr">
        <is>
          <t xml:space="preserve">Chapter Map</t>
        </is>
      </c>
      <c r="J522" s="15" t="inlineStr">
        <is>
          <t xml:space="preserve">CRS-PSA-011</t>
        </is>
      </c>
      <c r="K522" s="15"/>
      <c r="L522" s="10" t="inlineStr">
        <is>
          <t xml:space="preserve">Mapped</t>
        </is>
      </c>
      <c r="M522" s="15" t="inlineStr">
        <is>
          <t xml:space="preserve">Poetic material; event placement disclosed where a superscription or textual-reuse link is used.</t>
        </is>
      </c>
      <c r="N522" s="15"/>
      <c r="O522" s="15">
        <v>1</v>
      </c>
      <c r="P522" s="10" t="str">
        <f>IF(L522="MISSING","MISSING",IF(O522=1,"PASS","DUPLICATE"))</f>
        <v>PASS</v>
      </c>
    </row>
    <row r="523" ht="22" customHeight="1">
      <c r="A523" s="15" t="inlineStr">
        <is>
          <t xml:space="preserve">Psalms 41</t>
        </is>
      </c>
      <c r="B523" s="15">
        <v>519</v>
      </c>
      <c r="C523" s="15" t="inlineStr">
        <is>
          <t xml:space="preserve">Old Testament</t>
        </is>
      </c>
      <c r="D523" s="15">
        <v>19</v>
      </c>
      <c r="E523" s="15" t="inlineStr">
        <is>
          <t xml:space="preserve">Psalms</t>
        </is>
      </c>
      <c r="F523" s="15">
        <v>41</v>
      </c>
      <c r="G523" s="15" t="inlineStr">
        <is>
          <t xml:space="preserve">v0.2</t>
        </is>
      </c>
      <c r="H523" s="15" t="inlineStr">
        <is>
          <t xml:space="preserve">Bible_Journey_Canon_Map_v0_2_Chronicles_Psalms_Job_1Kings.xlsx</t>
        </is>
      </c>
      <c r="I523" s="15" t="inlineStr">
        <is>
          <t xml:space="preserve">Chapter Map</t>
        </is>
      </c>
      <c r="J523" s="15" t="inlineStr">
        <is>
          <t xml:space="preserve">CRS-PSA-011</t>
        </is>
      </c>
      <c r="K523" s="15"/>
      <c r="L523" s="10" t="inlineStr">
        <is>
          <t xml:space="preserve">Mapped</t>
        </is>
      </c>
      <c r="M523" s="15" t="inlineStr">
        <is>
          <t xml:space="preserve">Poetic material; event placement disclosed where a superscription or textual-reuse link is used.</t>
        </is>
      </c>
      <c r="N523" s="15"/>
      <c r="O523" s="15">
        <v>1</v>
      </c>
      <c r="P523" s="10" t="str">
        <f>IF(L523="MISSING","MISSING",IF(O523=1,"PASS","DUPLICATE"))</f>
        <v>PASS</v>
      </c>
    </row>
    <row r="524" ht="22" customHeight="1">
      <c r="A524" s="15" t="inlineStr">
        <is>
          <t xml:space="preserve">Psalms 42</t>
        </is>
      </c>
      <c r="B524" s="15">
        <v>520</v>
      </c>
      <c r="C524" s="15" t="inlineStr">
        <is>
          <t xml:space="preserve">Old Testament</t>
        </is>
      </c>
      <c r="D524" s="15">
        <v>19</v>
      </c>
      <c r="E524" s="15" t="inlineStr">
        <is>
          <t xml:space="preserve">Psalms</t>
        </is>
      </c>
      <c r="F524" s="15">
        <v>42</v>
      </c>
      <c r="G524" s="15" t="inlineStr">
        <is>
          <t xml:space="preserve">v0.2</t>
        </is>
      </c>
      <c r="H524" s="15" t="inlineStr">
        <is>
          <t xml:space="preserve">Bible_Journey_Canon_Map_v0_2_Chronicles_Psalms_Job_1Kings.xlsx</t>
        </is>
      </c>
      <c r="I524" s="15" t="inlineStr">
        <is>
          <t xml:space="preserve">Chapter Map</t>
        </is>
      </c>
      <c r="J524" s="15" t="inlineStr">
        <is>
          <t xml:space="preserve">CRS-PSA-011</t>
        </is>
      </c>
      <c r="K524" s="15"/>
      <c r="L524" s="10" t="inlineStr">
        <is>
          <t xml:space="preserve">Mapped</t>
        </is>
      </c>
      <c r="M524" s="15" t="inlineStr">
        <is>
          <t xml:space="preserve">Poetic material; event placement disclosed where a superscription or textual-reuse link is used.</t>
        </is>
      </c>
      <c r="N524" s="15"/>
      <c r="O524" s="15">
        <v>1</v>
      </c>
      <c r="P524" s="10" t="str">
        <f>IF(L524="MISSING","MISSING",IF(O524=1,"PASS","DUPLICATE"))</f>
        <v>PASS</v>
      </c>
    </row>
    <row r="525" ht="22" customHeight="1">
      <c r="A525" s="15" t="inlineStr">
        <is>
          <t xml:space="preserve">Psalms 43</t>
        </is>
      </c>
      <c r="B525" s="15">
        <v>521</v>
      </c>
      <c r="C525" s="15" t="inlineStr">
        <is>
          <t xml:space="preserve">Old Testament</t>
        </is>
      </c>
      <c r="D525" s="15">
        <v>19</v>
      </c>
      <c r="E525" s="15" t="inlineStr">
        <is>
          <t xml:space="preserve">Psalms</t>
        </is>
      </c>
      <c r="F525" s="15">
        <v>43</v>
      </c>
      <c r="G525" s="15" t="inlineStr">
        <is>
          <t xml:space="preserve">v0.2</t>
        </is>
      </c>
      <c r="H525" s="15" t="inlineStr">
        <is>
          <t xml:space="preserve">Bible_Journey_Canon_Map_v0_2_Chronicles_Psalms_Job_1Kings.xlsx</t>
        </is>
      </c>
      <c r="I525" s="15" t="inlineStr">
        <is>
          <t xml:space="preserve">Chapter Map</t>
        </is>
      </c>
      <c r="J525" s="15" t="inlineStr">
        <is>
          <t xml:space="preserve">CRS-PSA-011</t>
        </is>
      </c>
      <c r="K525" s="15"/>
      <c r="L525" s="10" t="inlineStr">
        <is>
          <t xml:space="preserve">Mapped</t>
        </is>
      </c>
      <c r="M525" s="15" t="inlineStr">
        <is>
          <t xml:space="preserve">Poetic material; event placement disclosed where a superscription or textual-reuse link is used.</t>
        </is>
      </c>
      <c r="N525" s="15"/>
      <c r="O525" s="15">
        <v>1</v>
      </c>
      <c r="P525" s="10" t="str">
        <f>IF(L525="MISSING","MISSING",IF(O525=1,"PASS","DUPLICATE"))</f>
        <v>PASS</v>
      </c>
    </row>
    <row r="526" ht="22" customHeight="1">
      <c r="A526" s="15" t="inlineStr">
        <is>
          <t xml:space="preserve">Psalms 44</t>
        </is>
      </c>
      <c r="B526" s="15">
        <v>522</v>
      </c>
      <c r="C526" s="15" t="inlineStr">
        <is>
          <t xml:space="preserve">Old Testament</t>
        </is>
      </c>
      <c r="D526" s="15">
        <v>19</v>
      </c>
      <c r="E526" s="15" t="inlineStr">
        <is>
          <t xml:space="preserve">Psalms</t>
        </is>
      </c>
      <c r="F526" s="15">
        <v>44</v>
      </c>
      <c r="G526" s="15" t="inlineStr">
        <is>
          <t xml:space="preserve">v0.2</t>
        </is>
      </c>
      <c r="H526" s="15" t="inlineStr">
        <is>
          <t xml:space="preserve">Bible_Journey_Canon_Map_v0_2_Chronicles_Psalms_Job_1Kings.xlsx</t>
        </is>
      </c>
      <c r="I526" s="15" t="inlineStr">
        <is>
          <t xml:space="preserve">Chapter Map</t>
        </is>
      </c>
      <c r="J526" s="15" t="inlineStr">
        <is>
          <t xml:space="preserve">CRS-PSA-011</t>
        </is>
      </c>
      <c r="K526" s="15"/>
      <c r="L526" s="10" t="inlineStr">
        <is>
          <t xml:space="preserve">Mapped</t>
        </is>
      </c>
      <c r="M526" s="15" t="inlineStr">
        <is>
          <t xml:space="preserve">Poetic material; event placement disclosed where a superscription or textual-reuse link is used.</t>
        </is>
      </c>
      <c r="N526" s="15"/>
      <c r="O526" s="15">
        <v>1</v>
      </c>
      <c r="P526" s="10" t="str">
        <f>IF(L526="MISSING","MISSING",IF(O526=1,"PASS","DUPLICATE"))</f>
        <v>PASS</v>
      </c>
    </row>
    <row r="527" ht="22" customHeight="1">
      <c r="A527" s="15" t="inlineStr">
        <is>
          <t xml:space="preserve">Psalms 45</t>
        </is>
      </c>
      <c r="B527" s="15">
        <v>523</v>
      </c>
      <c r="C527" s="15" t="inlineStr">
        <is>
          <t xml:space="preserve">Old Testament</t>
        </is>
      </c>
      <c r="D527" s="15">
        <v>19</v>
      </c>
      <c r="E527" s="15" t="inlineStr">
        <is>
          <t xml:space="preserve">Psalms</t>
        </is>
      </c>
      <c r="F527" s="15">
        <v>45</v>
      </c>
      <c r="G527" s="15" t="inlineStr">
        <is>
          <t xml:space="preserve">v0.2</t>
        </is>
      </c>
      <c r="H527" s="15" t="inlineStr">
        <is>
          <t xml:space="preserve">Bible_Journey_Canon_Map_v0_2_Chronicles_Psalms_Job_1Kings.xlsx</t>
        </is>
      </c>
      <c r="I527" s="15" t="inlineStr">
        <is>
          <t xml:space="preserve">Chapter Map</t>
        </is>
      </c>
      <c r="J527" s="15" t="inlineStr">
        <is>
          <t xml:space="preserve">CRS-PSA-011</t>
        </is>
      </c>
      <c r="K527" s="15"/>
      <c r="L527" s="10" t="inlineStr">
        <is>
          <t xml:space="preserve">Mapped</t>
        </is>
      </c>
      <c r="M527" s="15" t="inlineStr">
        <is>
          <t xml:space="preserve">Poetic material; event placement disclosed where a superscription or textual-reuse link is used.</t>
        </is>
      </c>
      <c r="N527" s="15"/>
      <c r="O527" s="15">
        <v>1</v>
      </c>
      <c r="P527" s="10" t="str">
        <f>IF(L527="MISSING","MISSING",IF(O527=1,"PASS","DUPLICATE"))</f>
        <v>PASS</v>
      </c>
    </row>
    <row r="528" ht="22" customHeight="1">
      <c r="A528" s="15" t="inlineStr">
        <is>
          <t xml:space="preserve">Psalms 46</t>
        </is>
      </c>
      <c r="B528" s="15">
        <v>524</v>
      </c>
      <c r="C528" s="15" t="inlineStr">
        <is>
          <t xml:space="preserve">Old Testament</t>
        </is>
      </c>
      <c r="D528" s="15">
        <v>19</v>
      </c>
      <c r="E528" s="15" t="inlineStr">
        <is>
          <t xml:space="preserve">Psalms</t>
        </is>
      </c>
      <c r="F528" s="15">
        <v>46</v>
      </c>
      <c r="G528" s="15" t="inlineStr">
        <is>
          <t xml:space="preserve">v0.2</t>
        </is>
      </c>
      <c r="H528" s="15" t="inlineStr">
        <is>
          <t xml:space="preserve">Bible_Journey_Canon_Map_v0_2_Chronicles_Psalms_Job_1Kings.xlsx</t>
        </is>
      </c>
      <c r="I528" s="15" t="inlineStr">
        <is>
          <t xml:space="preserve">Chapter Map</t>
        </is>
      </c>
      <c r="J528" s="15" t="inlineStr">
        <is>
          <t xml:space="preserve">CRS-PSA-011</t>
        </is>
      </c>
      <c r="K528" s="15"/>
      <c r="L528" s="10" t="inlineStr">
        <is>
          <t xml:space="preserve">Mapped</t>
        </is>
      </c>
      <c r="M528" s="15" t="inlineStr">
        <is>
          <t xml:space="preserve">Poetic material; event placement disclosed where a superscription or textual-reuse link is used.</t>
        </is>
      </c>
      <c r="N528" s="15"/>
      <c r="O528" s="15">
        <v>1</v>
      </c>
      <c r="P528" s="10" t="str">
        <f>IF(L528="MISSING","MISSING",IF(O528=1,"PASS","DUPLICATE"))</f>
        <v>PASS</v>
      </c>
    </row>
    <row r="529" ht="22" customHeight="1">
      <c r="A529" s="15" t="inlineStr">
        <is>
          <t xml:space="preserve">Psalms 47</t>
        </is>
      </c>
      <c r="B529" s="15">
        <v>525</v>
      </c>
      <c r="C529" s="15" t="inlineStr">
        <is>
          <t xml:space="preserve">Old Testament</t>
        </is>
      </c>
      <c r="D529" s="15">
        <v>19</v>
      </c>
      <c r="E529" s="15" t="inlineStr">
        <is>
          <t xml:space="preserve">Psalms</t>
        </is>
      </c>
      <c r="F529" s="15">
        <v>47</v>
      </c>
      <c r="G529" s="15" t="inlineStr">
        <is>
          <t xml:space="preserve">v0.2</t>
        </is>
      </c>
      <c r="H529" s="15" t="inlineStr">
        <is>
          <t xml:space="preserve">Bible_Journey_Canon_Map_v0_2_Chronicles_Psalms_Job_1Kings.xlsx</t>
        </is>
      </c>
      <c r="I529" s="15" t="inlineStr">
        <is>
          <t xml:space="preserve">Chapter Map</t>
        </is>
      </c>
      <c r="J529" s="15" t="inlineStr">
        <is>
          <t xml:space="preserve">CRS-PSA-011</t>
        </is>
      </c>
      <c r="K529" s="15"/>
      <c r="L529" s="10" t="inlineStr">
        <is>
          <t xml:space="preserve">Mapped</t>
        </is>
      </c>
      <c r="M529" s="15" t="inlineStr">
        <is>
          <t xml:space="preserve">Poetic material; event placement disclosed where a superscription or textual-reuse link is used.</t>
        </is>
      </c>
      <c r="N529" s="15"/>
      <c r="O529" s="15">
        <v>1</v>
      </c>
      <c r="P529" s="10" t="str">
        <f>IF(L529="MISSING","MISSING",IF(O529=1,"PASS","DUPLICATE"))</f>
        <v>PASS</v>
      </c>
    </row>
    <row r="530" ht="22" customHeight="1">
      <c r="A530" s="15" t="inlineStr">
        <is>
          <t xml:space="preserve">Psalms 48</t>
        </is>
      </c>
      <c r="B530" s="15">
        <v>526</v>
      </c>
      <c r="C530" s="15" t="inlineStr">
        <is>
          <t xml:space="preserve">Old Testament</t>
        </is>
      </c>
      <c r="D530" s="15">
        <v>19</v>
      </c>
      <c r="E530" s="15" t="inlineStr">
        <is>
          <t xml:space="preserve">Psalms</t>
        </is>
      </c>
      <c r="F530" s="15">
        <v>48</v>
      </c>
      <c r="G530" s="15" t="inlineStr">
        <is>
          <t xml:space="preserve">v0.2</t>
        </is>
      </c>
      <c r="H530" s="15" t="inlineStr">
        <is>
          <t xml:space="preserve">Bible_Journey_Canon_Map_v0_2_Chronicles_Psalms_Job_1Kings.xlsx</t>
        </is>
      </c>
      <c r="I530" s="15" t="inlineStr">
        <is>
          <t xml:space="preserve">Chapter Map</t>
        </is>
      </c>
      <c r="J530" s="15" t="inlineStr">
        <is>
          <t xml:space="preserve">CRS-PSA-011</t>
        </is>
      </c>
      <c r="K530" s="15"/>
      <c r="L530" s="10" t="inlineStr">
        <is>
          <t xml:space="preserve">Mapped</t>
        </is>
      </c>
      <c r="M530" s="15" t="inlineStr">
        <is>
          <t xml:space="preserve">Poetic material; event placement disclosed where a superscription or textual-reuse link is used.</t>
        </is>
      </c>
      <c r="N530" s="15"/>
      <c r="O530" s="15">
        <v>1</v>
      </c>
      <c r="P530" s="10" t="str">
        <f>IF(L530="MISSING","MISSING",IF(O530=1,"PASS","DUPLICATE"))</f>
        <v>PASS</v>
      </c>
    </row>
    <row r="531" ht="22" customHeight="1">
      <c r="A531" s="15" t="inlineStr">
        <is>
          <t xml:space="preserve">Psalms 49</t>
        </is>
      </c>
      <c r="B531" s="15">
        <v>527</v>
      </c>
      <c r="C531" s="15" t="inlineStr">
        <is>
          <t xml:space="preserve">Old Testament</t>
        </is>
      </c>
      <c r="D531" s="15">
        <v>19</v>
      </c>
      <c r="E531" s="15" t="inlineStr">
        <is>
          <t xml:space="preserve">Psalms</t>
        </is>
      </c>
      <c r="F531" s="15">
        <v>49</v>
      </c>
      <c r="G531" s="15" t="inlineStr">
        <is>
          <t xml:space="preserve">v0.2</t>
        </is>
      </c>
      <c r="H531" s="15" t="inlineStr">
        <is>
          <t xml:space="preserve">Bible_Journey_Canon_Map_v0_2_Chronicles_Psalms_Job_1Kings.xlsx</t>
        </is>
      </c>
      <c r="I531" s="15" t="inlineStr">
        <is>
          <t xml:space="preserve">Chapter Map</t>
        </is>
      </c>
      <c r="J531" s="15" t="inlineStr">
        <is>
          <t xml:space="preserve">CRS-PSA-011</t>
        </is>
      </c>
      <c r="K531" s="15"/>
      <c r="L531" s="10" t="inlineStr">
        <is>
          <t xml:space="preserve">Mapped</t>
        </is>
      </c>
      <c r="M531" s="15" t="inlineStr">
        <is>
          <t xml:space="preserve">Poetic material; event placement disclosed where a superscription or textual-reuse link is used.</t>
        </is>
      </c>
      <c r="N531" s="15"/>
      <c r="O531" s="15">
        <v>1</v>
      </c>
      <c r="P531" s="10" t="str">
        <f>IF(L531="MISSING","MISSING",IF(O531=1,"PASS","DUPLICATE"))</f>
        <v>PASS</v>
      </c>
    </row>
    <row r="532" ht="22" customHeight="1">
      <c r="A532" s="15" t="inlineStr">
        <is>
          <t xml:space="preserve">Psalms 50</t>
        </is>
      </c>
      <c r="B532" s="15">
        <v>528</v>
      </c>
      <c r="C532" s="15" t="inlineStr">
        <is>
          <t xml:space="preserve">Old Testament</t>
        </is>
      </c>
      <c r="D532" s="15">
        <v>19</v>
      </c>
      <c r="E532" s="15" t="inlineStr">
        <is>
          <t xml:space="preserve">Psalms</t>
        </is>
      </c>
      <c r="F532" s="15">
        <v>50</v>
      </c>
      <c r="G532" s="15" t="inlineStr">
        <is>
          <t xml:space="preserve">v0.2</t>
        </is>
      </c>
      <c r="H532" s="15" t="inlineStr">
        <is>
          <t xml:space="preserve">Bible_Journey_Canon_Map_v0_2_Chronicles_Psalms_Job_1Kings.xlsx</t>
        </is>
      </c>
      <c r="I532" s="15" t="inlineStr">
        <is>
          <t xml:space="preserve">Chapter Map</t>
        </is>
      </c>
      <c r="J532" s="15" t="inlineStr">
        <is>
          <t xml:space="preserve">CRS-PSA-011</t>
        </is>
      </c>
      <c r="K532" s="15"/>
      <c r="L532" s="10" t="inlineStr">
        <is>
          <t xml:space="preserve">Mapped</t>
        </is>
      </c>
      <c r="M532" s="15" t="inlineStr">
        <is>
          <t xml:space="preserve">Poetic material; event placement disclosed where a superscription or textual-reuse link is used.</t>
        </is>
      </c>
      <c r="N532" s="15"/>
      <c r="O532" s="15">
        <v>1</v>
      </c>
      <c r="P532" s="10" t="str">
        <f>IF(L532="MISSING","MISSING",IF(O532=1,"PASS","DUPLICATE"))</f>
        <v>PASS</v>
      </c>
    </row>
    <row r="533" ht="22" customHeight="1">
      <c r="A533" s="15" t="inlineStr">
        <is>
          <t xml:space="preserve">Psalms 51</t>
        </is>
      </c>
      <c r="B533" s="15">
        <v>529</v>
      </c>
      <c r="C533" s="15" t="inlineStr">
        <is>
          <t xml:space="preserve">Old Testament</t>
        </is>
      </c>
      <c r="D533" s="15">
        <v>19</v>
      </c>
      <c r="E533" s="15" t="inlineStr">
        <is>
          <t xml:space="preserve">Psalms</t>
        </is>
      </c>
      <c r="F533" s="15">
        <v>51</v>
      </c>
      <c r="G533" s="15" t="inlineStr">
        <is>
          <t xml:space="preserve">v0.2</t>
        </is>
      </c>
      <c r="H533" s="15" t="inlineStr">
        <is>
          <t xml:space="preserve">Bible_Journey_Canon_Map_v0_2_Chronicles_Psalms_Job_1Kings.xlsx</t>
        </is>
      </c>
      <c r="I533" s="15" t="inlineStr">
        <is>
          <t xml:space="preserve">Chapter Map</t>
        </is>
      </c>
      <c r="J533" s="15" t="inlineStr">
        <is>
          <t xml:space="preserve">CRS-PSA-012</t>
        </is>
      </c>
      <c r="K533" s="15"/>
      <c r="L533" s="10" t="inlineStr">
        <is>
          <t xml:space="preserve">Mapped</t>
        </is>
      </c>
      <c r="M533" s="15" t="inlineStr">
        <is>
          <t xml:space="preserve">Poetic material; event placement disclosed where a superscription or textual-reuse link is used.</t>
        </is>
      </c>
      <c r="N533" s="15"/>
      <c r="O533" s="15">
        <v>1</v>
      </c>
      <c r="P533" s="10" t="str">
        <f>IF(L533="MISSING","MISSING",IF(O533=1,"PASS","DUPLICATE"))</f>
        <v>PASS</v>
      </c>
    </row>
    <row r="534" ht="22" customHeight="1">
      <c r="A534" s="15" t="inlineStr">
        <is>
          <t xml:space="preserve">Psalms 52</t>
        </is>
      </c>
      <c r="B534" s="15">
        <v>530</v>
      </c>
      <c r="C534" s="15" t="inlineStr">
        <is>
          <t xml:space="preserve">Old Testament</t>
        </is>
      </c>
      <c r="D534" s="15">
        <v>19</v>
      </c>
      <c r="E534" s="15" t="inlineStr">
        <is>
          <t xml:space="preserve">Psalms</t>
        </is>
      </c>
      <c r="F534" s="15">
        <v>52</v>
      </c>
      <c r="G534" s="15" t="inlineStr">
        <is>
          <t xml:space="preserve">v0.2</t>
        </is>
      </c>
      <c r="H534" s="15" t="inlineStr">
        <is>
          <t xml:space="preserve">Bible_Journey_Canon_Map_v0_2_Chronicles_Psalms_Job_1Kings.xlsx</t>
        </is>
      </c>
      <c r="I534" s="15" t="inlineStr">
        <is>
          <t xml:space="preserve">Chapter Map</t>
        </is>
      </c>
      <c r="J534" s="15" t="inlineStr">
        <is>
          <t xml:space="preserve">CRS-PSA-013</t>
        </is>
      </c>
      <c r="K534" s="15"/>
      <c r="L534" s="10" t="inlineStr">
        <is>
          <t xml:space="preserve">Mapped</t>
        </is>
      </c>
      <c r="M534" s="15" t="inlineStr">
        <is>
          <t xml:space="preserve">Poetic material; event placement disclosed where a superscription or textual-reuse link is used.</t>
        </is>
      </c>
      <c r="N534" s="15"/>
      <c r="O534" s="15">
        <v>1</v>
      </c>
      <c r="P534" s="10" t="str">
        <f>IF(L534="MISSING","MISSING",IF(O534=1,"PASS","DUPLICATE"))</f>
        <v>PASS</v>
      </c>
    </row>
    <row r="535" ht="22" customHeight="1">
      <c r="A535" s="15" t="inlineStr">
        <is>
          <t xml:space="preserve">Psalms 53</t>
        </is>
      </c>
      <c r="B535" s="15">
        <v>531</v>
      </c>
      <c r="C535" s="15" t="inlineStr">
        <is>
          <t xml:space="preserve">Old Testament</t>
        </is>
      </c>
      <c r="D535" s="15">
        <v>19</v>
      </c>
      <c r="E535" s="15" t="inlineStr">
        <is>
          <t xml:space="preserve">Psalms</t>
        </is>
      </c>
      <c r="F535" s="15">
        <v>53</v>
      </c>
      <c r="G535" s="15" t="inlineStr">
        <is>
          <t xml:space="preserve">v0.2</t>
        </is>
      </c>
      <c r="H535" s="15" t="inlineStr">
        <is>
          <t xml:space="preserve">Bible_Journey_Canon_Map_v0_2_Chronicles_Psalms_Job_1Kings.xlsx</t>
        </is>
      </c>
      <c r="I535" s="15" t="inlineStr">
        <is>
          <t xml:space="preserve">Chapter Map</t>
        </is>
      </c>
      <c r="J535" s="15" t="inlineStr">
        <is>
          <t xml:space="preserve">CRS-PSA-014</t>
        </is>
      </c>
      <c r="K535" s="15"/>
      <c r="L535" s="10" t="inlineStr">
        <is>
          <t xml:space="preserve">Mapped</t>
        </is>
      </c>
      <c r="M535" s="15" t="inlineStr">
        <is>
          <t xml:space="preserve">Poetic material; event placement disclosed where a superscription or textual-reuse link is used.</t>
        </is>
      </c>
      <c r="N535" s="15"/>
      <c r="O535" s="15">
        <v>1</v>
      </c>
      <c r="P535" s="10" t="str">
        <f>IF(L535="MISSING","MISSING",IF(O535=1,"PASS","DUPLICATE"))</f>
        <v>PASS</v>
      </c>
    </row>
    <row r="536" ht="22" customHeight="1">
      <c r="A536" s="15" t="inlineStr">
        <is>
          <t xml:space="preserve">Psalms 54</t>
        </is>
      </c>
      <c r="B536" s="15">
        <v>532</v>
      </c>
      <c r="C536" s="15" t="inlineStr">
        <is>
          <t xml:space="preserve">Old Testament</t>
        </is>
      </c>
      <c r="D536" s="15">
        <v>19</v>
      </c>
      <c r="E536" s="15" t="inlineStr">
        <is>
          <t xml:space="preserve">Psalms</t>
        </is>
      </c>
      <c r="F536" s="15">
        <v>54</v>
      </c>
      <c r="G536" s="15" t="inlineStr">
        <is>
          <t xml:space="preserve">v0.2</t>
        </is>
      </c>
      <c r="H536" s="15" t="inlineStr">
        <is>
          <t xml:space="preserve">Bible_Journey_Canon_Map_v0_2_Chronicles_Psalms_Job_1Kings.xlsx</t>
        </is>
      </c>
      <c r="I536" s="15" t="inlineStr">
        <is>
          <t xml:space="preserve">Chapter Map</t>
        </is>
      </c>
      <c r="J536" s="15" t="inlineStr">
        <is>
          <t xml:space="preserve">CRS-PSA-015</t>
        </is>
      </c>
      <c r="K536" s="15"/>
      <c r="L536" s="10" t="inlineStr">
        <is>
          <t xml:space="preserve">Mapped</t>
        </is>
      </c>
      <c r="M536" s="15" t="inlineStr">
        <is>
          <t xml:space="preserve">Poetic material; event placement disclosed where a superscription or textual-reuse link is used.</t>
        </is>
      </c>
      <c r="N536" s="15"/>
      <c r="O536" s="15">
        <v>1</v>
      </c>
      <c r="P536" s="10" t="str">
        <f>IF(L536="MISSING","MISSING",IF(O536=1,"PASS","DUPLICATE"))</f>
        <v>PASS</v>
      </c>
    </row>
    <row r="537" ht="22" customHeight="1">
      <c r="A537" s="15" t="inlineStr">
        <is>
          <t xml:space="preserve">Psalms 55</t>
        </is>
      </c>
      <c r="B537" s="15">
        <v>533</v>
      </c>
      <c r="C537" s="15" t="inlineStr">
        <is>
          <t xml:space="preserve">Old Testament</t>
        </is>
      </c>
      <c r="D537" s="15">
        <v>19</v>
      </c>
      <c r="E537" s="15" t="inlineStr">
        <is>
          <t xml:space="preserve">Psalms</t>
        </is>
      </c>
      <c r="F537" s="15">
        <v>55</v>
      </c>
      <c r="G537" s="15" t="inlineStr">
        <is>
          <t xml:space="preserve">v0.2</t>
        </is>
      </c>
      <c r="H537" s="15" t="inlineStr">
        <is>
          <t xml:space="preserve">Bible_Journey_Canon_Map_v0_2_Chronicles_Psalms_Job_1Kings.xlsx</t>
        </is>
      </c>
      <c r="I537" s="15" t="inlineStr">
        <is>
          <t xml:space="preserve">Chapter Map</t>
        </is>
      </c>
      <c r="J537" s="15" t="inlineStr">
        <is>
          <t xml:space="preserve">CRS-PSA-016</t>
        </is>
      </c>
      <c r="K537" s="15"/>
      <c r="L537" s="10" t="inlineStr">
        <is>
          <t xml:space="preserve">Mapped</t>
        </is>
      </c>
      <c r="M537" s="15" t="inlineStr">
        <is>
          <t xml:space="preserve">Poetic material; event placement disclosed where a superscription or textual-reuse link is used.</t>
        </is>
      </c>
      <c r="N537" s="15"/>
      <c r="O537" s="15">
        <v>1</v>
      </c>
      <c r="P537" s="10" t="str">
        <f>IF(L537="MISSING","MISSING",IF(O537=1,"PASS","DUPLICATE"))</f>
        <v>PASS</v>
      </c>
    </row>
    <row r="538" ht="22" customHeight="1">
      <c r="A538" s="15" t="inlineStr">
        <is>
          <t xml:space="preserve">Psalms 56</t>
        </is>
      </c>
      <c r="B538" s="15">
        <v>534</v>
      </c>
      <c r="C538" s="15" t="inlineStr">
        <is>
          <t xml:space="preserve">Old Testament</t>
        </is>
      </c>
      <c r="D538" s="15">
        <v>19</v>
      </c>
      <c r="E538" s="15" t="inlineStr">
        <is>
          <t xml:space="preserve">Psalms</t>
        </is>
      </c>
      <c r="F538" s="15">
        <v>56</v>
      </c>
      <c r="G538" s="15" t="inlineStr">
        <is>
          <t xml:space="preserve">v0.2</t>
        </is>
      </c>
      <c r="H538" s="15" t="inlineStr">
        <is>
          <t xml:space="preserve">Bible_Journey_Canon_Map_v0_2_Chronicles_Psalms_Job_1Kings.xlsx</t>
        </is>
      </c>
      <c r="I538" s="15" t="inlineStr">
        <is>
          <t xml:space="preserve">Chapter Map</t>
        </is>
      </c>
      <c r="J538" s="15" t="inlineStr">
        <is>
          <t xml:space="preserve">CRS-PSA-017</t>
        </is>
      </c>
      <c r="K538" s="15"/>
      <c r="L538" s="10" t="inlineStr">
        <is>
          <t xml:space="preserve">Mapped</t>
        </is>
      </c>
      <c r="M538" s="15" t="inlineStr">
        <is>
          <t xml:space="preserve">Poetic material; event placement disclosed where a superscription or textual-reuse link is used.</t>
        </is>
      </c>
      <c r="N538" s="15"/>
      <c r="O538" s="15">
        <v>1</v>
      </c>
      <c r="P538" s="10" t="str">
        <f>IF(L538="MISSING","MISSING",IF(O538=1,"PASS","DUPLICATE"))</f>
        <v>PASS</v>
      </c>
    </row>
    <row r="539" ht="22" customHeight="1">
      <c r="A539" s="15" t="inlineStr">
        <is>
          <t xml:space="preserve">Psalms 57</t>
        </is>
      </c>
      <c r="B539" s="15">
        <v>535</v>
      </c>
      <c r="C539" s="15" t="inlineStr">
        <is>
          <t xml:space="preserve">Old Testament</t>
        </is>
      </c>
      <c r="D539" s="15">
        <v>19</v>
      </c>
      <c r="E539" s="15" t="inlineStr">
        <is>
          <t xml:space="preserve">Psalms</t>
        </is>
      </c>
      <c r="F539" s="15">
        <v>57</v>
      </c>
      <c r="G539" s="15" t="inlineStr">
        <is>
          <t xml:space="preserve">v0.2</t>
        </is>
      </c>
      <c r="H539" s="15" t="inlineStr">
        <is>
          <t xml:space="preserve">Bible_Journey_Canon_Map_v0_2_Chronicles_Psalms_Job_1Kings.xlsx</t>
        </is>
      </c>
      <c r="I539" s="15" t="inlineStr">
        <is>
          <t xml:space="preserve">Chapter Map</t>
        </is>
      </c>
      <c r="J539" s="15" t="inlineStr">
        <is>
          <t xml:space="preserve">CRS-PSA-018</t>
        </is>
      </c>
      <c r="K539" s="15"/>
      <c r="L539" s="10" t="inlineStr">
        <is>
          <t xml:space="preserve">Mapped</t>
        </is>
      </c>
      <c r="M539" s="15" t="inlineStr">
        <is>
          <t xml:space="preserve">Poetic material; event placement disclosed where a superscription or textual-reuse link is used.</t>
        </is>
      </c>
      <c r="N539" s="15"/>
      <c r="O539" s="15">
        <v>1</v>
      </c>
      <c r="P539" s="10" t="str">
        <f>IF(L539="MISSING","MISSING",IF(O539=1,"PASS","DUPLICATE"))</f>
        <v>PASS</v>
      </c>
    </row>
    <row r="540" ht="22" customHeight="1">
      <c r="A540" s="15" t="inlineStr">
        <is>
          <t xml:space="preserve">Psalms 58</t>
        </is>
      </c>
      <c r="B540" s="15">
        <v>536</v>
      </c>
      <c r="C540" s="15" t="inlineStr">
        <is>
          <t xml:space="preserve">Old Testament</t>
        </is>
      </c>
      <c r="D540" s="15">
        <v>19</v>
      </c>
      <c r="E540" s="15" t="inlineStr">
        <is>
          <t xml:space="preserve">Psalms</t>
        </is>
      </c>
      <c r="F540" s="15">
        <v>58</v>
      </c>
      <c r="G540" s="15" t="inlineStr">
        <is>
          <t xml:space="preserve">v0.2</t>
        </is>
      </c>
      <c r="H540" s="15" t="inlineStr">
        <is>
          <t xml:space="preserve">Bible_Journey_Canon_Map_v0_2_Chronicles_Psalms_Job_1Kings.xlsx</t>
        </is>
      </c>
      <c r="I540" s="15" t="inlineStr">
        <is>
          <t xml:space="preserve">Chapter Map</t>
        </is>
      </c>
      <c r="J540" s="15" t="inlineStr">
        <is>
          <t xml:space="preserve">CRS-PSA-019</t>
        </is>
      </c>
      <c r="K540" s="15"/>
      <c r="L540" s="10" t="inlineStr">
        <is>
          <t xml:space="preserve">Mapped</t>
        </is>
      </c>
      <c r="M540" s="15" t="inlineStr">
        <is>
          <t xml:space="preserve">Poetic material; event placement disclosed where a superscription or textual-reuse link is used.</t>
        </is>
      </c>
      <c r="N540" s="15"/>
      <c r="O540" s="15">
        <v>1</v>
      </c>
      <c r="P540" s="10" t="str">
        <f>IF(L540="MISSING","MISSING",IF(O540=1,"PASS","DUPLICATE"))</f>
        <v>PASS</v>
      </c>
    </row>
    <row r="541" ht="22" customHeight="1">
      <c r="A541" s="15" t="inlineStr">
        <is>
          <t xml:space="preserve">Psalms 59</t>
        </is>
      </c>
      <c r="B541" s="15">
        <v>537</v>
      </c>
      <c r="C541" s="15" t="inlineStr">
        <is>
          <t xml:space="preserve">Old Testament</t>
        </is>
      </c>
      <c r="D541" s="15">
        <v>19</v>
      </c>
      <c r="E541" s="15" t="inlineStr">
        <is>
          <t xml:space="preserve">Psalms</t>
        </is>
      </c>
      <c r="F541" s="15">
        <v>59</v>
      </c>
      <c r="G541" s="15" t="inlineStr">
        <is>
          <t xml:space="preserve">v0.2</t>
        </is>
      </c>
      <c r="H541" s="15" t="inlineStr">
        <is>
          <t xml:space="preserve">Bible_Journey_Canon_Map_v0_2_Chronicles_Psalms_Job_1Kings.xlsx</t>
        </is>
      </c>
      <c r="I541" s="15" t="inlineStr">
        <is>
          <t xml:space="preserve">Chapter Map</t>
        </is>
      </c>
      <c r="J541" s="15" t="inlineStr">
        <is>
          <t xml:space="preserve">CRS-PSA-020</t>
        </is>
      </c>
      <c r="K541" s="15"/>
      <c r="L541" s="10" t="inlineStr">
        <is>
          <t xml:space="preserve">Mapped</t>
        </is>
      </c>
      <c r="M541" s="15" t="inlineStr">
        <is>
          <t xml:space="preserve">Poetic material; event placement disclosed where a superscription or textual-reuse link is used.</t>
        </is>
      </c>
      <c r="N541" s="15"/>
      <c r="O541" s="15">
        <v>1</v>
      </c>
      <c r="P541" s="10" t="str">
        <f>IF(L541="MISSING","MISSING",IF(O541=1,"PASS","DUPLICATE"))</f>
        <v>PASS</v>
      </c>
    </row>
    <row r="542" ht="22" customHeight="1">
      <c r="A542" s="15" t="inlineStr">
        <is>
          <t xml:space="preserve">Psalms 60</t>
        </is>
      </c>
      <c r="B542" s="15">
        <v>538</v>
      </c>
      <c r="C542" s="15" t="inlineStr">
        <is>
          <t xml:space="preserve">Old Testament</t>
        </is>
      </c>
      <c r="D542" s="15">
        <v>19</v>
      </c>
      <c r="E542" s="15" t="inlineStr">
        <is>
          <t xml:space="preserve">Psalms</t>
        </is>
      </c>
      <c r="F542" s="15">
        <v>60</v>
      </c>
      <c r="G542" s="15" t="inlineStr">
        <is>
          <t xml:space="preserve">v0.2</t>
        </is>
      </c>
      <c r="H542" s="15" t="inlineStr">
        <is>
          <t xml:space="preserve">Bible_Journey_Canon_Map_v0_2_Chronicles_Psalms_Job_1Kings.xlsx</t>
        </is>
      </c>
      <c r="I542" s="15" t="inlineStr">
        <is>
          <t xml:space="preserve">Chapter Map</t>
        </is>
      </c>
      <c r="J542" s="15" t="inlineStr">
        <is>
          <t xml:space="preserve">CRS-PSA-021</t>
        </is>
      </c>
      <c r="K542" s="15"/>
      <c r="L542" s="10" t="inlineStr">
        <is>
          <t xml:space="preserve">Mapped</t>
        </is>
      </c>
      <c r="M542" s="15" t="inlineStr">
        <is>
          <t xml:space="preserve">Poetic material; event placement disclosed where a superscription or textual-reuse link is used.</t>
        </is>
      </c>
      <c r="N542" s="15"/>
      <c r="O542" s="15">
        <v>1</v>
      </c>
      <c r="P542" s="10" t="str">
        <f>IF(L542="MISSING","MISSING",IF(O542=1,"PASS","DUPLICATE"))</f>
        <v>PASS</v>
      </c>
    </row>
    <row r="543" ht="22" customHeight="1">
      <c r="A543" s="15" t="inlineStr">
        <is>
          <t xml:space="preserve">Psalms 61</t>
        </is>
      </c>
      <c r="B543" s="15">
        <v>539</v>
      </c>
      <c r="C543" s="15" t="inlineStr">
        <is>
          <t xml:space="preserve">Old Testament</t>
        </is>
      </c>
      <c r="D543" s="15">
        <v>19</v>
      </c>
      <c r="E543" s="15" t="inlineStr">
        <is>
          <t xml:space="preserve">Psalms</t>
        </is>
      </c>
      <c r="F543" s="15">
        <v>61</v>
      </c>
      <c r="G543" s="15" t="inlineStr">
        <is>
          <t xml:space="preserve">v0.2</t>
        </is>
      </c>
      <c r="H543" s="15" t="inlineStr">
        <is>
          <t xml:space="preserve">Bible_Journey_Canon_Map_v0_2_Chronicles_Psalms_Job_1Kings.xlsx</t>
        </is>
      </c>
      <c r="I543" s="15" t="inlineStr">
        <is>
          <t xml:space="preserve">Chapter Map</t>
        </is>
      </c>
      <c r="J543" s="15" t="inlineStr">
        <is>
          <t xml:space="preserve">CRS-PSA-022</t>
        </is>
      </c>
      <c r="K543" s="15"/>
      <c r="L543" s="10" t="inlineStr">
        <is>
          <t xml:space="preserve">Mapped</t>
        </is>
      </c>
      <c r="M543" s="15" t="inlineStr">
        <is>
          <t xml:space="preserve">Poetic material; event placement disclosed where a superscription or textual-reuse link is used.</t>
        </is>
      </c>
      <c r="N543" s="15"/>
      <c r="O543" s="15">
        <v>1</v>
      </c>
      <c r="P543" s="10" t="str">
        <f>IF(L543="MISSING","MISSING",IF(O543=1,"PASS","DUPLICATE"))</f>
        <v>PASS</v>
      </c>
    </row>
    <row r="544" ht="22" customHeight="1">
      <c r="A544" s="15" t="inlineStr">
        <is>
          <t xml:space="preserve">Psalms 62</t>
        </is>
      </c>
      <c r="B544" s="15">
        <v>540</v>
      </c>
      <c r="C544" s="15" t="inlineStr">
        <is>
          <t xml:space="preserve">Old Testament</t>
        </is>
      </c>
      <c r="D544" s="15">
        <v>19</v>
      </c>
      <c r="E544" s="15" t="inlineStr">
        <is>
          <t xml:space="preserve">Psalms</t>
        </is>
      </c>
      <c r="F544" s="15">
        <v>62</v>
      </c>
      <c r="G544" s="15" t="inlineStr">
        <is>
          <t xml:space="preserve">v0.2</t>
        </is>
      </c>
      <c r="H544" s="15" t="inlineStr">
        <is>
          <t xml:space="preserve">Bible_Journey_Canon_Map_v0_2_Chronicles_Psalms_Job_1Kings.xlsx</t>
        </is>
      </c>
      <c r="I544" s="15" t="inlineStr">
        <is>
          <t xml:space="preserve">Chapter Map</t>
        </is>
      </c>
      <c r="J544" s="15" t="inlineStr">
        <is>
          <t xml:space="preserve">CRS-PSA-022</t>
        </is>
      </c>
      <c r="K544" s="15"/>
      <c r="L544" s="10" t="inlineStr">
        <is>
          <t xml:space="preserve">Mapped</t>
        </is>
      </c>
      <c r="M544" s="15" t="inlineStr">
        <is>
          <t xml:space="preserve">Poetic material; event placement disclosed where a superscription or textual-reuse link is used.</t>
        </is>
      </c>
      <c r="N544" s="15"/>
      <c r="O544" s="15">
        <v>1</v>
      </c>
      <c r="P544" s="10" t="str">
        <f>IF(L544="MISSING","MISSING",IF(O544=1,"PASS","DUPLICATE"))</f>
        <v>PASS</v>
      </c>
    </row>
    <row r="545" ht="22" customHeight="1">
      <c r="A545" s="15" t="inlineStr">
        <is>
          <t xml:space="preserve">Psalms 63</t>
        </is>
      </c>
      <c r="B545" s="15">
        <v>541</v>
      </c>
      <c r="C545" s="15" t="inlineStr">
        <is>
          <t xml:space="preserve">Old Testament</t>
        </is>
      </c>
      <c r="D545" s="15">
        <v>19</v>
      </c>
      <c r="E545" s="15" t="inlineStr">
        <is>
          <t xml:space="preserve">Psalms</t>
        </is>
      </c>
      <c r="F545" s="15">
        <v>63</v>
      </c>
      <c r="G545" s="15" t="inlineStr">
        <is>
          <t xml:space="preserve">v0.2</t>
        </is>
      </c>
      <c r="H545" s="15" t="inlineStr">
        <is>
          <t xml:space="preserve">Bible_Journey_Canon_Map_v0_2_Chronicles_Psalms_Job_1Kings.xlsx</t>
        </is>
      </c>
      <c r="I545" s="15" t="inlineStr">
        <is>
          <t xml:space="preserve">Chapter Map</t>
        </is>
      </c>
      <c r="J545" s="15" t="inlineStr">
        <is>
          <t xml:space="preserve">CRS-PSA-023</t>
        </is>
      </c>
      <c r="K545" s="15"/>
      <c r="L545" s="10" t="inlineStr">
        <is>
          <t xml:space="preserve">Mapped</t>
        </is>
      </c>
      <c r="M545" s="15" t="inlineStr">
        <is>
          <t xml:space="preserve">Poetic material; event placement disclosed where a superscription or textual-reuse link is used.</t>
        </is>
      </c>
      <c r="N545" s="15"/>
      <c r="O545" s="15">
        <v>1</v>
      </c>
      <c r="P545" s="10" t="str">
        <f>IF(L545="MISSING","MISSING",IF(O545=1,"PASS","DUPLICATE"))</f>
        <v>PASS</v>
      </c>
    </row>
    <row r="546" ht="22" customHeight="1">
      <c r="A546" s="15" t="inlineStr">
        <is>
          <t xml:space="preserve">Psalms 64</t>
        </is>
      </c>
      <c r="B546" s="15">
        <v>542</v>
      </c>
      <c r="C546" s="15" t="inlineStr">
        <is>
          <t xml:space="preserve">Old Testament</t>
        </is>
      </c>
      <c r="D546" s="15">
        <v>19</v>
      </c>
      <c r="E546" s="15" t="inlineStr">
        <is>
          <t xml:space="preserve">Psalms</t>
        </is>
      </c>
      <c r="F546" s="15">
        <v>64</v>
      </c>
      <c r="G546" s="15" t="inlineStr">
        <is>
          <t xml:space="preserve">v0.2</t>
        </is>
      </c>
      <c r="H546" s="15" t="inlineStr">
        <is>
          <t xml:space="preserve">Bible_Journey_Canon_Map_v0_2_Chronicles_Psalms_Job_1Kings.xlsx</t>
        </is>
      </c>
      <c r="I546" s="15" t="inlineStr">
        <is>
          <t xml:space="preserve">Chapter Map</t>
        </is>
      </c>
      <c r="J546" s="15" t="inlineStr">
        <is>
          <t xml:space="preserve">CRS-PSA-024</t>
        </is>
      </c>
      <c r="K546" s="15"/>
      <c r="L546" s="10" t="inlineStr">
        <is>
          <t xml:space="preserve">Mapped</t>
        </is>
      </c>
      <c r="M546" s="15" t="inlineStr">
        <is>
          <t xml:space="preserve">Poetic material; event placement disclosed where a superscription or textual-reuse link is used.</t>
        </is>
      </c>
      <c r="N546" s="15"/>
      <c r="O546" s="15">
        <v>1</v>
      </c>
      <c r="P546" s="10" t="str">
        <f>IF(L546="MISSING","MISSING",IF(O546=1,"PASS","DUPLICATE"))</f>
        <v>PASS</v>
      </c>
    </row>
    <row r="547" ht="22" customHeight="1">
      <c r="A547" s="15" t="inlineStr">
        <is>
          <t xml:space="preserve">Psalms 65</t>
        </is>
      </c>
      <c r="B547" s="15">
        <v>543</v>
      </c>
      <c r="C547" s="15" t="inlineStr">
        <is>
          <t xml:space="preserve">Old Testament</t>
        </is>
      </c>
      <c r="D547" s="15">
        <v>19</v>
      </c>
      <c r="E547" s="15" t="inlineStr">
        <is>
          <t xml:space="preserve">Psalms</t>
        </is>
      </c>
      <c r="F547" s="15">
        <v>65</v>
      </c>
      <c r="G547" s="15" t="inlineStr">
        <is>
          <t xml:space="preserve">v0.2</t>
        </is>
      </c>
      <c r="H547" s="15" t="inlineStr">
        <is>
          <t xml:space="preserve">Bible_Journey_Canon_Map_v0_2_Chronicles_Psalms_Job_1Kings.xlsx</t>
        </is>
      </c>
      <c r="I547" s="15" t="inlineStr">
        <is>
          <t xml:space="preserve">Chapter Map</t>
        </is>
      </c>
      <c r="J547" s="15" t="inlineStr">
        <is>
          <t xml:space="preserve">CRS-PSA-024</t>
        </is>
      </c>
      <c r="K547" s="15"/>
      <c r="L547" s="10" t="inlineStr">
        <is>
          <t xml:space="preserve">Mapped</t>
        </is>
      </c>
      <c r="M547" s="15" t="inlineStr">
        <is>
          <t xml:space="preserve">Poetic material; event placement disclosed where a superscription or textual-reuse link is used.</t>
        </is>
      </c>
      <c r="N547" s="15"/>
      <c r="O547" s="15">
        <v>1</v>
      </c>
      <c r="P547" s="10" t="str">
        <f>IF(L547="MISSING","MISSING",IF(O547=1,"PASS","DUPLICATE"))</f>
        <v>PASS</v>
      </c>
    </row>
    <row r="548" ht="22" customHeight="1">
      <c r="A548" s="15" t="inlineStr">
        <is>
          <t xml:space="preserve">Psalms 66</t>
        </is>
      </c>
      <c r="B548" s="15">
        <v>544</v>
      </c>
      <c r="C548" s="15" t="inlineStr">
        <is>
          <t xml:space="preserve">Old Testament</t>
        </is>
      </c>
      <c r="D548" s="15">
        <v>19</v>
      </c>
      <c r="E548" s="15" t="inlineStr">
        <is>
          <t xml:space="preserve">Psalms</t>
        </is>
      </c>
      <c r="F548" s="15">
        <v>66</v>
      </c>
      <c r="G548" s="15" t="inlineStr">
        <is>
          <t xml:space="preserve">v0.2</t>
        </is>
      </c>
      <c r="H548" s="15" t="inlineStr">
        <is>
          <t xml:space="preserve">Bible_Journey_Canon_Map_v0_2_Chronicles_Psalms_Job_1Kings.xlsx</t>
        </is>
      </c>
      <c r="I548" s="15" t="inlineStr">
        <is>
          <t xml:space="preserve">Chapter Map</t>
        </is>
      </c>
      <c r="J548" s="15" t="inlineStr">
        <is>
          <t xml:space="preserve">CRS-PSA-024</t>
        </is>
      </c>
      <c r="K548" s="15"/>
      <c r="L548" s="10" t="inlineStr">
        <is>
          <t xml:space="preserve">Mapped</t>
        </is>
      </c>
      <c r="M548" s="15" t="inlineStr">
        <is>
          <t xml:space="preserve">Poetic material; event placement disclosed where a superscription or textual-reuse link is used.</t>
        </is>
      </c>
      <c r="N548" s="15"/>
      <c r="O548" s="15">
        <v>1</v>
      </c>
      <c r="P548" s="10" t="str">
        <f>IF(L548="MISSING","MISSING",IF(O548=1,"PASS","DUPLICATE"))</f>
        <v>PASS</v>
      </c>
    </row>
    <row r="549" ht="22" customHeight="1">
      <c r="A549" s="15" t="inlineStr">
        <is>
          <t xml:space="preserve">Psalms 67</t>
        </is>
      </c>
      <c r="B549" s="15">
        <v>545</v>
      </c>
      <c r="C549" s="15" t="inlineStr">
        <is>
          <t xml:space="preserve">Old Testament</t>
        </is>
      </c>
      <c r="D549" s="15">
        <v>19</v>
      </c>
      <c r="E549" s="15" t="inlineStr">
        <is>
          <t xml:space="preserve">Psalms</t>
        </is>
      </c>
      <c r="F549" s="15">
        <v>67</v>
      </c>
      <c r="G549" s="15" t="inlineStr">
        <is>
          <t xml:space="preserve">v0.2</t>
        </is>
      </c>
      <c r="H549" s="15" t="inlineStr">
        <is>
          <t xml:space="preserve">Bible_Journey_Canon_Map_v0_2_Chronicles_Psalms_Job_1Kings.xlsx</t>
        </is>
      </c>
      <c r="I549" s="15" t="inlineStr">
        <is>
          <t xml:space="preserve">Chapter Map</t>
        </is>
      </c>
      <c r="J549" s="15" t="inlineStr">
        <is>
          <t xml:space="preserve">CRS-PSA-024</t>
        </is>
      </c>
      <c r="K549" s="15"/>
      <c r="L549" s="10" t="inlineStr">
        <is>
          <t xml:space="preserve">Mapped</t>
        </is>
      </c>
      <c r="M549" s="15" t="inlineStr">
        <is>
          <t xml:space="preserve">Poetic material; event placement disclosed where a superscription or textual-reuse link is used.</t>
        </is>
      </c>
      <c r="N549" s="15"/>
      <c r="O549" s="15">
        <v>1</v>
      </c>
      <c r="P549" s="10" t="str">
        <f>IF(L549="MISSING","MISSING",IF(O549=1,"PASS","DUPLICATE"))</f>
        <v>PASS</v>
      </c>
    </row>
    <row r="550" ht="22" customHeight="1">
      <c r="A550" s="15" t="inlineStr">
        <is>
          <t xml:space="preserve">Psalms 68</t>
        </is>
      </c>
      <c r="B550" s="15">
        <v>546</v>
      </c>
      <c r="C550" s="15" t="inlineStr">
        <is>
          <t xml:space="preserve">Old Testament</t>
        </is>
      </c>
      <c r="D550" s="15">
        <v>19</v>
      </c>
      <c r="E550" s="15" t="inlineStr">
        <is>
          <t xml:space="preserve">Psalms</t>
        </is>
      </c>
      <c r="F550" s="15">
        <v>68</v>
      </c>
      <c r="G550" s="15" t="inlineStr">
        <is>
          <t xml:space="preserve">v0.2</t>
        </is>
      </c>
      <c r="H550" s="15" t="inlineStr">
        <is>
          <t xml:space="preserve">Bible_Journey_Canon_Map_v0_2_Chronicles_Psalms_Job_1Kings.xlsx</t>
        </is>
      </c>
      <c r="I550" s="15" t="inlineStr">
        <is>
          <t xml:space="preserve">Chapter Map</t>
        </is>
      </c>
      <c r="J550" s="15" t="inlineStr">
        <is>
          <t xml:space="preserve">CRS-PSA-024</t>
        </is>
      </c>
      <c r="K550" s="15"/>
      <c r="L550" s="10" t="inlineStr">
        <is>
          <t xml:space="preserve">Mapped</t>
        </is>
      </c>
      <c r="M550" s="15" t="inlineStr">
        <is>
          <t xml:space="preserve">Poetic material; event placement disclosed where a superscription or textual-reuse link is used.</t>
        </is>
      </c>
      <c r="N550" s="15"/>
      <c r="O550" s="15">
        <v>1</v>
      </c>
      <c r="P550" s="10" t="str">
        <f>IF(L550="MISSING","MISSING",IF(O550=1,"PASS","DUPLICATE"))</f>
        <v>PASS</v>
      </c>
    </row>
    <row r="551" ht="22" customHeight="1">
      <c r="A551" s="15" t="inlineStr">
        <is>
          <t xml:space="preserve">Psalms 69</t>
        </is>
      </c>
      <c r="B551" s="15">
        <v>547</v>
      </c>
      <c r="C551" s="15" t="inlineStr">
        <is>
          <t xml:space="preserve">Old Testament</t>
        </is>
      </c>
      <c r="D551" s="15">
        <v>19</v>
      </c>
      <c r="E551" s="15" t="inlineStr">
        <is>
          <t xml:space="preserve">Psalms</t>
        </is>
      </c>
      <c r="F551" s="15">
        <v>69</v>
      </c>
      <c r="G551" s="15" t="inlineStr">
        <is>
          <t xml:space="preserve">v0.2</t>
        </is>
      </c>
      <c r="H551" s="15" t="inlineStr">
        <is>
          <t xml:space="preserve">Bible_Journey_Canon_Map_v0_2_Chronicles_Psalms_Job_1Kings.xlsx</t>
        </is>
      </c>
      <c r="I551" s="15" t="inlineStr">
        <is>
          <t xml:space="preserve">Chapter Map</t>
        </is>
      </c>
      <c r="J551" s="15" t="inlineStr">
        <is>
          <t xml:space="preserve">CRS-PSA-024</t>
        </is>
      </c>
      <c r="K551" s="15"/>
      <c r="L551" s="10" t="inlineStr">
        <is>
          <t xml:space="preserve">Mapped</t>
        </is>
      </c>
      <c r="M551" s="15" t="inlineStr">
        <is>
          <t xml:space="preserve">Poetic material; event placement disclosed where a superscription or textual-reuse link is used.</t>
        </is>
      </c>
      <c r="N551" s="15"/>
      <c r="O551" s="15">
        <v>1</v>
      </c>
      <c r="P551" s="10" t="str">
        <f>IF(L551="MISSING","MISSING",IF(O551=1,"PASS","DUPLICATE"))</f>
        <v>PASS</v>
      </c>
    </row>
    <row r="552" ht="22" customHeight="1">
      <c r="A552" s="15" t="inlineStr">
        <is>
          <t xml:space="preserve">Psalms 70</t>
        </is>
      </c>
      <c r="B552" s="15">
        <v>548</v>
      </c>
      <c r="C552" s="15" t="inlineStr">
        <is>
          <t xml:space="preserve">Old Testament</t>
        </is>
      </c>
      <c r="D552" s="15">
        <v>19</v>
      </c>
      <c r="E552" s="15" t="inlineStr">
        <is>
          <t xml:space="preserve">Psalms</t>
        </is>
      </c>
      <c r="F552" s="15">
        <v>70</v>
      </c>
      <c r="G552" s="15" t="inlineStr">
        <is>
          <t xml:space="preserve">v0.2</t>
        </is>
      </c>
      <c r="H552" s="15" t="inlineStr">
        <is>
          <t xml:space="preserve">Bible_Journey_Canon_Map_v0_2_Chronicles_Psalms_Job_1Kings.xlsx</t>
        </is>
      </c>
      <c r="I552" s="15" t="inlineStr">
        <is>
          <t xml:space="preserve">Chapter Map</t>
        </is>
      </c>
      <c r="J552" s="15" t="inlineStr">
        <is>
          <t xml:space="preserve">CRS-PSA-024</t>
        </is>
      </c>
      <c r="K552" s="15"/>
      <c r="L552" s="10" t="inlineStr">
        <is>
          <t xml:space="preserve">Mapped</t>
        </is>
      </c>
      <c r="M552" s="15" t="inlineStr">
        <is>
          <t xml:space="preserve">Poetic material; event placement disclosed where a superscription or textual-reuse link is used.</t>
        </is>
      </c>
      <c r="N552" s="15"/>
      <c r="O552" s="15">
        <v>1</v>
      </c>
      <c r="P552" s="10" t="str">
        <f>IF(L552="MISSING","MISSING",IF(O552=1,"PASS","DUPLICATE"))</f>
        <v>PASS</v>
      </c>
    </row>
    <row r="553" ht="22" customHeight="1">
      <c r="A553" s="15" t="inlineStr">
        <is>
          <t xml:space="preserve">Psalms 71</t>
        </is>
      </c>
      <c r="B553" s="15">
        <v>549</v>
      </c>
      <c r="C553" s="15" t="inlineStr">
        <is>
          <t xml:space="preserve">Old Testament</t>
        </is>
      </c>
      <c r="D553" s="15">
        <v>19</v>
      </c>
      <c r="E553" s="15" t="inlineStr">
        <is>
          <t xml:space="preserve">Psalms</t>
        </is>
      </c>
      <c r="F553" s="15">
        <v>71</v>
      </c>
      <c r="G553" s="15" t="inlineStr">
        <is>
          <t xml:space="preserve">v0.2</t>
        </is>
      </c>
      <c r="H553" s="15" t="inlineStr">
        <is>
          <t xml:space="preserve">Bible_Journey_Canon_Map_v0_2_Chronicles_Psalms_Job_1Kings.xlsx</t>
        </is>
      </c>
      <c r="I553" s="15" t="inlineStr">
        <is>
          <t xml:space="preserve">Chapter Map</t>
        </is>
      </c>
      <c r="J553" s="15" t="inlineStr">
        <is>
          <t xml:space="preserve">CRS-PSA-024</t>
        </is>
      </c>
      <c r="K553" s="15"/>
      <c r="L553" s="10" t="inlineStr">
        <is>
          <t xml:space="preserve">Mapped</t>
        </is>
      </c>
      <c r="M553" s="15" t="inlineStr">
        <is>
          <t xml:space="preserve">Poetic material; event placement disclosed where a superscription or textual-reuse link is used.</t>
        </is>
      </c>
      <c r="N553" s="15"/>
      <c r="O553" s="15">
        <v>1</v>
      </c>
      <c r="P553" s="10" t="str">
        <f>IF(L553="MISSING","MISSING",IF(O553=1,"PASS","DUPLICATE"))</f>
        <v>PASS</v>
      </c>
    </row>
    <row r="554" ht="22" customHeight="1">
      <c r="A554" s="15" t="inlineStr">
        <is>
          <t xml:space="preserve">Psalms 72</t>
        </is>
      </c>
      <c r="B554" s="15">
        <v>550</v>
      </c>
      <c r="C554" s="15" t="inlineStr">
        <is>
          <t xml:space="preserve">Old Testament</t>
        </is>
      </c>
      <c r="D554" s="15">
        <v>19</v>
      </c>
      <c r="E554" s="15" t="inlineStr">
        <is>
          <t xml:space="preserve">Psalms</t>
        </is>
      </c>
      <c r="F554" s="15">
        <v>72</v>
      </c>
      <c r="G554" s="15" t="inlineStr">
        <is>
          <t xml:space="preserve">v0.2</t>
        </is>
      </c>
      <c r="H554" s="15" t="inlineStr">
        <is>
          <t xml:space="preserve">Bible_Journey_Canon_Map_v0_2_Chronicles_Psalms_Job_1Kings.xlsx</t>
        </is>
      </c>
      <c r="I554" s="15" t="inlineStr">
        <is>
          <t xml:space="preserve">Chapter Map</t>
        </is>
      </c>
      <c r="J554" s="15" t="inlineStr">
        <is>
          <t xml:space="preserve">CRS-PSA-025</t>
        </is>
      </c>
      <c r="K554" s="15"/>
      <c r="L554" s="10" t="inlineStr">
        <is>
          <t xml:space="preserve">Mapped</t>
        </is>
      </c>
      <c r="M554" s="15" t="inlineStr">
        <is>
          <t xml:space="preserve">Poetic material; event placement disclosed where a superscription or textual-reuse link is used.</t>
        </is>
      </c>
      <c r="N554" s="15"/>
      <c r="O554" s="15">
        <v>1</v>
      </c>
      <c r="P554" s="10" t="str">
        <f>IF(L554="MISSING","MISSING",IF(O554=1,"PASS","DUPLICATE"))</f>
        <v>PASS</v>
      </c>
    </row>
    <row r="555" ht="22" customHeight="1">
      <c r="A555" s="15" t="inlineStr">
        <is>
          <t xml:space="preserve">Psalms 73</t>
        </is>
      </c>
      <c r="B555" s="15">
        <v>551</v>
      </c>
      <c r="C555" s="15" t="inlineStr">
        <is>
          <t xml:space="preserve">Old Testament</t>
        </is>
      </c>
      <c r="D555" s="15">
        <v>19</v>
      </c>
      <c r="E555" s="15" t="inlineStr">
        <is>
          <t xml:space="preserve">Psalms</t>
        </is>
      </c>
      <c r="F555" s="15">
        <v>73</v>
      </c>
      <c r="G555" s="15" t="inlineStr">
        <is>
          <t xml:space="preserve">v0.2</t>
        </is>
      </c>
      <c r="H555" s="15" t="inlineStr">
        <is>
          <t xml:space="preserve">Bible_Journey_Canon_Map_v0_2_Chronicles_Psalms_Job_1Kings.xlsx</t>
        </is>
      </c>
      <c r="I555" s="15" t="inlineStr">
        <is>
          <t xml:space="preserve">Chapter Map</t>
        </is>
      </c>
      <c r="J555" s="15" t="inlineStr">
        <is>
          <t xml:space="preserve">CRS-PSA-026</t>
        </is>
      </c>
      <c r="K555" s="15"/>
      <c r="L555" s="10" t="inlineStr">
        <is>
          <t xml:space="preserve">Mapped</t>
        </is>
      </c>
      <c r="M555" s="15" t="inlineStr">
        <is>
          <t xml:space="preserve">Poetic material; event placement disclosed where a superscription or textual-reuse link is used.</t>
        </is>
      </c>
      <c r="N555" s="15"/>
      <c r="O555" s="15">
        <v>1</v>
      </c>
      <c r="P555" s="10" t="str">
        <f>IF(L555="MISSING","MISSING",IF(O555=1,"PASS","DUPLICATE"))</f>
        <v>PASS</v>
      </c>
    </row>
    <row r="556" ht="22" customHeight="1">
      <c r="A556" s="15" t="inlineStr">
        <is>
          <t xml:space="preserve">Psalms 74</t>
        </is>
      </c>
      <c r="B556" s="15">
        <v>552</v>
      </c>
      <c r="C556" s="15" t="inlineStr">
        <is>
          <t xml:space="preserve">Old Testament</t>
        </is>
      </c>
      <c r="D556" s="15">
        <v>19</v>
      </c>
      <c r="E556" s="15" t="inlineStr">
        <is>
          <t xml:space="preserve">Psalms</t>
        </is>
      </c>
      <c r="F556" s="15">
        <v>74</v>
      </c>
      <c r="G556" s="15" t="inlineStr">
        <is>
          <t xml:space="preserve">v0.2</t>
        </is>
      </c>
      <c r="H556" s="15" t="inlineStr">
        <is>
          <t xml:space="preserve">Bible_Journey_Canon_Map_v0_2_Chronicles_Psalms_Job_1Kings.xlsx</t>
        </is>
      </c>
      <c r="I556" s="15" t="inlineStr">
        <is>
          <t xml:space="preserve">Chapter Map</t>
        </is>
      </c>
      <c r="J556" s="15" t="inlineStr">
        <is>
          <t xml:space="preserve">CRS-PSA-026</t>
        </is>
      </c>
      <c r="K556" s="15"/>
      <c r="L556" s="10" t="inlineStr">
        <is>
          <t xml:space="preserve">Mapped</t>
        </is>
      </c>
      <c r="M556" s="15" t="inlineStr">
        <is>
          <t xml:space="preserve">Poetic material; event placement disclosed where a superscription or textual-reuse link is used.</t>
        </is>
      </c>
      <c r="N556" s="15"/>
      <c r="O556" s="15">
        <v>1</v>
      </c>
      <c r="P556" s="10" t="str">
        <f>IF(L556="MISSING","MISSING",IF(O556=1,"PASS","DUPLICATE"))</f>
        <v>PASS</v>
      </c>
    </row>
    <row r="557" ht="22" customHeight="1">
      <c r="A557" s="15" t="inlineStr">
        <is>
          <t xml:space="preserve">Psalms 75</t>
        </is>
      </c>
      <c r="B557" s="15">
        <v>553</v>
      </c>
      <c r="C557" s="15" t="inlineStr">
        <is>
          <t xml:space="preserve">Old Testament</t>
        </is>
      </c>
      <c r="D557" s="15">
        <v>19</v>
      </c>
      <c r="E557" s="15" t="inlineStr">
        <is>
          <t xml:space="preserve">Psalms</t>
        </is>
      </c>
      <c r="F557" s="15">
        <v>75</v>
      </c>
      <c r="G557" s="15" t="inlineStr">
        <is>
          <t xml:space="preserve">v0.2</t>
        </is>
      </c>
      <c r="H557" s="15" t="inlineStr">
        <is>
          <t xml:space="preserve">Bible_Journey_Canon_Map_v0_2_Chronicles_Psalms_Job_1Kings.xlsx</t>
        </is>
      </c>
      <c r="I557" s="15" t="inlineStr">
        <is>
          <t xml:space="preserve">Chapter Map</t>
        </is>
      </c>
      <c r="J557" s="15" t="inlineStr">
        <is>
          <t xml:space="preserve">CRS-PSA-026</t>
        </is>
      </c>
      <c r="K557" s="15"/>
      <c r="L557" s="10" t="inlineStr">
        <is>
          <t xml:space="preserve">Mapped</t>
        </is>
      </c>
      <c r="M557" s="15" t="inlineStr">
        <is>
          <t xml:space="preserve">Poetic material; event placement disclosed where a superscription or textual-reuse link is used.</t>
        </is>
      </c>
      <c r="N557" s="15"/>
      <c r="O557" s="15">
        <v>1</v>
      </c>
      <c r="P557" s="10" t="str">
        <f>IF(L557="MISSING","MISSING",IF(O557=1,"PASS","DUPLICATE"))</f>
        <v>PASS</v>
      </c>
    </row>
    <row r="558" ht="22" customHeight="1">
      <c r="A558" s="15" t="inlineStr">
        <is>
          <t xml:space="preserve">Psalms 76</t>
        </is>
      </c>
      <c r="B558" s="15">
        <v>554</v>
      </c>
      <c r="C558" s="15" t="inlineStr">
        <is>
          <t xml:space="preserve">Old Testament</t>
        </is>
      </c>
      <c r="D558" s="15">
        <v>19</v>
      </c>
      <c r="E558" s="15" t="inlineStr">
        <is>
          <t xml:space="preserve">Psalms</t>
        </is>
      </c>
      <c r="F558" s="15">
        <v>76</v>
      </c>
      <c r="G558" s="15" t="inlineStr">
        <is>
          <t xml:space="preserve">v0.2</t>
        </is>
      </c>
      <c r="H558" s="15" t="inlineStr">
        <is>
          <t xml:space="preserve">Bible_Journey_Canon_Map_v0_2_Chronicles_Psalms_Job_1Kings.xlsx</t>
        </is>
      </c>
      <c r="I558" s="15" t="inlineStr">
        <is>
          <t xml:space="preserve">Chapter Map</t>
        </is>
      </c>
      <c r="J558" s="15" t="inlineStr">
        <is>
          <t xml:space="preserve">CRS-PSA-026</t>
        </is>
      </c>
      <c r="K558" s="15"/>
      <c r="L558" s="10" t="inlineStr">
        <is>
          <t xml:space="preserve">Mapped</t>
        </is>
      </c>
      <c r="M558" s="15" t="inlineStr">
        <is>
          <t xml:space="preserve">Poetic material; event placement disclosed where a superscription or textual-reuse link is used.</t>
        </is>
      </c>
      <c r="N558" s="15"/>
      <c r="O558" s="15">
        <v>1</v>
      </c>
      <c r="P558" s="10" t="str">
        <f>IF(L558="MISSING","MISSING",IF(O558=1,"PASS","DUPLICATE"))</f>
        <v>PASS</v>
      </c>
    </row>
    <row r="559" ht="22" customHeight="1">
      <c r="A559" s="15" t="inlineStr">
        <is>
          <t xml:space="preserve">Psalms 77</t>
        </is>
      </c>
      <c r="B559" s="15">
        <v>555</v>
      </c>
      <c r="C559" s="15" t="inlineStr">
        <is>
          <t xml:space="preserve">Old Testament</t>
        </is>
      </c>
      <c r="D559" s="15">
        <v>19</v>
      </c>
      <c r="E559" s="15" t="inlineStr">
        <is>
          <t xml:space="preserve">Psalms</t>
        </is>
      </c>
      <c r="F559" s="15">
        <v>77</v>
      </c>
      <c r="G559" s="15" t="inlineStr">
        <is>
          <t xml:space="preserve">v0.2</t>
        </is>
      </c>
      <c r="H559" s="15" t="inlineStr">
        <is>
          <t xml:space="preserve">Bible_Journey_Canon_Map_v0_2_Chronicles_Psalms_Job_1Kings.xlsx</t>
        </is>
      </c>
      <c r="I559" s="15" t="inlineStr">
        <is>
          <t xml:space="preserve">Chapter Map</t>
        </is>
      </c>
      <c r="J559" s="15" t="inlineStr">
        <is>
          <t xml:space="preserve">CRS-PSA-026</t>
        </is>
      </c>
      <c r="K559" s="15"/>
      <c r="L559" s="10" t="inlineStr">
        <is>
          <t xml:space="preserve">Mapped</t>
        </is>
      </c>
      <c r="M559" s="15" t="inlineStr">
        <is>
          <t xml:space="preserve">Poetic material; event placement disclosed where a superscription or textual-reuse link is used.</t>
        </is>
      </c>
      <c r="N559" s="15"/>
      <c r="O559" s="15">
        <v>1</v>
      </c>
      <c r="P559" s="10" t="str">
        <f>IF(L559="MISSING","MISSING",IF(O559=1,"PASS","DUPLICATE"))</f>
        <v>PASS</v>
      </c>
    </row>
    <row r="560" ht="22" customHeight="1">
      <c r="A560" s="15" t="inlineStr">
        <is>
          <t xml:space="preserve">Psalms 78</t>
        </is>
      </c>
      <c r="B560" s="15">
        <v>556</v>
      </c>
      <c r="C560" s="15" t="inlineStr">
        <is>
          <t xml:space="preserve">Old Testament</t>
        </is>
      </c>
      <c r="D560" s="15">
        <v>19</v>
      </c>
      <c r="E560" s="15" t="inlineStr">
        <is>
          <t xml:space="preserve">Psalms</t>
        </is>
      </c>
      <c r="F560" s="15">
        <v>78</v>
      </c>
      <c r="G560" s="15" t="inlineStr">
        <is>
          <t xml:space="preserve">v0.2</t>
        </is>
      </c>
      <c r="H560" s="15" t="inlineStr">
        <is>
          <t xml:space="preserve">Bible_Journey_Canon_Map_v0_2_Chronicles_Psalms_Job_1Kings.xlsx</t>
        </is>
      </c>
      <c r="I560" s="15" t="inlineStr">
        <is>
          <t xml:space="preserve">Chapter Map</t>
        </is>
      </c>
      <c r="J560" s="15" t="inlineStr">
        <is>
          <t xml:space="preserve">CRS-PSA-026</t>
        </is>
      </c>
      <c r="K560" s="15"/>
      <c r="L560" s="10" t="inlineStr">
        <is>
          <t xml:space="preserve">Mapped</t>
        </is>
      </c>
      <c r="M560" s="15" t="inlineStr">
        <is>
          <t xml:space="preserve">Poetic material; event placement disclosed where a superscription or textual-reuse link is used.</t>
        </is>
      </c>
      <c r="N560" s="15"/>
      <c r="O560" s="15">
        <v>1</v>
      </c>
      <c r="P560" s="10" t="str">
        <f>IF(L560="MISSING","MISSING",IF(O560=1,"PASS","DUPLICATE"))</f>
        <v>PASS</v>
      </c>
    </row>
    <row r="561" ht="22" customHeight="1">
      <c r="A561" s="15" t="inlineStr">
        <is>
          <t xml:space="preserve">Psalms 79</t>
        </is>
      </c>
      <c r="B561" s="15">
        <v>557</v>
      </c>
      <c r="C561" s="15" t="inlineStr">
        <is>
          <t xml:space="preserve">Old Testament</t>
        </is>
      </c>
      <c r="D561" s="15">
        <v>19</v>
      </c>
      <c r="E561" s="15" t="inlineStr">
        <is>
          <t xml:space="preserve">Psalms</t>
        </is>
      </c>
      <c r="F561" s="15">
        <v>79</v>
      </c>
      <c r="G561" s="15" t="inlineStr">
        <is>
          <t xml:space="preserve">v0.2</t>
        </is>
      </c>
      <c r="H561" s="15" t="inlineStr">
        <is>
          <t xml:space="preserve">Bible_Journey_Canon_Map_v0_2_Chronicles_Psalms_Job_1Kings.xlsx</t>
        </is>
      </c>
      <c r="I561" s="15" t="inlineStr">
        <is>
          <t xml:space="preserve">Chapter Map</t>
        </is>
      </c>
      <c r="J561" s="15" t="inlineStr">
        <is>
          <t xml:space="preserve">CRS-PSA-026</t>
        </is>
      </c>
      <c r="K561" s="15"/>
      <c r="L561" s="10" t="inlineStr">
        <is>
          <t xml:space="preserve">Mapped</t>
        </is>
      </c>
      <c r="M561" s="15" t="inlineStr">
        <is>
          <t xml:space="preserve">Poetic material; event placement disclosed where a superscription or textual-reuse link is used.</t>
        </is>
      </c>
      <c r="N561" s="15"/>
      <c r="O561" s="15">
        <v>1</v>
      </c>
      <c r="P561" s="10" t="str">
        <f>IF(L561="MISSING","MISSING",IF(O561=1,"PASS","DUPLICATE"))</f>
        <v>PASS</v>
      </c>
    </row>
    <row r="562" ht="22" customHeight="1">
      <c r="A562" s="15" t="inlineStr">
        <is>
          <t xml:space="preserve">Psalms 80</t>
        </is>
      </c>
      <c r="B562" s="15">
        <v>558</v>
      </c>
      <c r="C562" s="15" t="inlineStr">
        <is>
          <t xml:space="preserve">Old Testament</t>
        </is>
      </c>
      <c r="D562" s="15">
        <v>19</v>
      </c>
      <c r="E562" s="15" t="inlineStr">
        <is>
          <t xml:space="preserve">Psalms</t>
        </is>
      </c>
      <c r="F562" s="15">
        <v>80</v>
      </c>
      <c r="G562" s="15" t="inlineStr">
        <is>
          <t xml:space="preserve">v0.2</t>
        </is>
      </c>
      <c r="H562" s="15" t="inlineStr">
        <is>
          <t xml:space="preserve">Bible_Journey_Canon_Map_v0_2_Chronicles_Psalms_Job_1Kings.xlsx</t>
        </is>
      </c>
      <c r="I562" s="15" t="inlineStr">
        <is>
          <t xml:space="preserve">Chapter Map</t>
        </is>
      </c>
      <c r="J562" s="15" t="inlineStr">
        <is>
          <t xml:space="preserve">CRS-PSA-026</t>
        </is>
      </c>
      <c r="K562" s="15"/>
      <c r="L562" s="10" t="inlineStr">
        <is>
          <t xml:space="preserve">Mapped</t>
        </is>
      </c>
      <c r="M562" s="15" t="inlineStr">
        <is>
          <t xml:space="preserve">Poetic material; event placement disclosed where a superscription or textual-reuse link is used.</t>
        </is>
      </c>
      <c r="N562" s="15"/>
      <c r="O562" s="15">
        <v>1</v>
      </c>
      <c r="P562" s="10" t="str">
        <f>IF(L562="MISSING","MISSING",IF(O562=1,"PASS","DUPLICATE"))</f>
        <v>PASS</v>
      </c>
    </row>
    <row r="563" ht="22" customHeight="1">
      <c r="A563" s="15" t="inlineStr">
        <is>
          <t xml:space="preserve">Psalms 81</t>
        </is>
      </c>
      <c r="B563" s="15">
        <v>559</v>
      </c>
      <c r="C563" s="15" t="inlineStr">
        <is>
          <t xml:space="preserve">Old Testament</t>
        </is>
      </c>
      <c r="D563" s="15">
        <v>19</v>
      </c>
      <c r="E563" s="15" t="inlineStr">
        <is>
          <t xml:space="preserve">Psalms</t>
        </is>
      </c>
      <c r="F563" s="15">
        <v>81</v>
      </c>
      <c r="G563" s="15" t="inlineStr">
        <is>
          <t xml:space="preserve">v0.2</t>
        </is>
      </c>
      <c r="H563" s="15" t="inlineStr">
        <is>
          <t xml:space="preserve">Bible_Journey_Canon_Map_v0_2_Chronicles_Psalms_Job_1Kings.xlsx</t>
        </is>
      </c>
      <c r="I563" s="15" t="inlineStr">
        <is>
          <t xml:space="preserve">Chapter Map</t>
        </is>
      </c>
      <c r="J563" s="15" t="inlineStr">
        <is>
          <t xml:space="preserve">CRS-PSA-026</t>
        </is>
      </c>
      <c r="K563" s="15"/>
      <c r="L563" s="10" t="inlineStr">
        <is>
          <t xml:space="preserve">Mapped</t>
        </is>
      </c>
      <c r="M563" s="15" t="inlineStr">
        <is>
          <t xml:space="preserve">Poetic material; event placement disclosed where a superscription or textual-reuse link is used.</t>
        </is>
      </c>
      <c r="N563" s="15"/>
      <c r="O563" s="15">
        <v>1</v>
      </c>
      <c r="P563" s="10" t="str">
        <f>IF(L563="MISSING","MISSING",IF(O563=1,"PASS","DUPLICATE"))</f>
        <v>PASS</v>
      </c>
    </row>
    <row r="564" ht="22" customHeight="1">
      <c r="A564" s="15" t="inlineStr">
        <is>
          <t xml:space="preserve">Psalms 82</t>
        </is>
      </c>
      <c r="B564" s="15">
        <v>560</v>
      </c>
      <c r="C564" s="15" t="inlineStr">
        <is>
          <t xml:space="preserve">Old Testament</t>
        </is>
      </c>
      <c r="D564" s="15">
        <v>19</v>
      </c>
      <c r="E564" s="15" t="inlineStr">
        <is>
          <t xml:space="preserve">Psalms</t>
        </is>
      </c>
      <c r="F564" s="15">
        <v>82</v>
      </c>
      <c r="G564" s="15" t="inlineStr">
        <is>
          <t xml:space="preserve">v0.2</t>
        </is>
      </c>
      <c r="H564" s="15" t="inlineStr">
        <is>
          <t xml:space="preserve">Bible_Journey_Canon_Map_v0_2_Chronicles_Psalms_Job_1Kings.xlsx</t>
        </is>
      </c>
      <c r="I564" s="15" t="inlineStr">
        <is>
          <t xml:space="preserve">Chapter Map</t>
        </is>
      </c>
      <c r="J564" s="15" t="inlineStr">
        <is>
          <t xml:space="preserve">CRS-PSA-026</t>
        </is>
      </c>
      <c r="K564" s="15"/>
      <c r="L564" s="10" t="inlineStr">
        <is>
          <t xml:space="preserve">Mapped</t>
        </is>
      </c>
      <c r="M564" s="15" t="inlineStr">
        <is>
          <t xml:space="preserve">Poetic material; event placement disclosed where a superscription or textual-reuse link is used.</t>
        </is>
      </c>
      <c r="N564" s="15"/>
      <c r="O564" s="15">
        <v>1</v>
      </c>
      <c r="P564" s="10" t="str">
        <f>IF(L564="MISSING","MISSING",IF(O564=1,"PASS","DUPLICATE"))</f>
        <v>PASS</v>
      </c>
    </row>
    <row r="565" ht="22" customHeight="1">
      <c r="A565" s="15" t="inlineStr">
        <is>
          <t xml:space="preserve">Psalms 83</t>
        </is>
      </c>
      <c r="B565" s="15">
        <v>561</v>
      </c>
      <c r="C565" s="15" t="inlineStr">
        <is>
          <t xml:space="preserve">Old Testament</t>
        </is>
      </c>
      <c r="D565" s="15">
        <v>19</v>
      </c>
      <c r="E565" s="15" t="inlineStr">
        <is>
          <t xml:space="preserve">Psalms</t>
        </is>
      </c>
      <c r="F565" s="15">
        <v>83</v>
      </c>
      <c r="G565" s="15" t="inlineStr">
        <is>
          <t xml:space="preserve">v0.2</t>
        </is>
      </c>
      <c r="H565" s="15" t="inlineStr">
        <is>
          <t xml:space="preserve">Bible_Journey_Canon_Map_v0_2_Chronicles_Psalms_Job_1Kings.xlsx</t>
        </is>
      </c>
      <c r="I565" s="15" t="inlineStr">
        <is>
          <t xml:space="preserve">Chapter Map</t>
        </is>
      </c>
      <c r="J565" s="15" t="inlineStr">
        <is>
          <t xml:space="preserve">CRS-PSA-026</t>
        </is>
      </c>
      <c r="K565" s="15"/>
      <c r="L565" s="10" t="inlineStr">
        <is>
          <t xml:space="preserve">Mapped</t>
        </is>
      </c>
      <c r="M565" s="15" t="inlineStr">
        <is>
          <t xml:space="preserve">Poetic material; event placement disclosed where a superscription or textual-reuse link is used.</t>
        </is>
      </c>
      <c r="N565" s="15"/>
      <c r="O565" s="15">
        <v>1</v>
      </c>
      <c r="P565" s="10" t="str">
        <f>IF(L565="MISSING","MISSING",IF(O565=1,"PASS","DUPLICATE"))</f>
        <v>PASS</v>
      </c>
    </row>
    <row r="566" ht="22" customHeight="1">
      <c r="A566" s="15" t="inlineStr">
        <is>
          <t xml:space="preserve">Psalms 84</t>
        </is>
      </c>
      <c r="B566" s="15">
        <v>562</v>
      </c>
      <c r="C566" s="15" t="inlineStr">
        <is>
          <t xml:space="preserve">Old Testament</t>
        </is>
      </c>
      <c r="D566" s="15">
        <v>19</v>
      </c>
      <c r="E566" s="15" t="inlineStr">
        <is>
          <t xml:space="preserve">Psalms</t>
        </is>
      </c>
      <c r="F566" s="15">
        <v>84</v>
      </c>
      <c r="G566" s="15" t="inlineStr">
        <is>
          <t xml:space="preserve">v0.2</t>
        </is>
      </c>
      <c r="H566" s="15" t="inlineStr">
        <is>
          <t xml:space="preserve">Bible_Journey_Canon_Map_v0_2_Chronicles_Psalms_Job_1Kings.xlsx</t>
        </is>
      </c>
      <c r="I566" s="15" t="inlineStr">
        <is>
          <t xml:space="preserve">Chapter Map</t>
        </is>
      </c>
      <c r="J566" s="15" t="inlineStr">
        <is>
          <t xml:space="preserve">CRS-PSA-026</t>
        </is>
      </c>
      <c r="K566" s="15"/>
      <c r="L566" s="10" t="inlineStr">
        <is>
          <t xml:space="preserve">Mapped</t>
        </is>
      </c>
      <c r="M566" s="15" t="inlineStr">
        <is>
          <t xml:space="preserve">Poetic material; event placement disclosed where a superscription or textual-reuse link is used.</t>
        </is>
      </c>
      <c r="N566" s="15"/>
      <c r="O566" s="15">
        <v>1</v>
      </c>
      <c r="P566" s="10" t="str">
        <f>IF(L566="MISSING","MISSING",IF(O566=1,"PASS","DUPLICATE"))</f>
        <v>PASS</v>
      </c>
    </row>
    <row r="567" ht="22" customHeight="1">
      <c r="A567" s="15" t="inlineStr">
        <is>
          <t xml:space="preserve">Psalms 85</t>
        </is>
      </c>
      <c r="B567" s="15">
        <v>563</v>
      </c>
      <c r="C567" s="15" t="inlineStr">
        <is>
          <t xml:space="preserve">Old Testament</t>
        </is>
      </c>
      <c r="D567" s="15">
        <v>19</v>
      </c>
      <c r="E567" s="15" t="inlineStr">
        <is>
          <t xml:space="preserve">Psalms</t>
        </is>
      </c>
      <c r="F567" s="15">
        <v>85</v>
      </c>
      <c r="G567" s="15" t="inlineStr">
        <is>
          <t xml:space="preserve">v0.2</t>
        </is>
      </c>
      <c r="H567" s="15" t="inlineStr">
        <is>
          <t xml:space="preserve">Bible_Journey_Canon_Map_v0_2_Chronicles_Psalms_Job_1Kings.xlsx</t>
        </is>
      </c>
      <c r="I567" s="15" t="inlineStr">
        <is>
          <t xml:space="preserve">Chapter Map</t>
        </is>
      </c>
      <c r="J567" s="15" t="inlineStr">
        <is>
          <t xml:space="preserve">CRS-PSA-026</t>
        </is>
      </c>
      <c r="K567" s="15"/>
      <c r="L567" s="10" t="inlineStr">
        <is>
          <t xml:space="preserve">Mapped</t>
        </is>
      </c>
      <c r="M567" s="15" t="inlineStr">
        <is>
          <t xml:space="preserve">Poetic material; event placement disclosed where a superscription or textual-reuse link is used.</t>
        </is>
      </c>
      <c r="N567" s="15"/>
      <c r="O567" s="15">
        <v>1</v>
      </c>
      <c r="P567" s="10" t="str">
        <f>IF(L567="MISSING","MISSING",IF(O567=1,"PASS","DUPLICATE"))</f>
        <v>PASS</v>
      </c>
    </row>
    <row r="568" ht="22" customHeight="1">
      <c r="A568" s="15" t="inlineStr">
        <is>
          <t xml:space="preserve">Psalms 86</t>
        </is>
      </c>
      <c r="B568" s="15">
        <v>564</v>
      </c>
      <c r="C568" s="15" t="inlineStr">
        <is>
          <t xml:space="preserve">Old Testament</t>
        </is>
      </c>
      <c r="D568" s="15">
        <v>19</v>
      </c>
      <c r="E568" s="15" t="inlineStr">
        <is>
          <t xml:space="preserve">Psalms</t>
        </is>
      </c>
      <c r="F568" s="15">
        <v>86</v>
      </c>
      <c r="G568" s="15" t="inlineStr">
        <is>
          <t xml:space="preserve">v0.2</t>
        </is>
      </c>
      <c r="H568" s="15" t="inlineStr">
        <is>
          <t xml:space="preserve">Bible_Journey_Canon_Map_v0_2_Chronicles_Psalms_Job_1Kings.xlsx</t>
        </is>
      </c>
      <c r="I568" s="15" t="inlineStr">
        <is>
          <t xml:space="preserve">Chapter Map</t>
        </is>
      </c>
      <c r="J568" s="15" t="inlineStr">
        <is>
          <t xml:space="preserve">CRS-PSA-026</t>
        </is>
      </c>
      <c r="K568" s="15"/>
      <c r="L568" s="10" t="inlineStr">
        <is>
          <t xml:space="preserve">Mapped</t>
        </is>
      </c>
      <c r="M568" s="15" t="inlineStr">
        <is>
          <t xml:space="preserve">Poetic material; event placement disclosed where a superscription or textual-reuse link is used.</t>
        </is>
      </c>
      <c r="N568" s="15"/>
      <c r="O568" s="15">
        <v>1</v>
      </c>
      <c r="P568" s="10" t="str">
        <f>IF(L568="MISSING","MISSING",IF(O568=1,"PASS","DUPLICATE"))</f>
        <v>PASS</v>
      </c>
    </row>
    <row r="569" ht="22" customHeight="1">
      <c r="A569" s="15" t="inlineStr">
        <is>
          <t xml:space="preserve">Psalms 87</t>
        </is>
      </c>
      <c r="B569" s="15">
        <v>565</v>
      </c>
      <c r="C569" s="15" t="inlineStr">
        <is>
          <t xml:space="preserve">Old Testament</t>
        </is>
      </c>
      <c r="D569" s="15">
        <v>19</v>
      </c>
      <c r="E569" s="15" t="inlineStr">
        <is>
          <t xml:space="preserve">Psalms</t>
        </is>
      </c>
      <c r="F569" s="15">
        <v>87</v>
      </c>
      <c r="G569" s="15" t="inlineStr">
        <is>
          <t xml:space="preserve">v0.2</t>
        </is>
      </c>
      <c r="H569" s="15" t="inlineStr">
        <is>
          <t xml:space="preserve">Bible_Journey_Canon_Map_v0_2_Chronicles_Psalms_Job_1Kings.xlsx</t>
        </is>
      </c>
      <c r="I569" s="15" t="inlineStr">
        <is>
          <t xml:space="preserve">Chapter Map</t>
        </is>
      </c>
      <c r="J569" s="15" t="inlineStr">
        <is>
          <t xml:space="preserve">CRS-PSA-026</t>
        </is>
      </c>
      <c r="K569" s="15"/>
      <c r="L569" s="10" t="inlineStr">
        <is>
          <t xml:space="preserve">Mapped</t>
        </is>
      </c>
      <c r="M569" s="15" t="inlineStr">
        <is>
          <t xml:space="preserve">Poetic material; event placement disclosed where a superscription or textual-reuse link is used.</t>
        </is>
      </c>
      <c r="N569" s="15"/>
      <c r="O569" s="15">
        <v>1</v>
      </c>
      <c r="P569" s="10" t="str">
        <f>IF(L569="MISSING","MISSING",IF(O569=1,"PASS","DUPLICATE"))</f>
        <v>PASS</v>
      </c>
    </row>
    <row r="570" ht="22" customHeight="1">
      <c r="A570" s="15" t="inlineStr">
        <is>
          <t xml:space="preserve">Psalms 88</t>
        </is>
      </c>
      <c r="B570" s="15">
        <v>566</v>
      </c>
      <c r="C570" s="15" t="inlineStr">
        <is>
          <t xml:space="preserve">Old Testament</t>
        </is>
      </c>
      <c r="D570" s="15">
        <v>19</v>
      </c>
      <c r="E570" s="15" t="inlineStr">
        <is>
          <t xml:space="preserve">Psalms</t>
        </is>
      </c>
      <c r="F570" s="15">
        <v>88</v>
      </c>
      <c r="G570" s="15" t="inlineStr">
        <is>
          <t xml:space="preserve">v0.2</t>
        </is>
      </c>
      <c r="H570" s="15" t="inlineStr">
        <is>
          <t xml:space="preserve">Bible_Journey_Canon_Map_v0_2_Chronicles_Psalms_Job_1Kings.xlsx</t>
        </is>
      </c>
      <c r="I570" s="15" t="inlineStr">
        <is>
          <t xml:space="preserve">Chapter Map</t>
        </is>
      </c>
      <c r="J570" s="15" t="inlineStr">
        <is>
          <t xml:space="preserve">CRS-PSA-026</t>
        </is>
      </c>
      <c r="K570" s="15"/>
      <c r="L570" s="10" t="inlineStr">
        <is>
          <t xml:space="preserve">Mapped</t>
        </is>
      </c>
      <c r="M570" s="15" t="inlineStr">
        <is>
          <t xml:space="preserve">Poetic material; event placement disclosed where a superscription or textual-reuse link is used.</t>
        </is>
      </c>
      <c r="N570" s="15"/>
      <c r="O570" s="15">
        <v>1</v>
      </c>
      <c r="P570" s="10" t="str">
        <f>IF(L570="MISSING","MISSING",IF(O570=1,"PASS","DUPLICATE"))</f>
        <v>PASS</v>
      </c>
    </row>
    <row r="571" ht="22" customHeight="1">
      <c r="A571" s="15" t="inlineStr">
        <is>
          <t xml:space="preserve">Psalms 89</t>
        </is>
      </c>
      <c r="B571" s="15">
        <v>567</v>
      </c>
      <c r="C571" s="15" t="inlineStr">
        <is>
          <t xml:space="preserve">Old Testament</t>
        </is>
      </c>
      <c r="D571" s="15">
        <v>19</v>
      </c>
      <c r="E571" s="15" t="inlineStr">
        <is>
          <t xml:space="preserve">Psalms</t>
        </is>
      </c>
      <c r="F571" s="15">
        <v>89</v>
      </c>
      <c r="G571" s="15" t="inlineStr">
        <is>
          <t xml:space="preserve">v0.2</t>
        </is>
      </c>
      <c r="H571" s="15" t="inlineStr">
        <is>
          <t xml:space="preserve">Bible_Journey_Canon_Map_v0_2_Chronicles_Psalms_Job_1Kings.xlsx</t>
        </is>
      </c>
      <c r="I571" s="15" t="inlineStr">
        <is>
          <t xml:space="preserve">Chapter Map</t>
        </is>
      </c>
      <c r="J571" s="15" t="inlineStr">
        <is>
          <t xml:space="preserve">CRS-PSA-026</t>
        </is>
      </c>
      <c r="K571" s="15"/>
      <c r="L571" s="10" t="inlineStr">
        <is>
          <t xml:space="preserve">Mapped</t>
        </is>
      </c>
      <c r="M571" s="15" t="inlineStr">
        <is>
          <t xml:space="preserve">Poetic material; event placement disclosed where a superscription or textual-reuse link is used.</t>
        </is>
      </c>
      <c r="N571" s="15"/>
      <c r="O571" s="15">
        <v>1</v>
      </c>
      <c r="P571" s="10" t="str">
        <f>IF(L571="MISSING","MISSING",IF(O571=1,"PASS","DUPLICATE"))</f>
        <v>PASS</v>
      </c>
    </row>
    <row r="572" ht="22" customHeight="1">
      <c r="A572" s="15" t="inlineStr">
        <is>
          <t xml:space="preserve">Psalms 90</t>
        </is>
      </c>
      <c r="B572" s="15">
        <v>568</v>
      </c>
      <c r="C572" s="15" t="inlineStr">
        <is>
          <t xml:space="preserve">Old Testament</t>
        </is>
      </c>
      <c r="D572" s="15">
        <v>19</v>
      </c>
      <c r="E572" s="15" t="inlineStr">
        <is>
          <t xml:space="preserve">Psalms</t>
        </is>
      </c>
      <c r="F572" s="15">
        <v>90</v>
      </c>
      <c r="G572" s="15" t="inlineStr">
        <is>
          <t xml:space="preserve">v0.2</t>
        </is>
      </c>
      <c r="H572" s="15" t="inlineStr">
        <is>
          <t xml:space="preserve">Bible_Journey_Canon_Map_v0_2_Chronicles_Psalms_Job_1Kings.xlsx</t>
        </is>
      </c>
      <c r="I572" s="15" t="inlineStr">
        <is>
          <t xml:space="preserve">Chapter Map</t>
        </is>
      </c>
      <c r="J572" s="15" t="inlineStr">
        <is>
          <t xml:space="preserve">CRS-PSA-027</t>
        </is>
      </c>
      <c r="K572" s="15"/>
      <c r="L572" s="10" t="inlineStr">
        <is>
          <t xml:space="preserve">Mapped</t>
        </is>
      </c>
      <c r="M572" s="15" t="inlineStr">
        <is>
          <t xml:space="preserve">Poetic material; event placement disclosed where a superscription or textual-reuse link is used.</t>
        </is>
      </c>
      <c r="N572" s="15"/>
      <c r="O572" s="15">
        <v>1</v>
      </c>
      <c r="P572" s="10" t="str">
        <f>IF(L572="MISSING","MISSING",IF(O572=1,"PASS","DUPLICATE"))</f>
        <v>PASS</v>
      </c>
    </row>
    <row r="573" ht="22" customHeight="1">
      <c r="A573" s="15" t="inlineStr">
        <is>
          <t xml:space="preserve">Psalms 91</t>
        </is>
      </c>
      <c r="B573" s="15">
        <v>569</v>
      </c>
      <c r="C573" s="15" t="inlineStr">
        <is>
          <t xml:space="preserve">Old Testament</t>
        </is>
      </c>
      <c r="D573" s="15">
        <v>19</v>
      </c>
      <c r="E573" s="15" t="inlineStr">
        <is>
          <t xml:space="preserve">Psalms</t>
        </is>
      </c>
      <c r="F573" s="15">
        <v>91</v>
      </c>
      <c r="G573" s="15" t="inlineStr">
        <is>
          <t xml:space="preserve">v0.2</t>
        </is>
      </c>
      <c r="H573" s="15" t="inlineStr">
        <is>
          <t xml:space="preserve">Bible_Journey_Canon_Map_v0_2_Chronicles_Psalms_Job_1Kings.xlsx</t>
        </is>
      </c>
      <c r="I573" s="15" t="inlineStr">
        <is>
          <t xml:space="preserve">Chapter Map</t>
        </is>
      </c>
      <c r="J573" s="15" t="inlineStr">
        <is>
          <t xml:space="preserve">CRS-PSA-028</t>
        </is>
      </c>
      <c r="K573" s="15"/>
      <c r="L573" s="10" t="inlineStr">
        <is>
          <t xml:space="preserve">Mapped</t>
        </is>
      </c>
      <c r="M573" s="15" t="inlineStr">
        <is>
          <t xml:space="preserve">Poetic material; event placement disclosed where a superscription or textual-reuse link is used.</t>
        </is>
      </c>
      <c r="N573" s="15"/>
      <c r="O573" s="15">
        <v>1</v>
      </c>
      <c r="P573" s="10" t="str">
        <f>IF(L573="MISSING","MISSING",IF(O573=1,"PASS","DUPLICATE"))</f>
        <v>PASS</v>
      </c>
    </row>
    <row r="574" ht="22" customHeight="1">
      <c r="A574" s="15" t="inlineStr">
        <is>
          <t xml:space="preserve">Psalms 92</t>
        </is>
      </c>
      <c r="B574" s="15">
        <v>570</v>
      </c>
      <c r="C574" s="15" t="inlineStr">
        <is>
          <t xml:space="preserve">Old Testament</t>
        </is>
      </c>
      <c r="D574" s="15">
        <v>19</v>
      </c>
      <c r="E574" s="15" t="inlineStr">
        <is>
          <t xml:space="preserve">Psalms</t>
        </is>
      </c>
      <c r="F574" s="15">
        <v>92</v>
      </c>
      <c r="G574" s="15" t="inlineStr">
        <is>
          <t xml:space="preserve">v0.2</t>
        </is>
      </c>
      <c r="H574" s="15" t="inlineStr">
        <is>
          <t xml:space="preserve">Bible_Journey_Canon_Map_v0_2_Chronicles_Psalms_Job_1Kings.xlsx</t>
        </is>
      </c>
      <c r="I574" s="15" t="inlineStr">
        <is>
          <t xml:space="preserve">Chapter Map</t>
        </is>
      </c>
      <c r="J574" s="15" t="inlineStr">
        <is>
          <t xml:space="preserve">CRS-PSA-028</t>
        </is>
      </c>
      <c r="K574" s="15"/>
      <c r="L574" s="10" t="inlineStr">
        <is>
          <t xml:space="preserve">Mapped</t>
        </is>
      </c>
      <c r="M574" s="15" t="inlineStr">
        <is>
          <t xml:space="preserve">Poetic material; event placement disclosed where a superscription or textual-reuse link is used.</t>
        </is>
      </c>
      <c r="N574" s="15"/>
      <c r="O574" s="15">
        <v>1</v>
      </c>
      <c r="P574" s="10" t="str">
        <f>IF(L574="MISSING","MISSING",IF(O574=1,"PASS","DUPLICATE"))</f>
        <v>PASS</v>
      </c>
    </row>
    <row r="575" ht="22" customHeight="1">
      <c r="A575" s="15" t="inlineStr">
        <is>
          <t xml:space="preserve">Psalms 93</t>
        </is>
      </c>
      <c r="B575" s="15">
        <v>571</v>
      </c>
      <c r="C575" s="15" t="inlineStr">
        <is>
          <t xml:space="preserve">Old Testament</t>
        </is>
      </c>
      <c r="D575" s="15">
        <v>19</v>
      </c>
      <c r="E575" s="15" t="inlineStr">
        <is>
          <t xml:space="preserve">Psalms</t>
        </is>
      </c>
      <c r="F575" s="15">
        <v>93</v>
      </c>
      <c r="G575" s="15" t="inlineStr">
        <is>
          <t xml:space="preserve">v0.2</t>
        </is>
      </c>
      <c r="H575" s="15" t="inlineStr">
        <is>
          <t xml:space="preserve">Bible_Journey_Canon_Map_v0_2_Chronicles_Psalms_Job_1Kings.xlsx</t>
        </is>
      </c>
      <c r="I575" s="15" t="inlineStr">
        <is>
          <t xml:space="preserve">Chapter Map</t>
        </is>
      </c>
      <c r="J575" s="15" t="inlineStr">
        <is>
          <t xml:space="preserve">CRS-PSA-028</t>
        </is>
      </c>
      <c r="K575" s="15"/>
      <c r="L575" s="10" t="inlineStr">
        <is>
          <t xml:space="preserve">Mapped</t>
        </is>
      </c>
      <c r="M575" s="15" t="inlineStr">
        <is>
          <t xml:space="preserve">Poetic material; event placement disclosed where a superscription or textual-reuse link is used.</t>
        </is>
      </c>
      <c r="N575" s="15"/>
      <c r="O575" s="15">
        <v>1</v>
      </c>
      <c r="P575" s="10" t="str">
        <f>IF(L575="MISSING","MISSING",IF(O575=1,"PASS","DUPLICATE"))</f>
        <v>PASS</v>
      </c>
    </row>
    <row r="576" ht="22" customHeight="1">
      <c r="A576" s="15" t="inlineStr">
        <is>
          <t xml:space="preserve">Psalms 94</t>
        </is>
      </c>
      <c r="B576" s="15">
        <v>572</v>
      </c>
      <c r="C576" s="15" t="inlineStr">
        <is>
          <t xml:space="preserve">Old Testament</t>
        </is>
      </c>
      <c r="D576" s="15">
        <v>19</v>
      </c>
      <c r="E576" s="15" t="inlineStr">
        <is>
          <t xml:space="preserve">Psalms</t>
        </is>
      </c>
      <c r="F576" s="15">
        <v>94</v>
      </c>
      <c r="G576" s="15" t="inlineStr">
        <is>
          <t xml:space="preserve">v0.2</t>
        </is>
      </c>
      <c r="H576" s="15" t="inlineStr">
        <is>
          <t xml:space="preserve">Bible_Journey_Canon_Map_v0_2_Chronicles_Psalms_Job_1Kings.xlsx</t>
        </is>
      </c>
      <c r="I576" s="15" t="inlineStr">
        <is>
          <t xml:space="preserve">Chapter Map</t>
        </is>
      </c>
      <c r="J576" s="15" t="inlineStr">
        <is>
          <t xml:space="preserve">CRS-PSA-028</t>
        </is>
      </c>
      <c r="K576" s="15"/>
      <c r="L576" s="10" t="inlineStr">
        <is>
          <t xml:space="preserve">Mapped</t>
        </is>
      </c>
      <c r="M576" s="15" t="inlineStr">
        <is>
          <t xml:space="preserve">Poetic material; event placement disclosed where a superscription or textual-reuse link is used.</t>
        </is>
      </c>
      <c r="N576" s="15"/>
      <c r="O576" s="15">
        <v>1</v>
      </c>
      <c r="P576" s="10" t="str">
        <f>IF(L576="MISSING","MISSING",IF(O576=1,"PASS","DUPLICATE"))</f>
        <v>PASS</v>
      </c>
    </row>
    <row r="577" ht="22" customHeight="1">
      <c r="A577" s="15" t="inlineStr">
        <is>
          <t xml:space="preserve">Psalms 95</t>
        </is>
      </c>
      <c r="B577" s="15">
        <v>573</v>
      </c>
      <c r="C577" s="15" t="inlineStr">
        <is>
          <t xml:space="preserve">Old Testament</t>
        </is>
      </c>
      <c r="D577" s="15">
        <v>19</v>
      </c>
      <c r="E577" s="15" t="inlineStr">
        <is>
          <t xml:space="preserve">Psalms</t>
        </is>
      </c>
      <c r="F577" s="15">
        <v>95</v>
      </c>
      <c r="G577" s="15" t="inlineStr">
        <is>
          <t xml:space="preserve">v0.2</t>
        </is>
      </c>
      <c r="H577" s="15" t="inlineStr">
        <is>
          <t xml:space="preserve">Bible_Journey_Canon_Map_v0_2_Chronicles_Psalms_Job_1Kings.xlsx</t>
        </is>
      </c>
      <c r="I577" s="15" t="inlineStr">
        <is>
          <t xml:space="preserve">Chapter Map</t>
        </is>
      </c>
      <c r="J577" s="15" t="inlineStr">
        <is>
          <t xml:space="preserve">CRS-PSA-028</t>
        </is>
      </c>
      <c r="K577" s="15"/>
      <c r="L577" s="10" t="inlineStr">
        <is>
          <t xml:space="preserve">Mapped</t>
        </is>
      </c>
      <c r="M577" s="15" t="inlineStr">
        <is>
          <t xml:space="preserve">Poetic material; event placement disclosed where a superscription or textual-reuse link is used.</t>
        </is>
      </c>
      <c r="N577" s="15"/>
      <c r="O577" s="15">
        <v>1</v>
      </c>
      <c r="P577" s="10" t="str">
        <f>IF(L577="MISSING","MISSING",IF(O577=1,"PASS","DUPLICATE"))</f>
        <v>PASS</v>
      </c>
    </row>
    <row r="578" ht="22" customHeight="1">
      <c r="A578" s="15" t="inlineStr">
        <is>
          <t xml:space="preserve">Psalms 96</t>
        </is>
      </c>
      <c r="B578" s="15">
        <v>574</v>
      </c>
      <c r="C578" s="15" t="inlineStr">
        <is>
          <t xml:space="preserve">Old Testament</t>
        </is>
      </c>
      <c r="D578" s="15">
        <v>19</v>
      </c>
      <c r="E578" s="15" t="inlineStr">
        <is>
          <t xml:space="preserve">Psalms</t>
        </is>
      </c>
      <c r="F578" s="15">
        <v>96</v>
      </c>
      <c r="G578" s="15" t="inlineStr">
        <is>
          <t xml:space="preserve">v0.2</t>
        </is>
      </c>
      <c r="H578" s="15" t="inlineStr">
        <is>
          <t xml:space="preserve">Bible_Journey_Canon_Map_v0_2_Chronicles_Psalms_Job_1Kings.xlsx</t>
        </is>
      </c>
      <c r="I578" s="15" t="inlineStr">
        <is>
          <t xml:space="preserve">Chapter Map</t>
        </is>
      </c>
      <c r="J578" s="15" t="inlineStr">
        <is>
          <t xml:space="preserve">CRS-PSA-029</t>
        </is>
      </c>
      <c r="K578" s="15"/>
      <c r="L578" s="10" t="inlineStr">
        <is>
          <t xml:space="preserve">Mapped</t>
        </is>
      </c>
      <c r="M578" s="15" t="inlineStr">
        <is>
          <t xml:space="preserve">Poetic material; event placement disclosed where a superscription or textual-reuse link is used.</t>
        </is>
      </c>
      <c r="N578" s="15"/>
      <c r="O578" s="15">
        <v>1</v>
      </c>
      <c r="P578" s="10" t="str">
        <f>IF(L578="MISSING","MISSING",IF(O578=1,"PASS","DUPLICATE"))</f>
        <v>PASS</v>
      </c>
    </row>
    <row r="579" ht="22" customHeight="1">
      <c r="A579" s="15" t="inlineStr">
        <is>
          <t xml:space="preserve">Psalms 97</t>
        </is>
      </c>
      <c r="B579" s="15">
        <v>575</v>
      </c>
      <c r="C579" s="15" t="inlineStr">
        <is>
          <t xml:space="preserve">Old Testament</t>
        </is>
      </c>
      <c r="D579" s="15">
        <v>19</v>
      </c>
      <c r="E579" s="15" t="inlineStr">
        <is>
          <t xml:space="preserve">Psalms</t>
        </is>
      </c>
      <c r="F579" s="15">
        <v>97</v>
      </c>
      <c r="G579" s="15" t="inlineStr">
        <is>
          <t xml:space="preserve">v0.2</t>
        </is>
      </c>
      <c r="H579" s="15" t="inlineStr">
        <is>
          <t xml:space="preserve">Bible_Journey_Canon_Map_v0_2_Chronicles_Psalms_Job_1Kings.xlsx</t>
        </is>
      </c>
      <c r="I579" s="15" t="inlineStr">
        <is>
          <t xml:space="preserve">Chapter Map</t>
        </is>
      </c>
      <c r="J579" s="15" t="inlineStr">
        <is>
          <t xml:space="preserve">CRS-PSA-030</t>
        </is>
      </c>
      <c r="K579" s="15"/>
      <c r="L579" s="10" t="inlineStr">
        <is>
          <t xml:space="preserve">Mapped</t>
        </is>
      </c>
      <c r="M579" s="15" t="inlineStr">
        <is>
          <t xml:space="preserve">Poetic material; event placement disclosed where a superscription or textual-reuse link is used.</t>
        </is>
      </c>
      <c r="N579" s="15"/>
      <c r="O579" s="15">
        <v>1</v>
      </c>
      <c r="P579" s="10" t="str">
        <f>IF(L579="MISSING","MISSING",IF(O579=1,"PASS","DUPLICATE"))</f>
        <v>PASS</v>
      </c>
    </row>
    <row r="580" ht="22" customHeight="1">
      <c r="A580" s="15" t="inlineStr">
        <is>
          <t xml:space="preserve">Psalms 98</t>
        </is>
      </c>
      <c r="B580" s="15">
        <v>576</v>
      </c>
      <c r="C580" s="15" t="inlineStr">
        <is>
          <t xml:space="preserve">Old Testament</t>
        </is>
      </c>
      <c r="D580" s="15">
        <v>19</v>
      </c>
      <c r="E580" s="15" t="inlineStr">
        <is>
          <t xml:space="preserve">Psalms</t>
        </is>
      </c>
      <c r="F580" s="15">
        <v>98</v>
      </c>
      <c r="G580" s="15" t="inlineStr">
        <is>
          <t xml:space="preserve">v0.2</t>
        </is>
      </c>
      <c r="H580" s="15" t="inlineStr">
        <is>
          <t xml:space="preserve">Bible_Journey_Canon_Map_v0_2_Chronicles_Psalms_Job_1Kings.xlsx</t>
        </is>
      </c>
      <c r="I580" s="15" t="inlineStr">
        <is>
          <t xml:space="preserve">Chapter Map</t>
        </is>
      </c>
      <c r="J580" s="15" t="inlineStr">
        <is>
          <t xml:space="preserve">CRS-PSA-030</t>
        </is>
      </c>
      <c r="K580" s="15"/>
      <c r="L580" s="10" t="inlineStr">
        <is>
          <t xml:space="preserve">Mapped</t>
        </is>
      </c>
      <c r="M580" s="15" t="inlineStr">
        <is>
          <t xml:space="preserve">Poetic material; event placement disclosed where a superscription or textual-reuse link is used.</t>
        </is>
      </c>
      <c r="N580" s="15"/>
      <c r="O580" s="15">
        <v>1</v>
      </c>
      <c r="P580" s="10" t="str">
        <f>IF(L580="MISSING","MISSING",IF(O580=1,"PASS","DUPLICATE"))</f>
        <v>PASS</v>
      </c>
    </row>
    <row r="581" ht="22" customHeight="1">
      <c r="A581" s="15" t="inlineStr">
        <is>
          <t xml:space="preserve">Psalms 99</t>
        </is>
      </c>
      <c r="B581" s="15">
        <v>577</v>
      </c>
      <c r="C581" s="15" t="inlineStr">
        <is>
          <t xml:space="preserve">Old Testament</t>
        </is>
      </c>
      <c r="D581" s="15">
        <v>19</v>
      </c>
      <c r="E581" s="15" t="inlineStr">
        <is>
          <t xml:space="preserve">Psalms</t>
        </is>
      </c>
      <c r="F581" s="15">
        <v>99</v>
      </c>
      <c r="G581" s="15" t="inlineStr">
        <is>
          <t xml:space="preserve">v0.2</t>
        </is>
      </c>
      <c r="H581" s="15" t="inlineStr">
        <is>
          <t xml:space="preserve">Bible_Journey_Canon_Map_v0_2_Chronicles_Psalms_Job_1Kings.xlsx</t>
        </is>
      </c>
      <c r="I581" s="15" t="inlineStr">
        <is>
          <t xml:space="preserve">Chapter Map</t>
        </is>
      </c>
      <c r="J581" s="15" t="inlineStr">
        <is>
          <t xml:space="preserve">CRS-PSA-030</t>
        </is>
      </c>
      <c r="K581" s="15"/>
      <c r="L581" s="10" t="inlineStr">
        <is>
          <t xml:space="preserve">Mapped</t>
        </is>
      </c>
      <c r="M581" s="15" t="inlineStr">
        <is>
          <t xml:space="preserve">Poetic material; event placement disclosed where a superscription or textual-reuse link is used.</t>
        </is>
      </c>
      <c r="N581" s="15"/>
      <c r="O581" s="15">
        <v>1</v>
      </c>
      <c r="P581" s="10" t="str">
        <f>IF(L581="MISSING","MISSING",IF(O581=1,"PASS","DUPLICATE"))</f>
        <v>PASS</v>
      </c>
    </row>
    <row r="582" ht="22" customHeight="1">
      <c r="A582" s="15" t="inlineStr">
        <is>
          <t xml:space="preserve">Psalms 100</t>
        </is>
      </c>
      <c r="B582" s="15">
        <v>578</v>
      </c>
      <c r="C582" s="15" t="inlineStr">
        <is>
          <t xml:space="preserve">Old Testament</t>
        </is>
      </c>
      <c r="D582" s="15">
        <v>19</v>
      </c>
      <c r="E582" s="15" t="inlineStr">
        <is>
          <t xml:space="preserve">Psalms</t>
        </is>
      </c>
      <c r="F582" s="15">
        <v>100</v>
      </c>
      <c r="G582" s="15" t="inlineStr">
        <is>
          <t xml:space="preserve">v0.2</t>
        </is>
      </c>
      <c r="H582" s="15" t="inlineStr">
        <is>
          <t xml:space="preserve">Bible_Journey_Canon_Map_v0_2_Chronicles_Psalms_Job_1Kings.xlsx</t>
        </is>
      </c>
      <c r="I582" s="15" t="inlineStr">
        <is>
          <t xml:space="preserve">Chapter Map</t>
        </is>
      </c>
      <c r="J582" s="15" t="inlineStr">
        <is>
          <t xml:space="preserve">CRS-PSA-030</t>
        </is>
      </c>
      <c r="K582" s="15"/>
      <c r="L582" s="10" t="inlineStr">
        <is>
          <t xml:space="preserve">Mapped</t>
        </is>
      </c>
      <c r="M582" s="15" t="inlineStr">
        <is>
          <t xml:space="preserve">Poetic material; event placement disclosed where a superscription or textual-reuse link is used.</t>
        </is>
      </c>
      <c r="N582" s="15"/>
      <c r="O582" s="15">
        <v>1</v>
      </c>
      <c r="P582" s="10" t="str">
        <f>IF(L582="MISSING","MISSING",IF(O582=1,"PASS","DUPLICATE"))</f>
        <v>PASS</v>
      </c>
    </row>
    <row r="583" ht="22" customHeight="1">
      <c r="A583" s="15" t="inlineStr">
        <is>
          <t xml:space="preserve">Psalms 101</t>
        </is>
      </c>
      <c r="B583" s="15">
        <v>579</v>
      </c>
      <c r="C583" s="15" t="inlineStr">
        <is>
          <t xml:space="preserve">Old Testament</t>
        </is>
      </c>
      <c r="D583" s="15">
        <v>19</v>
      </c>
      <c r="E583" s="15" t="inlineStr">
        <is>
          <t xml:space="preserve">Psalms</t>
        </is>
      </c>
      <c r="F583" s="15">
        <v>101</v>
      </c>
      <c r="G583" s="15" t="inlineStr">
        <is>
          <t xml:space="preserve">v0.2</t>
        </is>
      </c>
      <c r="H583" s="15" t="inlineStr">
        <is>
          <t xml:space="preserve">Bible_Journey_Canon_Map_v0_2_Chronicles_Psalms_Job_1Kings.xlsx</t>
        </is>
      </c>
      <c r="I583" s="15" t="inlineStr">
        <is>
          <t xml:space="preserve">Chapter Map</t>
        </is>
      </c>
      <c r="J583" s="15" t="inlineStr">
        <is>
          <t xml:space="preserve">CRS-PSA-030</t>
        </is>
      </c>
      <c r="K583" s="15"/>
      <c r="L583" s="10" t="inlineStr">
        <is>
          <t xml:space="preserve">Mapped</t>
        </is>
      </c>
      <c r="M583" s="15" t="inlineStr">
        <is>
          <t xml:space="preserve">Poetic material; event placement disclosed where a superscription or textual-reuse link is used.</t>
        </is>
      </c>
      <c r="N583" s="15"/>
      <c r="O583" s="15">
        <v>1</v>
      </c>
      <c r="P583" s="10" t="str">
        <f>IF(L583="MISSING","MISSING",IF(O583=1,"PASS","DUPLICATE"))</f>
        <v>PASS</v>
      </c>
    </row>
    <row r="584" ht="22" customHeight="1">
      <c r="A584" s="15" t="inlineStr">
        <is>
          <t xml:space="preserve">Psalms 102</t>
        </is>
      </c>
      <c r="B584" s="15">
        <v>580</v>
      </c>
      <c r="C584" s="15" t="inlineStr">
        <is>
          <t xml:space="preserve">Old Testament</t>
        </is>
      </c>
      <c r="D584" s="15">
        <v>19</v>
      </c>
      <c r="E584" s="15" t="inlineStr">
        <is>
          <t xml:space="preserve">Psalms</t>
        </is>
      </c>
      <c r="F584" s="15">
        <v>102</v>
      </c>
      <c r="G584" s="15" t="inlineStr">
        <is>
          <t xml:space="preserve">v0.2</t>
        </is>
      </c>
      <c r="H584" s="15" t="inlineStr">
        <is>
          <t xml:space="preserve">Bible_Journey_Canon_Map_v0_2_Chronicles_Psalms_Job_1Kings.xlsx</t>
        </is>
      </c>
      <c r="I584" s="15" t="inlineStr">
        <is>
          <t xml:space="preserve">Chapter Map</t>
        </is>
      </c>
      <c r="J584" s="15" t="inlineStr">
        <is>
          <t xml:space="preserve">CRS-PSA-030</t>
        </is>
      </c>
      <c r="K584" s="15"/>
      <c r="L584" s="10" t="inlineStr">
        <is>
          <t xml:space="preserve">Mapped</t>
        </is>
      </c>
      <c r="M584" s="15" t="inlineStr">
        <is>
          <t xml:space="preserve">Poetic material; event placement disclosed where a superscription or textual-reuse link is used.</t>
        </is>
      </c>
      <c r="N584" s="15"/>
      <c r="O584" s="15">
        <v>1</v>
      </c>
      <c r="P584" s="10" t="str">
        <f>IF(L584="MISSING","MISSING",IF(O584=1,"PASS","DUPLICATE"))</f>
        <v>PASS</v>
      </c>
    </row>
    <row r="585" ht="22" customHeight="1">
      <c r="A585" s="15" t="inlineStr">
        <is>
          <t xml:space="preserve">Psalms 103</t>
        </is>
      </c>
      <c r="B585" s="15">
        <v>581</v>
      </c>
      <c r="C585" s="15" t="inlineStr">
        <is>
          <t xml:space="preserve">Old Testament</t>
        </is>
      </c>
      <c r="D585" s="15">
        <v>19</v>
      </c>
      <c r="E585" s="15" t="inlineStr">
        <is>
          <t xml:space="preserve">Psalms</t>
        </is>
      </c>
      <c r="F585" s="15">
        <v>103</v>
      </c>
      <c r="G585" s="15" t="inlineStr">
        <is>
          <t xml:space="preserve">v0.2</t>
        </is>
      </c>
      <c r="H585" s="15" t="inlineStr">
        <is>
          <t xml:space="preserve">Bible_Journey_Canon_Map_v0_2_Chronicles_Psalms_Job_1Kings.xlsx</t>
        </is>
      </c>
      <c r="I585" s="15" t="inlineStr">
        <is>
          <t xml:space="preserve">Chapter Map</t>
        </is>
      </c>
      <c r="J585" s="15" t="inlineStr">
        <is>
          <t xml:space="preserve">CRS-PSA-030</t>
        </is>
      </c>
      <c r="K585" s="15"/>
      <c r="L585" s="10" t="inlineStr">
        <is>
          <t xml:space="preserve">Mapped</t>
        </is>
      </c>
      <c r="M585" s="15" t="inlineStr">
        <is>
          <t xml:space="preserve">Poetic material; event placement disclosed where a superscription or textual-reuse link is used.</t>
        </is>
      </c>
      <c r="N585" s="15"/>
      <c r="O585" s="15">
        <v>1</v>
      </c>
      <c r="P585" s="10" t="str">
        <f>IF(L585="MISSING","MISSING",IF(O585=1,"PASS","DUPLICATE"))</f>
        <v>PASS</v>
      </c>
    </row>
    <row r="586" ht="22" customHeight="1">
      <c r="A586" s="15" t="inlineStr">
        <is>
          <t xml:space="preserve">Psalms 104</t>
        </is>
      </c>
      <c r="B586" s="15">
        <v>582</v>
      </c>
      <c r="C586" s="15" t="inlineStr">
        <is>
          <t xml:space="preserve">Old Testament</t>
        </is>
      </c>
      <c r="D586" s="15">
        <v>19</v>
      </c>
      <c r="E586" s="15" t="inlineStr">
        <is>
          <t xml:space="preserve">Psalms</t>
        </is>
      </c>
      <c r="F586" s="15">
        <v>104</v>
      </c>
      <c r="G586" s="15" t="inlineStr">
        <is>
          <t xml:space="preserve">v0.2</t>
        </is>
      </c>
      <c r="H586" s="15" t="inlineStr">
        <is>
          <t xml:space="preserve">Bible_Journey_Canon_Map_v0_2_Chronicles_Psalms_Job_1Kings.xlsx</t>
        </is>
      </c>
      <c r="I586" s="15" t="inlineStr">
        <is>
          <t xml:space="preserve">Chapter Map</t>
        </is>
      </c>
      <c r="J586" s="15" t="inlineStr">
        <is>
          <t xml:space="preserve">CRS-PSA-030</t>
        </is>
      </c>
      <c r="K586" s="15"/>
      <c r="L586" s="10" t="inlineStr">
        <is>
          <t xml:space="preserve">Mapped</t>
        </is>
      </c>
      <c r="M586" s="15" t="inlineStr">
        <is>
          <t xml:space="preserve">Poetic material; event placement disclosed where a superscription or textual-reuse link is used.</t>
        </is>
      </c>
      <c r="N586" s="15"/>
      <c r="O586" s="15">
        <v>1</v>
      </c>
      <c r="P586" s="10" t="str">
        <f>IF(L586="MISSING","MISSING",IF(O586=1,"PASS","DUPLICATE"))</f>
        <v>PASS</v>
      </c>
    </row>
    <row r="587" ht="22" customHeight="1">
      <c r="A587" s="15" t="inlineStr">
        <is>
          <t xml:space="preserve">Psalms 105</t>
        </is>
      </c>
      <c r="B587" s="15">
        <v>583</v>
      </c>
      <c r="C587" s="15" t="inlineStr">
        <is>
          <t xml:space="preserve">Old Testament</t>
        </is>
      </c>
      <c r="D587" s="15">
        <v>19</v>
      </c>
      <c r="E587" s="15" t="inlineStr">
        <is>
          <t xml:space="preserve">Psalms</t>
        </is>
      </c>
      <c r="F587" s="15">
        <v>105</v>
      </c>
      <c r="G587" s="15" t="inlineStr">
        <is>
          <t xml:space="preserve">v0.2</t>
        </is>
      </c>
      <c r="H587" s="15" t="inlineStr">
        <is>
          <t xml:space="preserve">Bible_Journey_Canon_Map_v0_2_Chronicles_Psalms_Job_1Kings.xlsx</t>
        </is>
      </c>
      <c r="I587" s="15" t="inlineStr">
        <is>
          <t xml:space="preserve">Chapter Map</t>
        </is>
      </c>
      <c r="J587" s="15" t="inlineStr">
        <is>
          <t xml:space="preserve">CRS-PSA-031</t>
        </is>
      </c>
      <c r="K587" s="15"/>
      <c r="L587" s="10" t="inlineStr">
        <is>
          <t xml:space="preserve">Mapped</t>
        </is>
      </c>
      <c r="M587" s="15" t="inlineStr">
        <is>
          <t xml:space="preserve">Poetic material; event placement disclosed where a superscription or textual-reuse link is used.</t>
        </is>
      </c>
      <c r="N587" s="15"/>
      <c r="O587" s="15">
        <v>1</v>
      </c>
      <c r="P587" s="10" t="str">
        <f>IF(L587="MISSING","MISSING",IF(O587=1,"PASS","DUPLICATE"))</f>
        <v>PASS</v>
      </c>
    </row>
    <row r="588" ht="22" customHeight="1">
      <c r="A588" s="15" t="inlineStr">
        <is>
          <t xml:space="preserve">Psalms 106</t>
        </is>
      </c>
      <c r="B588" s="15">
        <v>584</v>
      </c>
      <c r="C588" s="15" t="inlineStr">
        <is>
          <t xml:space="preserve">Old Testament</t>
        </is>
      </c>
      <c r="D588" s="15">
        <v>19</v>
      </c>
      <c r="E588" s="15" t="inlineStr">
        <is>
          <t xml:space="preserve">Psalms</t>
        </is>
      </c>
      <c r="F588" s="15">
        <v>106</v>
      </c>
      <c r="G588" s="15" t="inlineStr">
        <is>
          <t xml:space="preserve">v0.2</t>
        </is>
      </c>
      <c r="H588" s="15" t="inlineStr">
        <is>
          <t xml:space="preserve">Bible_Journey_Canon_Map_v0_2_Chronicles_Psalms_Job_1Kings.xlsx</t>
        </is>
      </c>
      <c r="I588" s="15" t="inlineStr">
        <is>
          <t xml:space="preserve">Chapter Map</t>
        </is>
      </c>
      <c r="J588" s="15" t="inlineStr">
        <is>
          <t xml:space="preserve">CRS-PSA-032</t>
        </is>
      </c>
      <c r="K588" s="15"/>
      <c r="L588" s="10" t="inlineStr">
        <is>
          <t xml:space="preserve">Mapped</t>
        </is>
      </c>
      <c r="M588" s="15" t="inlineStr">
        <is>
          <t xml:space="preserve">Poetic material; event placement disclosed where a superscription or textual-reuse link is used.</t>
        </is>
      </c>
      <c r="N588" s="15"/>
      <c r="O588" s="15">
        <v>1</v>
      </c>
      <c r="P588" s="10" t="str">
        <f>IF(L588="MISSING","MISSING",IF(O588=1,"PASS","DUPLICATE"))</f>
        <v>PASS</v>
      </c>
    </row>
    <row r="589" ht="22" customHeight="1">
      <c r="A589" s="15" t="inlineStr">
        <is>
          <t xml:space="preserve">Psalms 107</t>
        </is>
      </c>
      <c r="B589" s="15">
        <v>585</v>
      </c>
      <c r="C589" s="15" t="inlineStr">
        <is>
          <t xml:space="preserve">Old Testament</t>
        </is>
      </c>
      <c r="D589" s="15">
        <v>19</v>
      </c>
      <c r="E589" s="15" t="inlineStr">
        <is>
          <t xml:space="preserve">Psalms</t>
        </is>
      </c>
      <c r="F589" s="15">
        <v>107</v>
      </c>
      <c r="G589" s="15" t="inlineStr">
        <is>
          <t xml:space="preserve">v0.2</t>
        </is>
      </c>
      <c r="H589" s="15" t="inlineStr">
        <is>
          <t xml:space="preserve">Bible_Journey_Canon_Map_v0_2_Chronicles_Psalms_Job_1Kings.xlsx</t>
        </is>
      </c>
      <c r="I589" s="15" t="inlineStr">
        <is>
          <t xml:space="preserve">Chapter Map</t>
        </is>
      </c>
      <c r="J589" s="15" t="inlineStr">
        <is>
          <t xml:space="preserve">CRS-PSA-033</t>
        </is>
      </c>
      <c r="K589" s="15"/>
      <c r="L589" s="10" t="inlineStr">
        <is>
          <t xml:space="preserve">Mapped</t>
        </is>
      </c>
      <c r="M589" s="15" t="inlineStr">
        <is>
          <t xml:space="preserve">Poetic material; event placement disclosed where a superscription or textual-reuse link is used.</t>
        </is>
      </c>
      <c r="N589" s="15"/>
      <c r="O589" s="15">
        <v>1</v>
      </c>
      <c r="P589" s="10" t="str">
        <f>IF(L589="MISSING","MISSING",IF(O589=1,"PASS","DUPLICATE"))</f>
        <v>PASS</v>
      </c>
    </row>
    <row r="590" ht="22" customHeight="1">
      <c r="A590" s="15" t="inlineStr">
        <is>
          <t xml:space="preserve">Psalms 108</t>
        </is>
      </c>
      <c r="B590" s="15">
        <v>586</v>
      </c>
      <c r="C590" s="15" t="inlineStr">
        <is>
          <t xml:space="preserve">Old Testament</t>
        </is>
      </c>
      <c r="D590" s="15">
        <v>19</v>
      </c>
      <c r="E590" s="15" t="inlineStr">
        <is>
          <t xml:space="preserve">Psalms</t>
        </is>
      </c>
      <c r="F590" s="15">
        <v>108</v>
      </c>
      <c r="G590" s="15" t="inlineStr">
        <is>
          <t xml:space="preserve">v0.2</t>
        </is>
      </c>
      <c r="H590" s="15" t="inlineStr">
        <is>
          <t xml:space="preserve">Bible_Journey_Canon_Map_v0_2_Chronicles_Psalms_Job_1Kings.xlsx</t>
        </is>
      </c>
      <c r="I590" s="15" t="inlineStr">
        <is>
          <t xml:space="preserve">Chapter Map</t>
        </is>
      </c>
      <c r="J590" s="15" t="inlineStr">
        <is>
          <t xml:space="preserve">CRS-PSA-033</t>
        </is>
      </c>
      <c r="K590" s="15"/>
      <c r="L590" s="10" t="inlineStr">
        <is>
          <t xml:space="preserve">Mapped</t>
        </is>
      </c>
      <c r="M590" s="15" t="inlineStr">
        <is>
          <t xml:space="preserve">Poetic material; event placement disclosed where a superscription or textual-reuse link is used.</t>
        </is>
      </c>
      <c r="N590" s="15"/>
      <c r="O590" s="15">
        <v>1</v>
      </c>
      <c r="P590" s="10" t="str">
        <f>IF(L590="MISSING","MISSING",IF(O590=1,"PASS","DUPLICATE"))</f>
        <v>PASS</v>
      </c>
    </row>
    <row r="591" ht="22" customHeight="1">
      <c r="A591" s="15" t="inlineStr">
        <is>
          <t xml:space="preserve">Psalms 109</t>
        </is>
      </c>
      <c r="B591" s="15">
        <v>587</v>
      </c>
      <c r="C591" s="15" t="inlineStr">
        <is>
          <t xml:space="preserve">Old Testament</t>
        </is>
      </c>
      <c r="D591" s="15">
        <v>19</v>
      </c>
      <c r="E591" s="15" t="inlineStr">
        <is>
          <t xml:space="preserve">Psalms</t>
        </is>
      </c>
      <c r="F591" s="15">
        <v>109</v>
      </c>
      <c r="G591" s="15" t="inlineStr">
        <is>
          <t xml:space="preserve">v0.2</t>
        </is>
      </c>
      <c r="H591" s="15" t="inlineStr">
        <is>
          <t xml:space="preserve">Bible_Journey_Canon_Map_v0_2_Chronicles_Psalms_Job_1Kings.xlsx</t>
        </is>
      </c>
      <c r="I591" s="15" t="inlineStr">
        <is>
          <t xml:space="preserve">Chapter Map</t>
        </is>
      </c>
      <c r="J591" s="15" t="inlineStr">
        <is>
          <t xml:space="preserve">CRS-PSA-033</t>
        </is>
      </c>
      <c r="K591" s="15"/>
      <c r="L591" s="10" t="inlineStr">
        <is>
          <t xml:space="preserve">Mapped</t>
        </is>
      </c>
      <c r="M591" s="15" t="inlineStr">
        <is>
          <t xml:space="preserve">Poetic material; event placement disclosed where a superscription or textual-reuse link is used.</t>
        </is>
      </c>
      <c r="N591" s="15"/>
      <c r="O591" s="15">
        <v>1</v>
      </c>
      <c r="P591" s="10" t="str">
        <f>IF(L591="MISSING","MISSING",IF(O591=1,"PASS","DUPLICATE"))</f>
        <v>PASS</v>
      </c>
    </row>
    <row r="592" ht="22" customHeight="1">
      <c r="A592" s="15" t="inlineStr">
        <is>
          <t xml:space="preserve">Psalms 110</t>
        </is>
      </c>
      <c r="B592" s="15">
        <v>588</v>
      </c>
      <c r="C592" s="15" t="inlineStr">
        <is>
          <t xml:space="preserve">Old Testament</t>
        </is>
      </c>
      <c r="D592" s="15">
        <v>19</v>
      </c>
      <c r="E592" s="15" t="inlineStr">
        <is>
          <t xml:space="preserve">Psalms</t>
        </is>
      </c>
      <c r="F592" s="15">
        <v>110</v>
      </c>
      <c r="G592" s="15" t="inlineStr">
        <is>
          <t xml:space="preserve">v0.2</t>
        </is>
      </c>
      <c r="H592" s="15" t="inlineStr">
        <is>
          <t xml:space="preserve">Bible_Journey_Canon_Map_v0_2_Chronicles_Psalms_Job_1Kings.xlsx</t>
        </is>
      </c>
      <c r="I592" s="15" t="inlineStr">
        <is>
          <t xml:space="preserve">Chapter Map</t>
        </is>
      </c>
      <c r="J592" s="15" t="inlineStr">
        <is>
          <t xml:space="preserve">CRS-PSA-033</t>
        </is>
      </c>
      <c r="K592" s="15"/>
      <c r="L592" s="10" t="inlineStr">
        <is>
          <t xml:space="preserve">Mapped</t>
        </is>
      </c>
      <c r="M592" s="15" t="inlineStr">
        <is>
          <t xml:space="preserve">Poetic material; event placement disclosed where a superscription or textual-reuse link is used.</t>
        </is>
      </c>
      <c r="N592" s="15"/>
      <c r="O592" s="15">
        <v>1</v>
      </c>
      <c r="P592" s="10" t="str">
        <f>IF(L592="MISSING","MISSING",IF(O592=1,"PASS","DUPLICATE"))</f>
        <v>PASS</v>
      </c>
    </row>
    <row r="593" ht="22" customHeight="1">
      <c r="A593" s="15" t="inlineStr">
        <is>
          <t xml:space="preserve">Psalms 111</t>
        </is>
      </c>
      <c r="B593" s="15">
        <v>589</v>
      </c>
      <c r="C593" s="15" t="inlineStr">
        <is>
          <t xml:space="preserve">Old Testament</t>
        </is>
      </c>
      <c r="D593" s="15">
        <v>19</v>
      </c>
      <c r="E593" s="15" t="inlineStr">
        <is>
          <t xml:space="preserve">Psalms</t>
        </is>
      </c>
      <c r="F593" s="15">
        <v>111</v>
      </c>
      <c r="G593" s="15" t="inlineStr">
        <is>
          <t xml:space="preserve">v0.2</t>
        </is>
      </c>
      <c r="H593" s="15" t="inlineStr">
        <is>
          <t xml:space="preserve">Bible_Journey_Canon_Map_v0_2_Chronicles_Psalms_Job_1Kings.xlsx</t>
        </is>
      </c>
      <c r="I593" s="15" t="inlineStr">
        <is>
          <t xml:space="preserve">Chapter Map</t>
        </is>
      </c>
      <c r="J593" s="15" t="inlineStr">
        <is>
          <t xml:space="preserve">CRS-PSA-033</t>
        </is>
      </c>
      <c r="K593" s="15"/>
      <c r="L593" s="10" t="inlineStr">
        <is>
          <t xml:space="preserve">Mapped</t>
        </is>
      </c>
      <c r="M593" s="15" t="inlineStr">
        <is>
          <t xml:space="preserve">Poetic material; event placement disclosed where a superscription or textual-reuse link is used.</t>
        </is>
      </c>
      <c r="N593" s="15"/>
      <c r="O593" s="15">
        <v>1</v>
      </c>
      <c r="P593" s="10" t="str">
        <f>IF(L593="MISSING","MISSING",IF(O593=1,"PASS","DUPLICATE"))</f>
        <v>PASS</v>
      </c>
    </row>
    <row r="594" ht="22" customHeight="1">
      <c r="A594" s="15" t="inlineStr">
        <is>
          <t xml:space="preserve">Psalms 112</t>
        </is>
      </c>
      <c r="B594" s="15">
        <v>590</v>
      </c>
      <c r="C594" s="15" t="inlineStr">
        <is>
          <t xml:space="preserve">Old Testament</t>
        </is>
      </c>
      <c r="D594" s="15">
        <v>19</v>
      </c>
      <c r="E594" s="15" t="inlineStr">
        <is>
          <t xml:space="preserve">Psalms</t>
        </is>
      </c>
      <c r="F594" s="15">
        <v>112</v>
      </c>
      <c r="G594" s="15" t="inlineStr">
        <is>
          <t xml:space="preserve">v0.2</t>
        </is>
      </c>
      <c r="H594" s="15" t="inlineStr">
        <is>
          <t xml:space="preserve">Bible_Journey_Canon_Map_v0_2_Chronicles_Psalms_Job_1Kings.xlsx</t>
        </is>
      </c>
      <c r="I594" s="15" t="inlineStr">
        <is>
          <t xml:space="preserve">Chapter Map</t>
        </is>
      </c>
      <c r="J594" s="15" t="inlineStr">
        <is>
          <t xml:space="preserve">CRS-PSA-033</t>
        </is>
      </c>
      <c r="K594" s="15"/>
      <c r="L594" s="10" t="inlineStr">
        <is>
          <t xml:space="preserve">Mapped</t>
        </is>
      </c>
      <c r="M594" s="15" t="inlineStr">
        <is>
          <t xml:space="preserve">Poetic material; event placement disclosed where a superscription or textual-reuse link is used.</t>
        </is>
      </c>
      <c r="N594" s="15"/>
      <c r="O594" s="15">
        <v>1</v>
      </c>
      <c r="P594" s="10" t="str">
        <f>IF(L594="MISSING","MISSING",IF(O594=1,"PASS","DUPLICATE"))</f>
        <v>PASS</v>
      </c>
    </row>
    <row r="595" ht="22" customHeight="1">
      <c r="A595" s="15" t="inlineStr">
        <is>
          <t xml:space="preserve">Psalms 113</t>
        </is>
      </c>
      <c r="B595" s="15">
        <v>591</v>
      </c>
      <c r="C595" s="15" t="inlineStr">
        <is>
          <t xml:space="preserve">Old Testament</t>
        </is>
      </c>
      <c r="D595" s="15">
        <v>19</v>
      </c>
      <c r="E595" s="15" t="inlineStr">
        <is>
          <t xml:space="preserve">Psalms</t>
        </is>
      </c>
      <c r="F595" s="15">
        <v>113</v>
      </c>
      <c r="G595" s="15" t="inlineStr">
        <is>
          <t xml:space="preserve">v0.2</t>
        </is>
      </c>
      <c r="H595" s="15" t="inlineStr">
        <is>
          <t xml:space="preserve">Bible_Journey_Canon_Map_v0_2_Chronicles_Psalms_Job_1Kings.xlsx</t>
        </is>
      </c>
      <c r="I595" s="15" t="inlineStr">
        <is>
          <t xml:space="preserve">Chapter Map</t>
        </is>
      </c>
      <c r="J595" s="15" t="inlineStr">
        <is>
          <t xml:space="preserve">CRS-PSA-033</t>
        </is>
      </c>
      <c r="K595" s="15"/>
      <c r="L595" s="10" t="inlineStr">
        <is>
          <t xml:space="preserve">Mapped</t>
        </is>
      </c>
      <c r="M595" s="15" t="inlineStr">
        <is>
          <t xml:space="preserve">Poetic material; event placement disclosed where a superscription or textual-reuse link is used.</t>
        </is>
      </c>
      <c r="N595" s="15"/>
      <c r="O595" s="15">
        <v>1</v>
      </c>
      <c r="P595" s="10" t="str">
        <f>IF(L595="MISSING","MISSING",IF(O595=1,"PASS","DUPLICATE"))</f>
        <v>PASS</v>
      </c>
    </row>
    <row r="596" ht="22" customHeight="1">
      <c r="A596" s="15" t="inlineStr">
        <is>
          <t xml:space="preserve">Psalms 114</t>
        </is>
      </c>
      <c r="B596" s="15">
        <v>592</v>
      </c>
      <c r="C596" s="15" t="inlineStr">
        <is>
          <t xml:space="preserve">Old Testament</t>
        </is>
      </c>
      <c r="D596" s="15">
        <v>19</v>
      </c>
      <c r="E596" s="15" t="inlineStr">
        <is>
          <t xml:space="preserve">Psalms</t>
        </is>
      </c>
      <c r="F596" s="15">
        <v>114</v>
      </c>
      <c r="G596" s="15" t="inlineStr">
        <is>
          <t xml:space="preserve">v0.2</t>
        </is>
      </c>
      <c r="H596" s="15" t="inlineStr">
        <is>
          <t xml:space="preserve">Bible_Journey_Canon_Map_v0_2_Chronicles_Psalms_Job_1Kings.xlsx</t>
        </is>
      </c>
      <c r="I596" s="15" t="inlineStr">
        <is>
          <t xml:space="preserve">Chapter Map</t>
        </is>
      </c>
      <c r="J596" s="15" t="inlineStr">
        <is>
          <t xml:space="preserve">CRS-PSA-033</t>
        </is>
      </c>
      <c r="K596" s="15"/>
      <c r="L596" s="10" t="inlineStr">
        <is>
          <t xml:space="preserve">Mapped</t>
        </is>
      </c>
      <c r="M596" s="15" t="inlineStr">
        <is>
          <t xml:space="preserve">Poetic material; event placement disclosed where a superscription or textual-reuse link is used.</t>
        </is>
      </c>
      <c r="N596" s="15"/>
      <c r="O596" s="15">
        <v>1</v>
      </c>
      <c r="P596" s="10" t="str">
        <f>IF(L596="MISSING","MISSING",IF(O596=1,"PASS","DUPLICATE"))</f>
        <v>PASS</v>
      </c>
    </row>
    <row r="597" ht="22" customHeight="1">
      <c r="A597" s="15" t="inlineStr">
        <is>
          <t xml:space="preserve">Psalms 115</t>
        </is>
      </c>
      <c r="B597" s="15">
        <v>593</v>
      </c>
      <c r="C597" s="15" t="inlineStr">
        <is>
          <t xml:space="preserve">Old Testament</t>
        </is>
      </c>
      <c r="D597" s="15">
        <v>19</v>
      </c>
      <c r="E597" s="15" t="inlineStr">
        <is>
          <t xml:space="preserve">Psalms</t>
        </is>
      </c>
      <c r="F597" s="15">
        <v>115</v>
      </c>
      <c r="G597" s="15" t="inlineStr">
        <is>
          <t xml:space="preserve">v0.2</t>
        </is>
      </c>
      <c r="H597" s="15" t="inlineStr">
        <is>
          <t xml:space="preserve">Bible_Journey_Canon_Map_v0_2_Chronicles_Psalms_Job_1Kings.xlsx</t>
        </is>
      </c>
      <c r="I597" s="15" t="inlineStr">
        <is>
          <t xml:space="preserve">Chapter Map</t>
        </is>
      </c>
      <c r="J597" s="15" t="inlineStr">
        <is>
          <t xml:space="preserve">CRS-PSA-033</t>
        </is>
      </c>
      <c r="K597" s="15"/>
      <c r="L597" s="10" t="inlineStr">
        <is>
          <t xml:space="preserve">Mapped</t>
        </is>
      </c>
      <c r="M597" s="15" t="inlineStr">
        <is>
          <t xml:space="preserve">Poetic material; event placement disclosed where a superscription or textual-reuse link is used.</t>
        </is>
      </c>
      <c r="N597" s="15"/>
      <c r="O597" s="15">
        <v>1</v>
      </c>
      <c r="P597" s="10" t="str">
        <f>IF(L597="MISSING","MISSING",IF(O597=1,"PASS","DUPLICATE"))</f>
        <v>PASS</v>
      </c>
    </row>
    <row r="598" ht="22" customHeight="1">
      <c r="A598" s="15" t="inlineStr">
        <is>
          <t xml:space="preserve">Psalms 116</t>
        </is>
      </c>
      <c r="B598" s="15">
        <v>594</v>
      </c>
      <c r="C598" s="15" t="inlineStr">
        <is>
          <t xml:space="preserve">Old Testament</t>
        </is>
      </c>
      <c r="D598" s="15">
        <v>19</v>
      </c>
      <c r="E598" s="15" t="inlineStr">
        <is>
          <t xml:space="preserve">Psalms</t>
        </is>
      </c>
      <c r="F598" s="15">
        <v>116</v>
      </c>
      <c r="G598" s="15" t="inlineStr">
        <is>
          <t xml:space="preserve">v0.2</t>
        </is>
      </c>
      <c r="H598" s="15" t="inlineStr">
        <is>
          <t xml:space="preserve">Bible_Journey_Canon_Map_v0_2_Chronicles_Psalms_Job_1Kings.xlsx</t>
        </is>
      </c>
      <c r="I598" s="15" t="inlineStr">
        <is>
          <t xml:space="preserve">Chapter Map</t>
        </is>
      </c>
      <c r="J598" s="15" t="inlineStr">
        <is>
          <t xml:space="preserve">CRS-PSA-033</t>
        </is>
      </c>
      <c r="K598" s="15"/>
      <c r="L598" s="10" t="inlineStr">
        <is>
          <t xml:space="preserve">Mapped</t>
        </is>
      </c>
      <c r="M598" s="15" t="inlineStr">
        <is>
          <t xml:space="preserve">Poetic material; event placement disclosed where a superscription or textual-reuse link is used.</t>
        </is>
      </c>
      <c r="N598" s="15"/>
      <c r="O598" s="15">
        <v>1</v>
      </c>
      <c r="P598" s="10" t="str">
        <f>IF(L598="MISSING","MISSING",IF(O598=1,"PASS","DUPLICATE"))</f>
        <v>PASS</v>
      </c>
    </row>
    <row r="599" ht="22" customHeight="1">
      <c r="A599" s="15" t="inlineStr">
        <is>
          <t xml:space="preserve">Psalms 117</t>
        </is>
      </c>
      <c r="B599" s="15">
        <v>595</v>
      </c>
      <c r="C599" s="15" t="inlineStr">
        <is>
          <t xml:space="preserve">Old Testament</t>
        </is>
      </c>
      <c r="D599" s="15">
        <v>19</v>
      </c>
      <c r="E599" s="15" t="inlineStr">
        <is>
          <t xml:space="preserve">Psalms</t>
        </is>
      </c>
      <c r="F599" s="15">
        <v>117</v>
      </c>
      <c r="G599" s="15" t="inlineStr">
        <is>
          <t xml:space="preserve">v0.2</t>
        </is>
      </c>
      <c r="H599" s="15" t="inlineStr">
        <is>
          <t xml:space="preserve">Bible_Journey_Canon_Map_v0_2_Chronicles_Psalms_Job_1Kings.xlsx</t>
        </is>
      </c>
      <c r="I599" s="15" t="inlineStr">
        <is>
          <t xml:space="preserve">Chapter Map</t>
        </is>
      </c>
      <c r="J599" s="15" t="inlineStr">
        <is>
          <t xml:space="preserve">CRS-PSA-033</t>
        </is>
      </c>
      <c r="K599" s="15"/>
      <c r="L599" s="10" t="inlineStr">
        <is>
          <t xml:space="preserve">Mapped</t>
        </is>
      </c>
      <c r="M599" s="15" t="inlineStr">
        <is>
          <t xml:space="preserve">Poetic material; event placement disclosed where a superscription or textual-reuse link is used.</t>
        </is>
      </c>
      <c r="N599" s="15"/>
      <c r="O599" s="15">
        <v>1</v>
      </c>
      <c r="P599" s="10" t="str">
        <f>IF(L599="MISSING","MISSING",IF(O599=1,"PASS","DUPLICATE"))</f>
        <v>PASS</v>
      </c>
    </row>
    <row r="600" ht="22" customHeight="1">
      <c r="A600" s="15" t="inlineStr">
        <is>
          <t xml:space="preserve">Psalms 118</t>
        </is>
      </c>
      <c r="B600" s="15">
        <v>596</v>
      </c>
      <c r="C600" s="15" t="inlineStr">
        <is>
          <t xml:space="preserve">Old Testament</t>
        </is>
      </c>
      <c r="D600" s="15">
        <v>19</v>
      </c>
      <c r="E600" s="15" t="inlineStr">
        <is>
          <t xml:space="preserve">Psalms</t>
        </is>
      </c>
      <c r="F600" s="15">
        <v>118</v>
      </c>
      <c r="G600" s="15" t="inlineStr">
        <is>
          <t xml:space="preserve">v0.2</t>
        </is>
      </c>
      <c r="H600" s="15" t="inlineStr">
        <is>
          <t xml:space="preserve">Bible_Journey_Canon_Map_v0_2_Chronicles_Psalms_Job_1Kings.xlsx</t>
        </is>
      </c>
      <c r="I600" s="15" t="inlineStr">
        <is>
          <t xml:space="preserve">Chapter Map</t>
        </is>
      </c>
      <c r="J600" s="15" t="inlineStr">
        <is>
          <t xml:space="preserve">CRS-PSA-033</t>
        </is>
      </c>
      <c r="K600" s="15"/>
      <c r="L600" s="10" t="inlineStr">
        <is>
          <t xml:space="preserve">Mapped</t>
        </is>
      </c>
      <c r="M600" s="15" t="inlineStr">
        <is>
          <t xml:space="preserve">Poetic material; event placement disclosed where a superscription or textual-reuse link is used.</t>
        </is>
      </c>
      <c r="N600" s="15"/>
      <c r="O600" s="15">
        <v>1</v>
      </c>
      <c r="P600" s="10" t="str">
        <f>IF(L600="MISSING","MISSING",IF(O600=1,"PASS","DUPLICATE"))</f>
        <v>PASS</v>
      </c>
    </row>
    <row r="601" ht="22" customHeight="1">
      <c r="A601" s="15" t="inlineStr">
        <is>
          <t xml:space="preserve">Psalms 119</t>
        </is>
      </c>
      <c r="B601" s="15">
        <v>597</v>
      </c>
      <c r="C601" s="15" t="inlineStr">
        <is>
          <t xml:space="preserve">Old Testament</t>
        </is>
      </c>
      <c r="D601" s="15">
        <v>19</v>
      </c>
      <c r="E601" s="15" t="inlineStr">
        <is>
          <t xml:space="preserve">Psalms</t>
        </is>
      </c>
      <c r="F601" s="15">
        <v>119</v>
      </c>
      <c r="G601" s="15" t="inlineStr">
        <is>
          <t xml:space="preserve">v0.2</t>
        </is>
      </c>
      <c r="H601" s="15" t="inlineStr">
        <is>
          <t xml:space="preserve">Bible_Journey_Canon_Map_v0_2_Chronicles_Psalms_Job_1Kings.xlsx</t>
        </is>
      </c>
      <c r="I601" s="15" t="inlineStr">
        <is>
          <t xml:space="preserve">Chapter Map</t>
        </is>
      </c>
      <c r="J601" s="15" t="inlineStr">
        <is>
          <t xml:space="preserve">CRS-PSA-033</t>
        </is>
      </c>
      <c r="K601" s="15"/>
      <c r="L601" s="10" t="inlineStr">
        <is>
          <t xml:space="preserve">Mapped</t>
        </is>
      </c>
      <c r="M601" s="15" t="inlineStr">
        <is>
          <t xml:space="preserve">Poetic material; event placement disclosed where a superscription or textual-reuse link is used.</t>
        </is>
      </c>
      <c r="N601" s="15"/>
      <c r="O601" s="15">
        <v>1</v>
      </c>
      <c r="P601" s="10" t="str">
        <f>IF(L601="MISSING","MISSING",IF(O601=1,"PASS","DUPLICATE"))</f>
        <v>PASS</v>
      </c>
    </row>
    <row r="602" ht="22" customHeight="1">
      <c r="A602" s="15" t="inlineStr">
        <is>
          <t xml:space="preserve">Psalms 120</t>
        </is>
      </c>
      <c r="B602" s="15">
        <v>598</v>
      </c>
      <c r="C602" s="15" t="inlineStr">
        <is>
          <t xml:space="preserve">Old Testament</t>
        </is>
      </c>
      <c r="D602" s="15">
        <v>19</v>
      </c>
      <c r="E602" s="15" t="inlineStr">
        <is>
          <t xml:space="preserve">Psalms</t>
        </is>
      </c>
      <c r="F602" s="15">
        <v>120</v>
      </c>
      <c r="G602" s="15" t="inlineStr">
        <is>
          <t xml:space="preserve">v0.2</t>
        </is>
      </c>
      <c r="H602" s="15" t="inlineStr">
        <is>
          <t xml:space="preserve">Bible_Journey_Canon_Map_v0_2_Chronicles_Psalms_Job_1Kings.xlsx</t>
        </is>
      </c>
      <c r="I602" s="15" t="inlineStr">
        <is>
          <t xml:space="preserve">Chapter Map</t>
        </is>
      </c>
      <c r="J602" s="15" t="inlineStr">
        <is>
          <t xml:space="preserve">CRS-PSA-033</t>
        </is>
      </c>
      <c r="K602" s="15"/>
      <c r="L602" s="10" t="inlineStr">
        <is>
          <t xml:space="preserve">Mapped</t>
        </is>
      </c>
      <c r="M602" s="15" t="inlineStr">
        <is>
          <t xml:space="preserve">Poetic material; event placement disclosed where a superscription or textual-reuse link is used.</t>
        </is>
      </c>
      <c r="N602" s="15"/>
      <c r="O602" s="15">
        <v>1</v>
      </c>
      <c r="P602" s="10" t="str">
        <f>IF(L602="MISSING","MISSING",IF(O602=1,"PASS","DUPLICATE"))</f>
        <v>PASS</v>
      </c>
    </row>
    <row r="603" ht="22" customHeight="1">
      <c r="A603" s="15" t="inlineStr">
        <is>
          <t xml:space="preserve">Psalms 121</t>
        </is>
      </c>
      <c r="B603" s="15">
        <v>599</v>
      </c>
      <c r="C603" s="15" t="inlineStr">
        <is>
          <t xml:space="preserve">Old Testament</t>
        </is>
      </c>
      <c r="D603" s="15">
        <v>19</v>
      </c>
      <c r="E603" s="15" t="inlineStr">
        <is>
          <t xml:space="preserve">Psalms</t>
        </is>
      </c>
      <c r="F603" s="15">
        <v>121</v>
      </c>
      <c r="G603" s="15" t="inlineStr">
        <is>
          <t xml:space="preserve">v0.2</t>
        </is>
      </c>
      <c r="H603" s="15" t="inlineStr">
        <is>
          <t xml:space="preserve">Bible_Journey_Canon_Map_v0_2_Chronicles_Psalms_Job_1Kings.xlsx</t>
        </is>
      </c>
      <c r="I603" s="15" t="inlineStr">
        <is>
          <t xml:space="preserve">Chapter Map</t>
        </is>
      </c>
      <c r="J603" s="15" t="inlineStr">
        <is>
          <t xml:space="preserve">CRS-PSA-033</t>
        </is>
      </c>
      <c r="K603" s="15"/>
      <c r="L603" s="10" t="inlineStr">
        <is>
          <t xml:space="preserve">Mapped</t>
        </is>
      </c>
      <c r="M603" s="15" t="inlineStr">
        <is>
          <t xml:space="preserve">Poetic material; event placement disclosed where a superscription or textual-reuse link is used.</t>
        </is>
      </c>
      <c r="N603" s="15"/>
      <c r="O603" s="15">
        <v>1</v>
      </c>
      <c r="P603" s="10" t="str">
        <f>IF(L603="MISSING","MISSING",IF(O603=1,"PASS","DUPLICATE"))</f>
        <v>PASS</v>
      </c>
    </row>
    <row r="604" ht="22" customHeight="1">
      <c r="A604" s="15" t="inlineStr">
        <is>
          <t xml:space="preserve">Psalms 122</t>
        </is>
      </c>
      <c r="B604" s="15">
        <v>600</v>
      </c>
      <c r="C604" s="15" t="inlineStr">
        <is>
          <t xml:space="preserve">Old Testament</t>
        </is>
      </c>
      <c r="D604" s="15">
        <v>19</v>
      </c>
      <c r="E604" s="15" t="inlineStr">
        <is>
          <t xml:space="preserve">Psalms</t>
        </is>
      </c>
      <c r="F604" s="15">
        <v>122</v>
      </c>
      <c r="G604" s="15" t="inlineStr">
        <is>
          <t xml:space="preserve">v0.2</t>
        </is>
      </c>
      <c r="H604" s="15" t="inlineStr">
        <is>
          <t xml:space="preserve">Bible_Journey_Canon_Map_v0_2_Chronicles_Psalms_Job_1Kings.xlsx</t>
        </is>
      </c>
      <c r="I604" s="15" t="inlineStr">
        <is>
          <t xml:space="preserve">Chapter Map</t>
        </is>
      </c>
      <c r="J604" s="15" t="inlineStr">
        <is>
          <t xml:space="preserve">CRS-PSA-034</t>
        </is>
      </c>
      <c r="K604" s="15"/>
      <c r="L604" s="10" t="inlineStr">
        <is>
          <t xml:space="preserve">Mapped</t>
        </is>
      </c>
      <c r="M604" s="15" t="inlineStr">
        <is>
          <t xml:space="preserve">Poetic material; event placement disclosed where a superscription or textual-reuse link is used.</t>
        </is>
      </c>
      <c r="N604" s="15"/>
      <c r="O604" s="15">
        <v>1</v>
      </c>
      <c r="P604" s="10" t="str">
        <f>IF(L604="MISSING","MISSING",IF(O604=1,"PASS","DUPLICATE"))</f>
        <v>PASS</v>
      </c>
    </row>
    <row r="605" ht="22" customHeight="1">
      <c r="A605" s="15" t="inlineStr">
        <is>
          <t xml:space="preserve">Psalms 123</t>
        </is>
      </c>
      <c r="B605" s="15">
        <v>601</v>
      </c>
      <c r="C605" s="15" t="inlineStr">
        <is>
          <t xml:space="preserve">Old Testament</t>
        </is>
      </c>
      <c r="D605" s="15">
        <v>19</v>
      </c>
      <c r="E605" s="15" t="inlineStr">
        <is>
          <t xml:space="preserve">Psalms</t>
        </is>
      </c>
      <c r="F605" s="15">
        <v>123</v>
      </c>
      <c r="G605" s="15" t="inlineStr">
        <is>
          <t xml:space="preserve">v0.2</t>
        </is>
      </c>
      <c r="H605" s="15" t="inlineStr">
        <is>
          <t xml:space="preserve">Bible_Journey_Canon_Map_v0_2_Chronicles_Psalms_Job_1Kings.xlsx</t>
        </is>
      </c>
      <c r="I605" s="15" t="inlineStr">
        <is>
          <t xml:space="preserve">Chapter Map</t>
        </is>
      </c>
      <c r="J605" s="15" t="inlineStr">
        <is>
          <t xml:space="preserve">CRS-PSA-035</t>
        </is>
      </c>
      <c r="K605" s="15"/>
      <c r="L605" s="10" t="inlineStr">
        <is>
          <t xml:space="preserve">Mapped</t>
        </is>
      </c>
      <c r="M605" s="15" t="inlineStr">
        <is>
          <t xml:space="preserve">Poetic material; event placement disclosed where a superscription or textual-reuse link is used.</t>
        </is>
      </c>
      <c r="N605" s="15"/>
      <c r="O605" s="15">
        <v>1</v>
      </c>
      <c r="P605" s="10" t="str">
        <f>IF(L605="MISSING","MISSING",IF(O605=1,"PASS","DUPLICATE"))</f>
        <v>PASS</v>
      </c>
    </row>
    <row r="606" ht="22" customHeight="1">
      <c r="A606" s="15" t="inlineStr">
        <is>
          <t xml:space="preserve">Psalms 124</t>
        </is>
      </c>
      <c r="B606" s="15">
        <v>602</v>
      </c>
      <c r="C606" s="15" t="inlineStr">
        <is>
          <t xml:space="preserve">Old Testament</t>
        </is>
      </c>
      <c r="D606" s="15">
        <v>19</v>
      </c>
      <c r="E606" s="15" t="inlineStr">
        <is>
          <t xml:space="preserve">Psalms</t>
        </is>
      </c>
      <c r="F606" s="15">
        <v>124</v>
      </c>
      <c r="G606" s="15" t="inlineStr">
        <is>
          <t xml:space="preserve">v0.2</t>
        </is>
      </c>
      <c r="H606" s="15" t="inlineStr">
        <is>
          <t xml:space="preserve">Bible_Journey_Canon_Map_v0_2_Chronicles_Psalms_Job_1Kings.xlsx</t>
        </is>
      </c>
      <c r="I606" s="15" t="inlineStr">
        <is>
          <t xml:space="preserve">Chapter Map</t>
        </is>
      </c>
      <c r="J606" s="15" t="inlineStr">
        <is>
          <t xml:space="preserve">CRS-PSA-035</t>
        </is>
      </c>
      <c r="K606" s="15"/>
      <c r="L606" s="10" t="inlineStr">
        <is>
          <t xml:space="preserve">Mapped</t>
        </is>
      </c>
      <c r="M606" s="15" t="inlineStr">
        <is>
          <t xml:space="preserve">Poetic material; event placement disclosed where a superscription or textual-reuse link is used.</t>
        </is>
      </c>
      <c r="N606" s="15"/>
      <c r="O606" s="15">
        <v>1</v>
      </c>
      <c r="P606" s="10" t="str">
        <f>IF(L606="MISSING","MISSING",IF(O606=1,"PASS","DUPLICATE"))</f>
        <v>PASS</v>
      </c>
    </row>
    <row r="607" ht="22" customHeight="1">
      <c r="A607" s="15" t="inlineStr">
        <is>
          <t xml:space="preserve">Psalms 125</t>
        </is>
      </c>
      <c r="B607" s="15">
        <v>603</v>
      </c>
      <c r="C607" s="15" t="inlineStr">
        <is>
          <t xml:space="preserve">Old Testament</t>
        </is>
      </c>
      <c r="D607" s="15">
        <v>19</v>
      </c>
      <c r="E607" s="15" t="inlineStr">
        <is>
          <t xml:space="preserve">Psalms</t>
        </is>
      </c>
      <c r="F607" s="15">
        <v>125</v>
      </c>
      <c r="G607" s="15" t="inlineStr">
        <is>
          <t xml:space="preserve">v0.2</t>
        </is>
      </c>
      <c r="H607" s="15" t="inlineStr">
        <is>
          <t xml:space="preserve">Bible_Journey_Canon_Map_v0_2_Chronicles_Psalms_Job_1Kings.xlsx</t>
        </is>
      </c>
      <c r="I607" s="15" t="inlineStr">
        <is>
          <t xml:space="preserve">Chapter Map</t>
        </is>
      </c>
      <c r="J607" s="15" t="inlineStr">
        <is>
          <t xml:space="preserve">CRS-PSA-035</t>
        </is>
      </c>
      <c r="K607" s="15"/>
      <c r="L607" s="10" t="inlineStr">
        <is>
          <t xml:space="preserve">Mapped</t>
        </is>
      </c>
      <c r="M607" s="15" t="inlineStr">
        <is>
          <t xml:space="preserve">Poetic material; event placement disclosed where a superscription or textual-reuse link is used.</t>
        </is>
      </c>
      <c r="N607" s="15"/>
      <c r="O607" s="15">
        <v>1</v>
      </c>
      <c r="P607" s="10" t="str">
        <f>IF(L607="MISSING","MISSING",IF(O607=1,"PASS","DUPLICATE"))</f>
        <v>PASS</v>
      </c>
    </row>
    <row r="608" ht="22" customHeight="1">
      <c r="A608" s="15" t="inlineStr">
        <is>
          <t xml:space="preserve">Psalms 126</t>
        </is>
      </c>
      <c r="B608" s="15">
        <v>604</v>
      </c>
      <c r="C608" s="15" t="inlineStr">
        <is>
          <t xml:space="preserve">Old Testament</t>
        </is>
      </c>
      <c r="D608" s="15">
        <v>19</v>
      </c>
      <c r="E608" s="15" t="inlineStr">
        <is>
          <t xml:space="preserve">Psalms</t>
        </is>
      </c>
      <c r="F608" s="15">
        <v>126</v>
      </c>
      <c r="G608" s="15" t="inlineStr">
        <is>
          <t xml:space="preserve">v0.2</t>
        </is>
      </c>
      <c r="H608" s="15" t="inlineStr">
        <is>
          <t xml:space="preserve">Bible_Journey_Canon_Map_v0_2_Chronicles_Psalms_Job_1Kings.xlsx</t>
        </is>
      </c>
      <c r="I608" s="15" t="inlineStr">
        <is>
          <t xml:space="preserve">Chapter Map</t>
        </is>
      </c>
      <c r="J608" s="15" t="inlineStr">
        <is>
          <t xml:space="preserve">CRS-PSA-035</t>
        </is>
      </c>
      <c r="K608" s="15"/>
      <c r="L608" s="10" t="inlineStr">
        <is>
          <t xml:space="preserve">Mapped</t>
        </is>
      </c>
      <c r="M608" s="15" t="inlineStr">
        <is>
          <t xml:space="preserve">Poetic material; event placement disclosed where a superscription or textual-reuse link is used.</t>
        </is>
      </c>
      <c r="N608" s="15"/>
      <c r="O608" s="15">
        <v>1</v>
      </c>
      <c r="P608" s="10" t="str">
        <f>IF(L608="MISSING","MISSING",IF(O608=1,"PASS","DUPLICATE"))</f>
        <v>PASS</v>
      </c>
    </row>
    <row r="609" ht="22" customHeight="1">
      <c r="A609" s="15" t="inlineStr">
        <is>
          <t xml:space="preserve">Psalms 127</t>
        </is>
      </c>
      <c r="B609" s="15">
        <v>605</v>
      </c>
      <c r="C609" s="15" t="inlineStr">
        <is>
          <t xml:space="preserve">Old Testament</t>
        </is>
      </c>
      <c r="D609" s="15">
        <v>19</v>
      </c>
      <c r="E609" s="15" t="inlineStr">
        <is>
          <t xml:space="preserve">Psalms</t>
        </is>
      </c>
      <c r="F609" s="15">
        <v>127</v>
      </c>
      <c r="G609" s="15" t="inlineStr">
        <is>
          <t xml:space="preserve">v0.2</t>
        </is>
      </c>
      <c r="H609" s="15" t="inlineStr">
        <is>
          <t xml:space="preserve">Bible_Journey_Canon_Map_v0_2_Chronicles_Psalms_Job_1Kings.xlsx</t>
        </is>
      </c>
      <c r="I609" s="15" t="inlineStr">
        <is>
          <t xml:space="preserve">Chapter Map</t>
        </is>
      </c>
      <c r="J609" s="15" t="inlineStr">
        <is>
          <t xml:space="preserve">CRS-PSA-036</t>
        </is>
      </c>
      <c r="K609" s="15"/>
      <c r="L609" s="10" t="inlineStr">
        <is>
          <t xml:space="preserve">Mapped</t>
        </is>
      </c>
      <c r="M609" s="15" t="inlineStr">
        <is>
          <t xml:space="preserve">Poetic material; event placement disclosed where a superscription or textual-reuse link is used.</t>
        </is>
      </c>
      <c r="N609" s="15"/>
      <c r="O609" s="15">
        <v>1</v>
      </c>
      <c r="P609" s="10" t="str">
        <f>IF(L609="MISSING","MISSING",IF(O609=1,"PASS","DUPLICATE"))</f>
        <v>PASS</v>
      </c>
    </row>
    <row r="610" ht="22" customHeight="1">
      <c r="A610" s="15" t="inlineStr">
        <is>
          <t xml:space="preserve">Psalms 128</t>
        </is>
      </c>
      <c r="B610" s="15">
        <v>606</v>
      </c>
      <c r="C610" s="15" t="inlineStr">
        <is>
          <t xml:space="preserve">Old Testament</t>
        </is>
      </c>
      <c r="D610" s="15">
        <v>19</v>
      </c>
      <c r="E610" s="15" t="inlineStr">
        <is>
          <t xml:space="preserve">Psalms</t>
        </is>
      </c>
      <c r="F610" s="15">
        <v>128</v>
      </c>
      <c r="G610" s="15" t="inlineStr">
        <is>
          <t xml:space="preserve">v0.2</t>
        </is>
      </c>
      <c r="H610" s="15" t="inlineStr">
        <is>
          <t xml:space="preserve">Bible_Journey_Canon_Map_v0_2_Chronicles_Psalms_Job_1Kings.xlsx</t>
        </is>
      </c>
      <c r="I610" s="15" t="inlineStr">
        <is>
          <t xml:space="preserve">Chapter Map</t>
        </is>
      </c>
      <c r="J610" s="15" t="inlineStr">
        <is>
          <t xml:space="preserve">CRS-PSA-037</t>
        </is>
      </c>
      <c r="K610" s="15"/>
      <c r="L610" s="10" t="inlineStr">
        <is>
          <t xml:space="preserve">Mapped</t>
        </is>
      </c>
      <c r="M610" s="15" t="inlineStr">
        <is>
          <t xml:space="preserve">Poetic material; event placement disclosed where a superscription or textual-reuse link is used.</t>
        </is>
      </c>
      <c r="N610" s="15"/>
      <c r="O610" s="15">
        <v>1</v>
      </c>
      <c r="P610" s="10" t="str">
        <f>IF(L610="MISSING","MISSING",IF(O610=1,"PASS","DUPLICATE"))</f>
        <v>PASS</v>
      </c>
    </row>
    <row r="611" ht="22" customHeight="1">
      <c r="A611" s="15" t="inlineStr">
        <is>
          <t xml:space="preserve">Psalms 129</t>
        </is>
      </c>
      <c r="B611" s="15">
        <v>607</v>
      </c>
      <c r="C611" s="15" t="inlineStr">
        <is>
          <t xml:space="preserve">Old Testament</t>
        </is>
      </c>
      <c r="D611" s="15">
        <v>19</v>
      </c>
      <c r="E611" s="15" t="inlineStr">
        <is>
          <t xml:space="preserve">Psalms</t>
        </is>
      </c>
      <c r="F611" s="15">
        <v>129</v>
      </c>
      <c r="G611" s="15" t="inlineStr">
        <is>
          <t xml:space="preserve">v0.2</t>
        </is>
      </c>
      <c r="H611" s="15" t="inlineStr">
        <is>
          <t xml:space="preserve">Bible_Journey_Canon_Map_v0_2_Chronicles_Psalms_Job_1Kings.xlsx</t>
        </is>
      </c>
      <c r="I611" s="15" t="inlineStr">
        <is>
          <t xml:space="preserve">Chapter Map</t>
        </is>
      </c>
      <c r="J611" s="15" t="inlineStr">
        <is>
          <t xml:space="preserve">CRS-PSA-037</t>
        </is>
      </c>
      <c r="K611" s="15"/>
      <c r="L611" s="10" t="inlineStr">
        <is>
          <t xml:space="preserve">Mapped</t>
        </is>
      </c>
      <c r="M611" s="15" t="inlineStr">
        <is>
          <t xml:space="preserve">Poetic material; event placement disclosed where a superscription or textual-reuse link is used.</t>
        </is>
      </c>
      <c r="N611" s="15"/>
      <c r="O611" s="15">
        <v>1</v>
      </c>
      <c r="P611" s="10" t="str">
        <f>IF(L611="MISSING","MISSING",IF(O611=1,"PASS","DUPLICATE"))</f>
        <v>PASS</v>
      </c>
    </row>
    <row r="612" ht="22" customHeight="1">
      <c r="A612" s="15" t="inlineStr">
        <is>
          <t xml:space="preserve">Psalms 130</t>
        </is>
      </c>
      <c r="B612" s="15">
        <v>608</v>
      </c>
      <c r="C612" s="15" t="inlineStr">
        <is>
          <t xml:space="preserve">Old Testament</t>
        </is>
      </c>
      <c r="D612" s="15">
        <v>19</v>
      </c>
      <c r="E612" s="15" t="inlineStr">
        <is>
          <t xml:space="preserve">Psalms</t>
        </is>
      </c>
      <c r="F612" s="15">
        <v>130</v>
      </c>
      <c r="G612" s="15" t="inlineStr">
        <is>
          <t xml:space="preserve">v0.2</t>
        </is>
      </c>
      <c r="H612" s="15" t="inlineStr">
        <is>
          <t xml:space="preserve">Bible_Journey_Canon_Map_v0_2_Chronicles_Psalms_Job_1Kings.xlsx</t>
        </is>
      </c>
      <c r="I612" s="15" t="inlineStr">
        <is>
          <t xml:space="preserve">Chapter Map</t>
        </is>
      </c>
      <c r="J612" s="15" t="inlineStr">
        <is>
          <t xml:space="preserve">CRS-PSA-037</t>
        </is>
      </c>
      <c r="K612" s="15"/>
      <c r="L612" s="10" t="inlineStr">
        <is>
          <t xml:space="preserve">Mapped</t>
        </is>
      </c>
      <c r="M612" s="15" t="inlineStr">
        <is>
          <t xml:space="preserve">Poetic material; event placement disclosed where a superscription or textual-reuse link is used.</t>
        </is>
      </c>
      <c r="N612" s="15"/>
      <c r="O612" s="15">
        <v>1</v>
      </c>
      <c r="P612" s="10" t="str">
        <f>IF(L612="MISSING","MISSING",IF(O612=1,"PASS","DUPLICATE"))</f>
        <v>PASS</v>
      </c>
    </row>
    <row r="613" ht="22" customHeight="1">
      <c r="A613" s="15" t="inlineStr">
        <is>
          <t xml:space="preserve">Psalms 131</t>
        </is>
      </c>
      <c r="B613" s="15">
        <v>609</v>
      </c>
      <c r="C613" s="15" t="inlineStr">
        <is>
          <t xml:space="preserve">Old Testament</t>
        </is>
      </c>
      <c r="D613" s="15">
        <v>19</v>
      </c>
      <c r="E613" s="15" t="inlineStr">
        <is>
          <t xml:space="preserve">Psalms</t>
        </is>
      </c>
      <c r="F613" s="15">
        <v>131</v>
      </c>
      <c r="G613" s="15" t="inlineStr">
        <is>
          <t xml:space="preserve">v0.2</t>
        </is>
      </c>
      <c r="H613" s="15" t="inlineStr">
        <is>
          <t xml:space="preserve">Bible_Journey_Canon_Map_v0_2_Chronicles_Psalms_Job_1Kings.xlsx</t>
        </is>
      </c>
      <c r="I613" s="15" t="inlineStr">
        <is>
          <t xml:space="preserve">Chapter Map</t>
        </is>
      </c>
      <c r="J613" s="15" t="inlineStr">
        <is>
          <t xml:space="preserve">CRS-PSA-038</t>
        </is>
      </c>
      <c r="K613" s="15"/>
      <c r="L613" s="10" t="inlineStr">
        <is>
          <t xml:space="preserve">Mapped</t>
        </is>
      </c>
      <c r="M613" s="15" t="inlineStr">
        <is>
          <t xml:space="preserve">Poetic material; event placement disclosed where a superscription or textual-reuse link is used.</t>
        </is>
      </c>
      <c r="N613" s="15"/>
      <c r="O613" s="15">
        <v>1</v>
      </c>
      <c r="P613" s="10" t="str">
        <f>IF(L613="MISSING","MISSING",IF(O613=1,"PASS","DUPLICATE"))</f>
        <v>PASS</v>
      </c>
    </row>
    <row r="614" ht="22" customHeight="1">
      <c r="A614" s="15" t="inlineStr">
        <is>
          <t xml:space="preserve">Psalms 132</t>
        </is>
      </c>
      <c r="B614" s="15">
        <v>610</v>
      </c>
      <c r="C614" s="15" t="inlineStr">
        <is>
          <t xml:space="preserve">Old Testament</t>
        </is>
      </c>
      <c r="D614" s="15">
        <v>19</v>
      </c>
      <c r="E614" s="15" t="inlineStr">
        <is>
          <t xml:space="preserve">Psalms</t>
        </is>
      </c>
      <c r="F614" s="15">
        <v>132</v>
      </c>
      <c r="G614" s="15" t="inlineStr">
        <is>
          <t xml:space="preserve">v0.2</t>
        </is>
      </c>
      <c r="H614" s="15" t="inlineStr">
        <is>
          <t xml:space="preserve">Bible_Journey_Canon_Map_v0_2_Chronicles_Psalms_Job_1Kings.xlsx</t>
        </is>
      </c>
      <c r="I614" s="15" t="inlineStr">
        <is>
          <t xml:space="preserve">Chapter Map</t>
        </is>
      </c>
      <c r="J614" s="15" t="inlineStr">
        <is>
          <t xml:space="preserve">CRS-PSA-039</t>
        </is>
      </c>
      <c r="K614" s="15"/>
      <c r="L614" s="10" t="inlineStr">
        <is>
          <t xml:space="preserve">Mapped</t>
        </is>
      </c>
      <c r="M614" s="15" t="inlineStr">
        <is>
          <t xml:space="preserve">Poetic material; event placement disclosed where a superscription or textual-reuse link is used.</t>
        </is>
      </c>
      <c r="N614" s="15"/>
      <c r="O614" s="15">
        <v>1</v>
      </c>
      <c r="P614" s="10" t="str">
        <f>IF(L614="MISSING","MISSING",IF(O614=1,"PASS","DUPLICATE"))</f>
        <v>PASS</v>
      </c>
    </row>
    <row r="615" ht="22" customHeight="1">
      <c r="A615" s="15" t="inlineStr">
        <is>
          <t xml:space="preserve">Psalms 133</t>
        </is>
      </c>
      <c r="B615" s="15">
        <v>611</v>
      </c>
      <c r="C615" s="15" t="inlineStr">
        <is>
          <t xml:space="preserve">Old Testament</t>
        </is>
      </c>
      <c r="D615" s="15">
        <v>19</v>
      </c>
      <c r="E615" s="15" t="inlineStr">
        <is>
          <t xml:space="preserve">Psalms</t>
        </is>
      </c>
      <c r="F615" s="15">
        <v>133</v>
      </c>
      <c r="G615" s="15" t="inlineStr">
        <is>
          <t xml:space="preserve">v0.2</t>
        </is>
      </c>
      <c r="H615" s="15" t="inlineStr">
        <is>
          <t xml:space="preserve">Bible_Journey_Canon_Map_v0_2_Chronicles_Psalms_Job_1Kings.xlsx</t>
        </is>
      </c>
      <c r="I615" s="15" t="inlineStr">
        <is>
          <t xml:space="preserve">Chapter Map</t>
        </is>
      </c>
      <c r="J615" s="15" t="inlineStr">
        <is>
          <t xml:space="preserve">CRS-PSA-040</t>
        </is>
      </c>
      <c r="K615" s="15"/>
      <c r="L615" s="10" t="inlineStr">
        <is>
          <t xml:space="preserve">Mapped</t>
        </is>
      </c>
      <c r="M615" s="15" t="inlineStr">
        <is>
          <t xml:space="preserve">Poetic material; event placement disclosed where a superscription or textual-reuse link is used.</t>
        </is>
      </c>
      <c r="N615" s="15"/>
      <c r="O615" s="15">
        <v>1</v>
      </c>
      <c r="P615" s="10" t="str">
        <f>IF(L615="MISSING","MISSING",IF(O615=1,"PASS","DUPLICATE"))</f>
        <v>PASS</v>
      </c>
    </row>
    <row r="616" ht="22" customHeight="1">
      <c r="A616" s="15" t="inlineStr">
        <is>
          <t xml:space="preserve">Psalms 134</t>
        </is>
      </c>
      <c r="B616" s="15">
        <v>612</v>
      </c>
      <c r="C616" s="15" t="inlineStr">
        <is>
          <t xml:space="preserve">Old Testament</t>
        </is>
      </c>
      <c r="D616" s="15">
        <v>19</v>
      </c>
      <c r="E616" s="15" t="inlineStr">
        <is>
          <t xml:space="preserve">Psalms</t>
        </is>
      </c>
      <c r="F616" s="15">
        <v>134</v>
      </c>
      <c r="G616" s="15" t="inlineStr">
        <is>
          <t xml:space="preserve">v0.2</t>
        </is>
      </c>
      <c r="H616" s="15" t="inlineStr">
        <is>
          <t xml:space="preserve">Bible_Journey_Canon_Map_v0_2_Chronicles_Psalms_Job_1Kings.xlsx</t>
        </is>
      </c>
      <c r="I616" s="15" t="inlineStr">
        <is>
          <t xml:space="preserve">Chapter Map</t>
        </is>
      </c>
      <c r="J616" s="15" t="inlineStr">
        <is>
          <t xml:space="preserve">CRS-PSA-041</t>
        </is>
      </c>
      <c r="K616" s="15"/>
      <c r="L616" s="10" t="inlineStr">
        <is>
          <t xml:space="preserve">Mapped</t>
        </is>
      </c>
      <c r="M616" s="15" t="inlineStr">
        <is>
          <t xml:space="preserve">Poetic material; event placement disclosed where a superscription or textual-reuse link is used.</t>
        </is>
      </c>
      <c r="N616" s="15"/>
      <c r="O616" s="15">
        <v>1</v>
      </c>
      <c r="P616" s="10" t="str">
        <f>IF(L616="MISSING","MISSING",IF(O616=1,"PASS","DUPLICATE"))</f>
        <v>PASS</v>
      </c>
    </row>
    <row r="617" ht="22" customHeight="1">
      <c r="A617" s="15" t="inlineStr">
        <is>
          <t xml:space="preserve">Psalms 135</t>
        </is>
      </c>
      <c r="B617" s="15">
        <v>613</v>
      </c>
      <c r="C617" s="15" t="inlineStr">
        <is>
          <t xml:space="preserve">Old Testament</t>
        </is>
      </c>
      <c r="D617" s="15">
        <v>19</v>
      </c>
      <c r="E617" s="15" t="inlineStr">
        <is>
          <t xml:space="preserve">Psalms</t>
        </is>
      </c>
      <c r="F617" s="15">
        <v>135</v>
      </c>
      <c r="G617" s="15" t="inlineStr">
        <is>
          <t xml:space="preserve">v0.2</t>
        </is>
      </c>
      <c r="H617" s="15" t="inlineStr">
        <is>
          <t xml:space="preserve">Bible_Journey_Canon_Map_v0_2_Chronicles_Psalms_Job_1Kings.xlsx</t>
        </is>
      </c>
      <c r="I617" s="15" t="inlineStr">
        <is>
          <t xml:space="preserve">Chapter Map</t>
        </is>
      </c>
      <c r="J617" s="15" t="inlineStr">
        <is>
          <t xml:space="preserve">CRS-PSA-041</t>
        </is>
      </c>
      <c r="K617" s="15"/>
      <c r="L617" s="10" t="inlineStr">
        <is>
          <t xml:space="preserve">Mapped</t>
        </is>
      </c>
      <c r="M617" s="15" t="inlineStr">
        <is>
          <t xml:space="preserve">Poetic material; event placement disclosed where a superscription or textual-reuse link is used.</t>
        </is>
      </c>
      <c r="N617" s="15"/>
      <c r="O617" s="15">
        <v>1</v>
      </c>
      <c r="P617" s="10" t="str">
        <f>IF(L617="MISSING","MISSING",IF(O617=1,"PASS","DUPLICATE"))</f>
        <v>PASS</v>
      </c>
    </row>
    <row r="618" ht="22" customHeight="1">
      <c r="A618" s="15" t="inlineStr">
        <is>
          <t xml:space="preserve">Psalms 136</t>
        </is>
      </c>
      <c r="B618" s="15">
        <v>614</v>
      </c>
      <c r="C618" s="15" t="inlineStr">
        <is>
          <t xml:space="preserve">Old Testament</t>
        </is>
      </c>
      <c r="D618" s="15">
        <v>19</v>
      </c>
      <c r="E618" s="15" t="inlineStr">
        <is>
          <t xml:space="preserve">Psalms</t>
        </is>
      </c>
      <c r="F618" s="15">
        <v>136</v>
      </c>
      <c r="G618" s="15" t="inlineStr">
        <is>
          <t xml:space="preserve">v0.2</t>
        </is>
      </c>
      <c r="H618" s="15" t="inlineStr">
        <is>
          <t xml:space="preserve">Bible_Journey_Canon_Map_v0_2_Chronicles_Psalms_Job_1Kings.xlsx</t>
        </is>
      </c>
      <c r="I618" s="15" t="inlineStr">
        <is>
          <t xml:space="preserve">Chapter Map</t>
        </is>
      </c>
      <c r="J618" s="15" t="inlineStr">
        <is>
          <t xml:space="preserve">CRS-PSA-041</t>
        </is>
      </c>
      <c r="K618" s="15"/>
      <c r="L618" s="10" t="inlineStr">
        <is>
          <t xml:space="preserve">Mapped</t>
        </is>
      </c>
      <c r="M618" s="15" t="inlineStr">
        <is>
          <t xml:space="preserve">Poetic material; event placement disclosed where a superscription or textual-reuse link is used.</t>
        </is>
      </c>
      <c r="N618" s="15"/>
      <c r="O618" s="15">
        <v>1</v>
      </c>
      <c r="P618" s="10" t="str">
        <f>IF(L618="MISSING","MISSING",IF(O618=1,"PASS","DUPLICATE"))</f>
        <v>PASS</v>
      </c>
    </row>
    <row r="619" ht="22" customHeight="1">
      <c r="A619" s="15" t="inlineStr">
        <is>
          <t xml:space="preserve">Psalms 137</t>
        </is>
      </c>
      <c r="B619" s="15">
        <v>615</v>
      </c>
      <c r="C619" s="15" t="inlineStr">
        <is>
          <t xml:space="preserve">Old Testament</t>
        </is>
      </c>
      <c r="D619" s="15">
        <v>19</v>
      </c>
      <c r="E619" s="15" t="inlineStr">
        <is>
          <t xml:space="preserve">Psalms</t>
        </is>
      </c>
      <c r="F619" s="15">
        <v>137</v>
      </c>
      <c r="G619" s="15" t="inlineStr">
        <is>
          <t xml:space="preserve">v0.2</t>
        </is>
      </c>
      <c r="H619" s="15" t="inlineStr">
        <is>
          <t xml:space="preserve">Bible_Journey_Canon_Map_v0_2_Chronicles_Psalms_Job_1Kings.xlsx</t>
        </is>
      </c>
      <c r="I619" s="15" t="inlineStr">
        <is>
          <t xml:space="preserve">Chapter Map</t>
        </is>
      </c>
      <c r="J619" s="15" t="inlineStr">
        <is>
          <t xml:space="preserve">CRS-PSA-041</t>
        </is>
      </c>
      <c r="K619" s="15"/>
      <c r="L619" s="10" t="inlineStr">
        <is>
          <t xml:space="preserve">Mapped</t>
        </is>
      </c>
      <c r="M619" s="15" t="inlineStr">
        <is>
          <t xml:space="preserve">Poetic material; event placement disclosed where a superscription or textual-reuse link is used.</t>
        </is>
      </c>
      <c r="N619" s="15"/>
      <c r="O619" s="15">
        <v>1</v>
      </c>
      <c r="P619" s="10" t="str">
        <f>IF(L619="MISSING","MISSING",IF(O619=1,"PASS","DUPLICATE"))</f>
        <v>PASS</v>
      </c>
    </row>
    <row r="620" ht="22" customHeight="1">
      <c r="A620" s="15" t="inlineStr">
        <is>
          <t xml:space="preserve">Psalms 138</t>
        </is>
      </c>
      <c r="B620" s="15">
        <v>616</v>
      </c>
      <c r="C620" s="15" t="inlineStr">
        <is>
          <t xml:space="preserve">Old Testament</t>
        </is>
      </c>
      <c r="D620" s="15">
        <v>19</v>
      </c>
      <c r="E620" s="15" t="inlineStr">
        <is>
          <t xml:space="preserve">Psalms</t>
        </is>
      </c>
      <c r="F620" s="15">
        <v>138</v>
      </c>
      <c r="G620" s="15" t="inlineStr">
        <is>
          <t xml:space="preserve">v0.2</t>
        </is>
      </c>
      <c r="H620" s="15" t="inlineStr">
        <is>
          <t xml:space="preserve">Bible_Journey_Canon_Map_v0_2_Chronicles_Psalms_Job_1Kings.xlsx</t>
        </is>
      </c>
      <c r="I620" s="15" t="inlineStr">
        <is>
          <t xml:space="preserve">Chapter Map</t>
        </is>
      </c>
      <c r="J620" s="15" t="inlineStr">
        <is>
          <t xml:space="preserve">CRS-PSA-042</t>
        </is>
      </c>
      <c r="K620" s="15"/>
      <c r="L620" s="10" t="inlineStr">
        <is>
          <t xml:space="preserve">Mapped</t>
        </is>
      </c>
      <c r="M620" s="15" t="inlineStr">
        <is>
          <t xml:space="preserve">Poetic material; event placement disclosed where a superscription or textual-reuse link is used.</t>
        </is>
      </c>
      <c r="N620" s="15"/>
      <c r="O620" s="15">
        <v>1</v>
      </c>
      <c r="P620" s="10" t="str">
        <f>IF(L620="MISSING","MISSING",IF(O620=1,"PASS","DUPLICATE"))</f>
        <v>PASS</v>
      </c>
    </row>
    <row r="621" ht="22" customHeight="1">
      <c r="A621" s="15" t="inlineStr">
        <is>
          <t xml:space="preserve">Psalms 139</t>
        </is>
      </c>
      <c r="B621" s="15">
        <v>617</v>
      </c>
      <c r="C621" s="15" t="inlineStr">
        <is>
          <t xml:space="preserve">Old Testament</t>
        </is>
      </c>
      <c r="D621" s="15">
        <v>19</v>
      </c>
      <c r="E621" s="15" t="inlineStr">
        <is>
          <t xml:space="preserve">Psalms</t>
        </is>
      </c>
      <c r="F621" s="15">
        <v>139</v>
      </c>
      <c r="G621" s="15" t="inlineStr">
        <is>
          <t xml:space="preserve">v0.2</t>
        </is>
      </c>
      <c r="H621" s="15" t="inlineStr">
        <is>
          <t xml:space="preserve">Bible_Journey_Canon_Map_v0_2_Chronicles_Psalms_Job_1Kings.xlsx</t>
        </is>
      </c>
      <c r="I621" s="15" t="inlineStr">
        <is>
          <t xml:space="preserve">Chapter Map</t>
        </is>
      </c>
      <c r="J621" s="15" t="inlineStr">
        <is>
          <t xml:space="preserve">CRS-PSA-042</t>
        </is>
      </c>
      <c r="K621" s="15"/>
      <c r="L621" s="10" t="inlineStr">
        <is>
          <t xml:space="preserve">Mapped</t>
        </is>
      </c>
      <c r="M621" s="15" t="inlineStr">
        <is>
          <t xml:space="preserve">Poetic material; event placement disclosed where a superscription or textual-reuse link is used.</t>
        </is>
      </c>
      <c r="N621" s="15"/>
      <c r="O621" s="15">
        <v>1</v>
      </c>
      <c r="P621" s="10" t="str">
        <f>IF(L621="MISSING","MISSING",IF(O621=1,"PASS","DUPLICATE"))</f>
        <v>PASS</v>
      </c>
    </row>
    <row r="622" ht="22" customHeight="1">
      <c r="A622" s="15" t="inlineStr">
        <is>
          <t xml:space="preserve">Psalms 140</t>
        </is>
      </c>
      <c r="B622" s="15">
        <v>618</v>
      </c>
      <c r="C622" s="15" t="inlineStr">
        <is>
          <t xml:space="preserve">Old Testament</t>
        </is>
      </c>
      <c r="D622" s="15">
        <v>19</v>
      </c>
      <c r="E622" s="15" t="inlineStr">
        <is>
          <t xml:space="preserve">Psalms</t>
        </is>
      </c>
      <c r="F622" s="15">
        <v>140</v>
      </c>
      <c r="G622" s="15" t="inlineStr">
        <is>
          <t xml:space="preserve">v0.2</t>
        </is>
      </c>
      <c r="H622" s="15" t="inlineStr">
        <is>
          <t xml:space="preserve">Bible_Journey_Canon_Map_v0_2_Chronicles_Psalms_Job_1Kings.xlsx</t>
        </is>
      </c>
      <c r="I622" s="15" t="inlineStr">
        <is>
          <t xml:space="preserve">Chapter Map</t>
        </is>
      </c>
      <c r="J622" s="15" t="inlineStr">
        <is>
          <t xml:space="preserve">CRS-PSA-042</t>
        </is>
      </c>
      <c r="K622" s="15"/>
      <c r="L622" s="10" t="inlineStr">
        <is>
          <t xml:space="preserve">Mapped</t>
        </is>
      </c>
      <c r="M622" s="15" t="inlineStr">
        <is>
          <t xml:space="preserve">Poetic material; event placement disclosed where a superscription or textual-reuse link is used.</t>
        </is>
      </c>
      <c r="N622" s="15"/>
      <c r="O622" s="15">
        <v>1</v>
      </c>
      <c r="P622" s="10" t="str">
        <f>IF(L622="MISSING","MISSING",IF(O622=1,"PASS","DUPLICATE"))</f>
        <v>PASS</v>
      </c>
    </row>
    <row r="623" ht="22" customHeight="1">
      <c r="A623" s="15" t="inlineStr">
        <is>
          <t xml:space="preserve">Psalms 141</t>
        </is>
      </c>
      <c r="B623" s="15">
        <v>619</v>
      </c>
      <c r="C623" s="15" t="inlineStr">
        <is>
          <t xml:space="preserve">Old Testament</t>
        </is>
      </c>
      <c r="D623" s="15">
        <v>19</v>
      </c>
      <c r="E623" s="15" t="inlineStr">
        <is>
          <t xml:space="preserve">Psalms</t>
        </is>
      </c>
      <c r="F623" s="15">
        <v>141</v>
      </c>
      <c r="G623" s="15" t="inlineStr">
        <is>
          <t xml:space="preserve">v0.2</t>
        </is>
      </c>
      <c r="H623" s="15" t="inlineStr">
        <is>
          <t xml:space="preserve">Bible_Journey_Canon_Map_v0_2_Chronicles_Psalms_Job_1Kings.xlsx</t>
        </is>
      </c>
      <c r="I623" s="15" t="inlineStr">
        <is>
          <t xml:space="preserve">Chapter Map</t>
        </is>
      </c>
      <c r="J623" s="15" t="inlineStr">
        <is>
          <t xml:space="preserve">CRS-PSA-042</t>
        </is>
      </c>
      <c r="K623" s="15"/>
      <c r="L623" s="10" t="inlineStr">
        <is>
          <t xml:space="preserve">Mapped</t>
        </is>
      </c>
      <c r="M623" s="15" t="inlineStr">
        <is>
          <t xml:space="preserve">Poetic material; event placement disclosed where a superscription or textual-reuse link is used.</t>
        </is>
      </c>
      <c r="N623" s="15"/>
      <c r="O623" s="15">
        <v>1</v>
      </c>
      <c r="P623" s="10" t="str">
        <f>IF(L623="MISSING","MISSING",IF(O623=1,"PASS","DUPLICATE"))</f>
        <v>PASS</v>
      </c>
    </row>
    <row r="624" ht="22" customHeight="1">
      <c r="A624" s="15" t="inlineStr">
        <is>
          <t xml:space="preserve">Psalms 142</t>
        </is>
      </c>
      <c r="B624" s="15">
        <v>620</v>
      </c>
      <c r="C624" s="15" t="inlineStr">
        <is>
          <t xml:space="preserve">Old Testament</t>
        </is>
      </c>
      <c r="D624" s="15">
        <v>19</v>
      </c>
      <c r="E624" s="15" t="inlineStr">
        <is>
          <t xml:space="preserve">Psalms</t>
        </is>
      </c>
      <c r="F624" s="15">
        <v>142</v>
      </c>
      <c r="G624" s="15" t="inlineStr">
        <is>
          <t xml:space="preserve">v0.2</t>
        </is>
      </c>
      <c r="H624" s="15" t="inlineStr">
        <is>
          <t xml:space="preserve">Bible_Journey_Canon_Map_v0_2_Chronicles_Psalms_Job_1Kings.xlsx</t>
        </is>
      </c>
      <c r="I624" s="15" t="inlineStr">
        <is>
          <t xml:space="preserve">Chapter Map</t>
        </is>
      </c>
      <c r="J624" s="15" t="inlineStr">
        <is>
          <t xml:space="preserve">CRS-PSA-042</t>
        </is>
      </c>
      <c r="K624" s="15"/>
      <c r="L624" s="10" t="inlineStr">
        <is>
          <t xml:space="preserve">Mapped</t>
        </is>
      </c>
      <c r="M624" s="15" t="inlineStr">
        <is>
          <t xml:space="preserve">Poetic material; event placement disclosed where a superscription or textual-reuse link is used.</t>
        </is>
      </c>
      <c r="N624" s="15"/>
      <c r="O624" s="15">
        <v>1</v>
      </c>
      <c r="P624" s="10" t="str">
        <f>IF(L624="MISSING","MISSING",IF(O624=1,"PASS","DUPLICATE"))</f>
        <v>PASS</v>
      </c>
    </row>
    <row r="625" ht="22" customHeight="1">
      <c r="A625" s="15" t="inlineStr">
        <is>
          <t xml:space="preserve">Psalms 143</t>
        </is>
      </c>
      <c r="B625" s="15">
        <v>621</v>
      </c>
      <c r="C625" s="15" t="inlineStr">
        <is>
          <t xml:space="preserve">Old Testament</t>
        </is>
      </c>
      <c r="D625" s="15">
        <v>19</v>
      </c>
      <c r="E625" s="15" t="inlineStr">
        <is>
          <t xml:space="preserve">Psalms</t>
        </is>
      </c>
      <c r="F625" s="15">
        <v>143</v>
      </c>
      <c r="G625" s="15" t="inlineStr">
        <is>
          <t xml:space="preserve">v0.2</t>
        </is>
      </c>
      <c r="H625" s="15" t="inlineStr">
        <is>
          <t xml:space="preserve">Bible_Journey_Canon_Map_v0_2_Chronicles_Psalms_Job_1Kings.xlsx</t>
        </is>
      </c>
      <c r="I625" s="15" t="inlineStr">
        <is>
          <t xml:space="preserve">Chapter Map</t>
        </is>
      </c>
      <c r="J625" s="15" t="inlineStr">
        <is>
          <t xml:space="preserve">CRS-PSA-042</t>
        </is>
      </c>
      <c r="K625" s="15"/>
      <c r="L625" s="10" t="inlineStr">
        <is>
          <t xml:space="preserve">Mapped</t>
        </is>
      </c>
      <c r="M625" s="15" t="inlineStr">
        <is>
          <t xml:space="preserve">Poetic material; event placement disclosed where a superscription or textual-reuse link is used.</t>
        </is>
      </c>
      <c r="N625" s="15"/>
      <c r="O625" s="15">
        <v>1</v>
      </c>
      <c r="P625" s="10" t="str">
        <f>IF(L625="MISSING","MISSING",IF(O625=1,"PASS","DUPLICATE"))</f>
        <v>PASS</v>
      </c>
    </row>
    <row r="626" ht="22" customHeight="1">
      <c r="A626" s="15" t="inlineStr">
        <is>
          <t xml:space="preserve">Psalms 144</t>
        </is>
      </c>
      <c r="B626" s="15">
        <v>622</v>
      </c>
      <c r="C626" s="15" t="inlineStr">
        <is>
          <t xml:space="preserve">Old Testament</t>
        </is>
      </c>
      <c r="D626" s="15">
        <v>19</v>
      </c>
      <c r="E626" s="15" t="inlineStr">
        <is>
          <t xml:space="preserve">Psalms</t>
        </is>
      </c>
      <c r="F626" s="15">
        <v>144</v>
      </c>
      <c r="G626" s="15" t="inlineStr">
        <is>
          <t xml:space="preserve">v0.2</t>
        </is>
      </c>
      <c r="H626" s="15" t="inlineStr">
        <is>
          <t xml:space="preserve">Bible_Journey_Canon_Map_v0_2_Chronicles_Psalms_Job_1Kings.xlsx</t>
        </is>
      </c>
      <c r="I626" s="15" t="inlineStr">
        <is>
          <t xml:space="preserve">Chapter Map</t>
        </is>
      </c>
      <c r="J626" s="15" t="inlineStr">
        <is>
          <t xml:space="preserve">CRS-PSA-042</t>
        </is>
      </c>
      <c r="K626" s="15"/>
      <c r="L626" s="10" t="inlineStr">
        <is>
          <t xml:space="preserve">Mapped</t>
        </is>
      </c>
      <c r="M626" s="15" t="inlineStr">
        <is>
          <t xml:space="preserve">Poetic material; event placement disclosed where a superscription or textual-reuse link is used.</t>
        </is>
      </c>
      <c r="N626" s="15"/>
      <c r="O626" s="15">
        <v>1</v>
      </c>
      <c r="P626" s="10" t="str">
        <f>IF(L626="MISSING","MISSING",IF(O626=1,"PASS","DUPLICATE"))</f>
        <v>PASS</v>
      </c>
    </row>
    <row r="627" ht="22" customHeight="1">
      <c r="A627" s="15" t="inlineStr">
        <is>
          <t xml:space="preserve">Psalms 145</t>
        </is>
      </c>
      <c r="B627" s="15">
        <v>623</v>
      </c>
      <c r="C627" s="15" t="inlineStr">
        <is>
          <t xml:space="preserve">Old Testament</t>
        </is>
      </c>
      <c r="D627" s="15">
        <v>19</v>
      </c>
      <c r="E627" s="15" t="inlineStr">
        <is>
          <t xml:space="preserve">Psalms</t>
        </is>
      </c>
      <c r="F627" s="15">
        <v>145</v>
      </c>
      <c r="G627" s="15" t="inlineStr">
        <is>
          <t xml:space="preserve">v0.2</t>
        </is>
      </c>
      <c r="H627" s="15" t="inlineStr">
        <is>
          <t xml:space="preserve">Bible_Journey_Canon_Map_v0_2_Chronicles_Psalms_Job_1Kings.xlsx</t>
        </is>
      </c>
      <c r="I627" s="15" t="inlineStr">
        <is>
          <t xml:space="preserve">Chapter Map</t>
        </is>
      </c>
      <c r="J627" s="15" t="inlineStr">
        <is>
          <t xml:space="preserve">CRS-PSA-042</t>
        </is>
      </c>
      <c r="K627" s="15"/>
      <c r="L627" s="10" t="inlineStr">
        <is>
          <t xml:space="preserve">Mapped</t>
        </is>
      </c>
      <c r="M627" s="15" t="inlineStr">
        <is>
          <t xml:space="preserve">Poetic material; event placement disclosed where a superscription or textual-reuse link is used.</t>
        </is>
      </c>
      <c r="N627" s="15"/>
      <c r="O627" s="15">
        <v>1</v>
      </c>
      <c r="P627" s="10" t="str">
        <f>IF(L627="MISSING","MISSING",IF(O627=1,"PASS","DUPLICATE"))</f>
        <v>PASS</v>
      </c>
    </row>
    <row r="628" ht="22" customHeight="1">
      <c r="A628" s="15" t="inlineStr">
        <is>
          <t xml:space="preserve">Psalms 146</t>
        </is>
      </c>
      <c r="B628" s="15">
        <v>624</v>
      </c>
      <c r="C628" s="15" t="inlineStr">
        <is>
          <t xml:space="preserve">Old Testament</t>
        </is>
      </c>
      <c r="D628" s="15">
        <v>19</v>
      </c>
      <c r="E628" s="15" t="inlineStr">
        <is>
          <t xml:space="preserve">Psalms</t>
        </is>
      </c>
      <c r="F628" s="15">
        <v>146</v>
      </c>
      <c r="G628" s="15" t="inlineStr">
        <is>
          <t xml:space="preserve">v0.2</t>
        </is>
      </c>
      <c r="H628" s="15" t="inlineStr">
        <is>
          <t xml:space="preserve">Bible_Journey_Canon_Map_v0_2_Chronicles_Psalms_Job_1Kings.xlsx</t>
        </is>
      </c>
      <c r="I628" s="15" t="inlineStr">
        <is>
          <t xml:space="preserve">Chapter Map</t>
        </is>
      </c>
      <c r="J628" s="15" t="inlineStr">
        <is>
          <t xml:space="preserve">CRS-PSA-043</t>
        </is>
      </c>
      <c r="K628" s="15"/>
      <c r="L628" s="10" t="inlineStr">
        <is>
          <t xml:space="preserve">Mapped</t>
        </is>
      </c>
      <c r="M628" s="15" t="inlineStr">
        <is>
          <t xml:space="preserve">Poetic material; event placement disclosed where a superscription or textual-reuse link is used.</t>
        </is>
      </c>
      <c r="N628" s="15"/>
      <c r="O628" s="15">
        <v>1</v>
      </c>
      <c r="P628" s="10" t="str">
        <f>IF(L628="MISSING","MISSING",IF(O628=1,"PASS","DUPLICATE"))</f>
        <v>PASS</v>
      </c>
    </row>
    <row r="629" ht="22" customHeight="1">
      <c r="A629" s="15" t="inlineStr">
        <is>
          <t xml:space="preserve">Psalms 147</t>
        </is>
      </c>
      <c r="B629" s="15">
        <v>625</v>
      </c>
      <c r="C629" s="15" t="inlineStr">
        <is>
          <t xml:space="preserve">Old Testament</t>
        </is>
      </c>
      <c r="D629" s="15">
        <v>19</v>
      </c>
      <c r="E629" s="15" t="inlineStr">
        <is>
          <t xml:space="preserve">Psalms</t>
        </is>
      </c>
      <c r="F629" s="15">
        <v>147</v>
      </c>
      <c r="G629" s="15" t="inlineStr">
        <is>
          <t xml:space="preserve">v0.2</t>
        </is>
      </c>
      <c r="H629" s="15" t="inlineStr">
        <is>
          <t xml:space="preserve">Bible_Journey_Canon_Map_v0_2_Chronicles_Psalms_Job_1Kings.xlsx</t>
        </is>
      </c>
      <c r="I629" s="15" t="inlineStr">
        <is>
          <t xml:space="preserve">Chapter Map</t>
        </is>
      </c>
      <c r="J629" s="15" t="inlineStr">
        <is>
          <t xml:space="preserve">CRS-PSA-043</t>
        </is>
      </c>
      <c r="K629" s="15"/>
      <c r="L629" s="10" t="inlineStr">
        <is>
          <t xml:space="preserve">Mapped</t>
        </is>
      </c>
      <c r="M629" s="15" t="inlineStr">
        <is>
          <t xml:space="preserve">Poetic material; event placement disclosed where a superscription or textual-reuse link is used.</t>
        </is>
      </c>
      <c r="N629" s="15"/>
      <c r="O629" s="15">
        <v>1</v>
      </c>
      <c r="P629" s="10" t="str">
        <f>IF(L629="MISSING","MISSING",IF(O629=1,"PASS","DUPLICATE"))</f>
        <v>PASS</v>
      </c>
    </row>
    <row r="630" ht="22" customHeight="1">
      <c r="A630" s="15" t="inlineStr">
        <is>
          <t xml:space="preserve">Psalms 148</t>
        </is>
      </c>
      <c r="B630" s="15">
        <v>626</v>
      </c>
      <c r="C630" s="15" t="inlineStr">
        <is>
          <t xml:space="preserve">Old Testament</t>
        </is>
      </c>
      <c r="D630" s="15">
        <v>19</v>
      </c>
      <c r="E630" s="15" t="inlineStr">
        <is>
          <t xml:space="preserve">Psalms</t>
        </is>
      </c>
      <c r="F630" s="15">
        <v>148</v>
      </c>
      <c r="G630" s="15" t="inlineStr">
        <is>
          <t xml:space="preserve">v0.2</t>
        </is>
      </c>
      <c r="H630" s="15" t="inlineStr">
        <is>
          <t xml:space="preserve">Bible_Journey_Canon_Map_v0_2_Chronicles_Psalms_Job_1Kings.xlsx</t>
        </is>
      </c>
      <c r="I630" s="15" t="inlineStr">
        <is>
          <t xml:space="preserve">Chapter Map</t>
        </is>
      </c>
      <c r="J630" s="15" t="inlineStr">
        <is>
          <t xml:space="preserve">CRS-PSA-043</t>
        </is>
      </c>
      <c r="K630" s="15"/>
      <c r="L630" s="10" t="inlineStr">
        <is>
          <t xml:space="preserve">Mapped</t>
        </is>
      </c>
      <c r="M630" s="15" t="inlineStr">
        <is>
          <t xml:space="preserve">Poetic material; event placement disclosed where a superscription or textual-reuse link is used.</t>
        </is>
      </c>
      <c r="N630" s="15"/>
      <c r="O630" s="15">
        <v>1</v>
      </c>
      <c r="P630" s="10" t="str">
        <f>IF(L630="MISSING","MISSING",IF(O630=1,"PASS","DUPLICATE"))</f>
        <v>PASS</v>
      </c>
    </row>
    <row r="631" ht="22" customHeight="1">
      <c r="A631" s="15" t="inlineStr">
        <is>
          <t xml:space="preserve">Psalms 149</t>
        </is>
      </c>
      <c r="B631" s="15">
        <v>627</v>
      </c>
      <c r="C631" s="15" t="inlineStr">
        <is>
          <t xml:space="preserve">Old Testament</t>
        </is>
      </c>
      <c r="D631" s="15">
        <v>19</v>
      </c>
      <c r="E631" s="15" t="inlineStr">
        <is>
          <t xml:space="preserve">Psalms</t>
        </is>
      </c>
      <c r="F631" s="15">
        <v>149</v>
      </c>
      <c r="G631" s="15" t="inlineStr">
        <is>
          <t xml:space="preserve">v0.2</t>
        </is>
      </c>
      <c r="H631" s="15" t="inlineStr">
        <is>
          <t xml:space="preserve">Bible_Journey_Canon_Map_v0_2_Chronicles_Psalms_Job_1Kings.xlsx</t>
        </is>
      </c>
      <c r="I631" s="15" t="inlineStr">
        <is>
          <t xml:space="preserve">Chapter Map</t>
        </is>
      </c>
      <c r="J631" s="15" t="inlineStr">
        <is>
          <t xml:space="preserve">CRS-PSA-043</t>
        </is>
      </c>
      <c r="K631" s="15"/>
      <c r="L631" s="10" t="inlineStr">
        <is>
          <t xml:space="preserve">Mapped</t>
        </is>
      </c>
      <c r="M631" s="15" t="inlineStr">
        <is>
          <t xml:space="preserve">Poetic material; event placement disclosed where a superscription or textual-reuse link is used.</t>
        </is>
      </c>
      <c r="N631" s="15"/>
      <c r="O631" s="15">
        <v>1</v>
      </c>
      <c r="P631" s="10" t="str">
        <f>IF(L631="MISSING","MISSING",IF(O631=1,"PASS","DUPLICATE"))</f>
        <v>PASS</v>
      </c>
    </row>
    <row r="632" ht="22" customHeight="1">
      <c r="A632" s="15" t="inlineStr">
        <is>
          <t xml:space="preserve">Psalms 150</t>
        </is>
      </c>
      <c r="B632" s="15">
        <v>628</v>
      </c>
      <c r="C632" s="15" t="inlineStr">
        <is>
          <t xml:space="preserve">Old Testament</t>
        </is>
      </c>
      <c r="D632" s="15">
        <v>19</v>
      </c>
      <c r="E632" s="15" t="inlineStr">
        <is>
          <t xml:space="preserve">Psalms</t>
        </is>
      </c>
      <c r="F632" s="15">
        <v>150</v>
      </c>
      <c r="G632" s="15" t="inlineStr">
        <is>
          <t xml:space="preserve">v0.2</t>
        </is>
      </c>
      <c r="H632" s="15" t="inlineStr">
        <is>
          <t xml:space="preserve">Bible_Journey_Canon_Map_v0_2_Chronicles_Psalms_Job_1Kings.xlsx</t>
        </is>
      </c>
      <c r="I632" s="15" t="inlineStr">
        <is>
          <t xml:space="preserve">Chapter Map</t>
        </is>
      </c>
      <c r="J632" s="15" t="inlineStr">
        <is>
          <t xml:space="preserve">CRS-PSA-043</t>
        </is>
      </c>
      <c r="K632" s="15"/>
      <c r="L632" s="10" t="inlineStr">
        <is>
          <t xml:space="preserve">Mapped</t>
        </is>
      </c>
      <c r="M632" s="15" t="inlineStr">
        <is>
          <t xml:space="preserve">Poetic material; event placement disclosed where a superscription or textual-reuse link is used.</t>
        </is>
      </c>
      <c r="N632" s="15"/>
      <c r="O632" s="15">
        <v>1</v>
      </c>
      <c r="P632" s="10" t="str">
        <f>IF(L632="MISSING","MISSING",IF(O632=1,"PASS","DUPLICATE"))</f>
        <v>PASS</v>
      </c>
    </row>
    <row r="633" ht="22" customHeight="1">
      <c r="A633" s="15" t="inlineStr">
        <is>
          <t xml:space="preserve">Proverbs 1</t>
        </is>
      </c>
      <c r="B633" s="15">
        <v>629</v>
      </c>
      <c r="C633" s="15" t="inlineStr">
        <is>
          <t xml:space="preserve">Old Testament</t>
        </is>
      </c>
      <c r="D633" s="15">
        <v>20</v>
      </c>
      <c r="E633" s="15" t="inlineStr">
        <is>
          <t xml:space="preserve">Proverbs</t>
        </is>
      </c>
      <c r="F633" s="15">
        <v>1</v>
      </c>
      <c r="G633" s="15" t="inlineStr">
        <is>
          <t xml:space="preserve">v0.3</t>
        </is>
      </c>
      <c r="H633" s="15" t="inlineStr">
        <is>
          <t xml:space="preserve">Bible_Journey_Canon_Map_v0_3_2Chronicles_Wisdom_2Kings.xlsx</t>
        </is>
      </c>
      <c r="I633" s="15" t="inlineStr">
        <is>
          <t xml:space="preserve">Chapter Map</t>
        </is>
      </c>
      <c r="J633" s="15" t="inlineStr">
        <is>
          <t xml:space="preserve">CRS-WIS-001</t>
        </is>
      </c>
      <c r="K633" s="15"/>
      <c r="L633" s="10" t="inlineStr">
        <is>
          <t xml:space="preserve">Mapped with disclosed uncertainty</t>
        </is>
      </c>
      <c r="M633" s="15" t="inlineStr">
        <is>
          <t xml:space="preserve">Placed in a disclosed Solomonic wisdom window as a reading arrangement, not as a claim that each section came from one dated event.</t>
        </is>
      </c>
      <c r="N633" s="15"/>
      <c r="O633" s="15">
        <v>1</v>
      </c>
      <c r="P633" s="10" t="str">
        <f>IF(L633="MISSING","MISSING",IF(O633=1,"PASS","DUPLICATE"))</f>
        <v>PASS</v>
      </c>
    </row>
    <row r="634" ht="22" customHeight="1">
      <c r="A634" s="15" t="inlineStr">
        <is>
          <t xml:space="preserve">Proverbs 2</t>
        </is>
      </c>
      <c r="B634" s="15">
        <v>630</v>
      </c>
      <c r="C634" s="15" t="inlineStr">
        <is>
          <t xml:space="preserve">Old Testament</t>
        </is>
      </c>
      <c r="D634" s="15">
        <v>20</v>
      </c>
      <c r="E634" s="15" t="inlineStr">
        <is>
          <t xml:space="preserve">Proverbs</t>
        </is>
      </c>
      <c r="F634" s="15">
        <v>2</v>
      </c>
      <c r="G634" s="15" t="inlineStr">
        <is>
          <t xml:space="preserve">v0.3</t>
        </is>
      </c>
      <c r="H634" s="15" t="inlineStr">
        <is>
          <t xml:space="preserve">Bible_Journey_Canon_Map_v0_3_2Chronicles_Wisdom_2Kings.xlsx</t>
        </is>
      </c>
      <c r="I634" s="15" t="inlineStr">
        <is>
          <t xml:space="preserve">Chapter Map</t>
        </is>
      </c>
      <c r="J634" s="15" t="inlineStr">
        <is>
          <t xml:space="preserve">CRS-WIS-001</t>
        </is>
      </c>
      <c r="K634" s="15"/>
      <c r="L634" s="10" t="inlineStr">
        <is>
          <t xml:space="preserve">Mapped with disclosed uncertainty</t>
        </is>
      </c>
      <c r="M634" s="15" t="inlineStr">
        <is>
          <t xml:space="preserve">Placed in a disclosed Solomonic wisdom window as a reading arrangement, not as a claim that each section came from one dated event.</t>
        </is>
      </c>
      <c r="N634" s="15"/>
      <c r="O634" s="15">
        <v>1</v>
      </c>
      <c r="P634" s="10" t="str">
        <f>IF(L634="MISSING","MISSING",IF(O634=1,"PASS","DUPLICATE"))</f>
        <v>PASS</v>
      </c>
    </row>
    <row r="635" ht="22" customHeight="1">
      <c r="A635" s="15" t="inlineStr">
        <is>
          <t xml:space="preserve">Proverbs 3</t>
        </is>
      </c>
      <c r="B635" s="15">
        <v>631</v>
      </c>
      <c r="C635" s="15" t="inlineStr">
        <is>
          <t xml:space="preserve">Old Testament</t>
        </is>
      </c>
      <c r="D635" s="15">
        <v>20</v>
      </c>
      <c r="E635" s="15" t="inlineStr">
        <is>
          <t xml:space="preserve">Proverbs</t>
        </is>
      </c>
      <c r="F635" s="15">
        <v>3</v>
      </c>
      <c r="G635" s="15" t="inlineStr">
        <is>
          <t xml:space="preserve">v0.3</t>
        </is>
      </c>
      <c r="H635" s="15" t="inlineStr">
        <is>
          <t xml:space="preserve">Bible_Journey_Canon_Map_v0_3_2Chronicles_Wisdom_2Kings.xlsx</t>
        </is>
      </c>
      <c r="I635" s="15" t="inlineStr">
        <is>
          <t xml:space="preserve">Chapter Map</t>
        </is>
      </c>
      <c r="J635" s="15" t="inlineStr">
        <is>
          <t xml:space="preserve">CRS-WIS-001</t>
        </is>
      </c>
      <c r="K635" s="15"/>
      <c r="L635" s="10" t="inlineStr">
        <is>
          <t xml:space="preserve">Mapped with disclosed uncertainty</t>
        </is>
      </c>
      <c r="M635" s="15" t="inlineStr">
        <is>
          <t xml:space="preserve">Placed in a disclosed Solomonic wisdom window as a reading arrangement, not as a claim that each section came from one dated event.</t>
        </is>
      </c>
      <c r="N635" s="15"/>
      <c r="O635" s="15">
        <v>1</v>
      </c>
      <c r="P635" s="10" t="str">
        <f>IF(L635="MISSING","MISSING",IF(O635=1,"PASS","DUPLICATE"))</f>
        <v>PASS</v>
      </c>
    </row>
    <row r="636" ht="22" customHeight="1">
      <c r="A636" s="15" t="inlineStr">
        <is>
          <t xml:space="preserve">Proverbs 4</t>
        </is>
      </c>
      <c r="B636" s="15">
        <v>632</v>
      </c>
      <c r="C636" s="15" t="inlineStr">
        <is>
          <t xml:space="preserve">Old Testament</t>
        </is>
      </c>
      <c r="D636" s="15">
        <v>20</v>
      </c>
      <c r="E636" s="15" t="inlineStr">
        <is>
          <t xml:space="preserve">Proverbs</t>
        </is>
      </c>
      <c r="F636" s="15">
        <v>4</v>
      </c>
      <c r="G636" s="15" t="inlineStr">
        <is>
          <t xml:space="preserve">v0.3</t>
        </is>
      </c>
      <c r="H636" s="15" t="inlineStr">
        <is>
          <t xml:space="preserve">Bible_Journey_Canon_Map_v0_3_2Chronicles_Wisdom_2Kings.xlsx</t>
        </is>
      </c>
      <c r="I636" s="15" t="inlineStr">
        <is>
          <t xml:space="preserve">Chapter Map</t>
        </is>
      </c>
      <c r="J636" s="15" t="inlineStr">
        <is>
          <t xml:space="preserve">CRS-WIS-001</t>
        </is>
      </c>
      <c r="K636" s="15"/>
      <c r="L636" s="10" t="inlineStr">
        <is>
          <t xml:space="preserve">Mapped with disclosed uncertainty</t>
        </is>
      </c>
      <c r="M636" s="15" t="inlineStr">
        <is>
          <t xml:space="preserve">Placed in a disclosed Solomonic wisdom window as a reading arrangement, not as a claim that each section came from one dated event.</t>
        </is>
      </c>
      <c r="N636" s="15"/>
      <c r="O636" s="15">
        <v>1</v>
      </c>
      <c r="P636" s="10" t="str">
        <f>IF(L636="MISSING","MISSING",IF(O636=1,"PASS","DUPLICATE"))</f>
        <v>PASS</v>
      </c>
    </row>
    <row r="637" ht="22" customHeight="1">
      <c r="A637" s="15" t="inlineStr">
        <is>
          <t xml:space="preserve">Proverbs 5</t>
        </is>
      </c>
      <c r="B637" s="15">
        <v>633</v>
      </c>
      <c r="C637" s="15" t="inlineStr">
        <is>
          <t xml:space="preserve">Old Testament</t>
        </is>
      </c>
      <c r="D637" s="15">
        <v>20</v>
      </c>
      <c r="E637" s="15" t="inlineStr">
        <is>
          <t xml:space="preserve">Proverbs</t>
        </is>
      </c>
      <c r="F637" s="15">
        <v>5</v>
      </c>
      <c r="G637" s="15" t="inlineStr">
        <is>
          <t xml:space="preserve">v0.3</t>
        </is>
      </c>
      <c r="H637" s="15" t="inlineStr">
        <is>
          <t xml:space="preserve">Bible_Journey_Canon_Map_v0_3_2Chronicles_Wisdom_2Kings.xlsx</t>
        </is>
      </c>
      <c r="I637" s="15" t="inlineStr">
        <is>
          <t xml:space="preserve">Chapter Map</t>
        </is>
      </c>
      <c r="J637" s="15" t="inlineStr">
        <is>
          <t xml:space="preserve">CRS-WIS-001</t>
        </is>
      </c>
      <c r="K637" s="15"/>
      <c r="L637" s="10" t="inlineStr">
        <is>
          <t xml:space="preserve">Mapped with disclosed uncertainty</t>
        </is>
      </c>
      <c r="M637" s="15" t="inlineStr">
        <is>
          <t xml:space="preserve">Placed in a disclosed Solomonic wisdom window as a reading arrangement, not as a claim that each section came from one dated event.</t>
        </is>
      </c>
      <c r="N637" s="15"/>
      <c r="O637" s="15">
        <v>1</v>
      </c>
      <c r="P637" s="10" t="str">
        <f>IF(L637="MISSING","MISSING",IF(O637=1,"PASS","DUPLICATE"))</f>
        <v>PASS</v>
      </c>
    </row>
    <row r="638" ht="22" customHeight="1">
      <c r="A638" s="15" t="inlineStr">
        <is>
          <t xml:space="preserve">Proverbs 6</t>
        </is>
      </c>
      <c r="B638" s="15">
        <v>634</v>
      </c>
      <c r="C638" s="15" t="inlineStr">
        <is>
          <t xml:space="preserve">Old Testament</t>
        </is>
      </c>
      <c r="D638" s="15">
        <v>20</v>
      </c>
      <c r="E638" s="15" t="inlineStr">
        <is>
          <t xml:space="preserve">Proverbs</t>
        </is>
      </c>
      <c r="F638" s="15">
        <v>6</v>
      </c>
      <c r="G638" s="15" t="inlineStr">
        <is>
          <t xml:space="preserve">v0.3</t>
        </is>
      </c>
      <c r="H638" s="15" t="inlineStr">
        <is>
          <t xml:space="preserve">Bible_Journey_Canon_Map_v0_3_2Chronicles_Wisdom_2Kings.xlsx</t>
        </is>
      </c>
      <c r="I638" s="15" t="inlineStr">
        <is>
          <t xml:space="preserve">Chapter Map</t>
        </is>
      </c>
      <c r="J638" s="15" t="inlineStr">
        <is>
          <t xml:space="preserve">CRS-WIS-001</t>
        </is>
      </c>
      <c r="K638" s="15"/>
      <c r="L638" s="10" t="inlineStr">
        <is>
          <t xml:space="preserve">Mapped with disclosed uncertainty</t>
        </is>
      </c>
      <c r="M638" s="15" t="inlineStr">
        <is>
          <t xml:space="preserve">Placed in a disclosed Solomonic wisdom window as a reading arrangement, not as a claim that each section came from one dated event.</t>
        </is>
      </c>
      <c r="N638" s="15"/>
      <c r="O638" s="15">
        <v>1</v>
      </c>
      <c r="P638" s="10" t="str">
        <f>IF(L638="MISSING","MISSING",IF(O638=1,"PASS","DUPLICATE"))</f>
        <v>PASS</v>
      </c>
    </row>
    <row r="639" ht="22" customHeight="1">
      <c r="A639" s="15" t="inlineStr">
        <is>
          <t xml:space="preserve">Proverbs 7</t>
        </is>
      </c>
      <c r="B639" s="15">
        <v>635</v>
      </c>
      <c r="C639" s="15" t="inlineStr">
        <is>
          <t xml:space="preserve">Old Testament</t>
        </is>
      </c>
      <c r="D639" s="15">
        <v>20</v>
      </c>
      <c r="E639" s="15" t="inlineStr">
        <is>
          <t xml:space="preserve">Proverbs</t>
        </is>
      </c>
      <c r="F639" s="15">
        <v>7</v>
      </c>
      <c r="G639" s="15" t="inlineStr">
        <is>
          <t xml:space="preserve">v0.3</t>
        </is>
      </c>
      <c r="H639" s="15" t="inlineStr">
        <is>
          <t xml:space="preserve">Bible_Journey_Canon_Map_v0_3_2Chronicles_Wisdom_2Kings.xlsx</t>
        </is>
      </c>
      <c r="I639" s="15" t="inlineStr">
        <is>
          <t xml:space="preserve">Chapter Map</t>
        </is>
      </c>
      <c r="J639" s="15" t="inlineStr">
        <is>
          <t xml:space="preserve">CRS-WIS-001</t>
        </is>
      </c>
      <c r="K639" s="15"/>
      <c r="L639" s="10" t="inlineStr">
        <is>
          <t xml:space="preserve">Mapped with disclosed uncertainty</t>
        </is>
      </c>
      <c r="M639" s="15" t="inlineStr">
        <is>
          <t xml:space="preserve">Placed in a disclosed Solomonic wisdom window as a reading arrangement, not as a claim that each section came from one dated event.</t>
        </is>
      </c>
      <c r="N639" s="15"/>
      <c r="O639" s="15">
        <v>1</v>
      </c>
      <c r="P639" s="10" t="str">
        <f>IF(L639="MISSING","MISSING",IF(O639=1,"PASS","DUPLICATE"))</f>
        <v>PASS</v>
      </c>
    </row>
    <row r="640" ht="22" customHeight="1">
      <c r="A640" s="15" t="inlineStr">
        <is>
          <t xml:space="preserve">Proverbs 8</t>
        </is>
      </c>
      <c r="B640" s="15">
        <v>636</v>
      </c>
      <c r="C640" s="15" t="inlineStr">
        <is>
          <t xml:space="preserve">Old Testament</t>
        </is>
      </c>
      <c r="D640" s="15">
        <v>20</v>
      </c>
      <c r="E640" s="15" t="inlineStr">
        <is>
          <t xml:space="preserve">Proverbs</t>
        </is>
      </c>
      <c r="F640" s="15">
        <v>8</v>
      </c>
      <c r="G640" s="15" t="inlineStr">
        <is>
          <t xml:space="preserve">v0.3</t>
        </is>
      </c>
      <c r="H640" s="15" t="inlineStr">
        <is>
          <t xml:space="preserve">Bible_Journey_Canon_Map_v0_3_2Chronicles_Wisdom_2Kings.xlsx</t>
        </is>
      </c>
      <c r="I640" s="15" t="inlineStr">
        <is>
          <t xml:space="preserve">Chapter Map</t>
        </is>
      </c>
      <c r="J640" s="15" t="inlineStr">
        <is>
          <t xml:space="preserve">CRS-WIS-001</t>
        </is>
      </c>
      <c r="K640" s="15"/>
      <c r="L640" s="10" t="inlineStr">
        <is>
          <t xml:space="preserve">Mapped with disclosed uncertainty</t>
        </is>
      </c>
      <c r="M640" s="15" t="inlineStr">
        <is>
          <t xml:space="preserve">Placed in a disclosed Solomonic wisdom window as a reading arrangement, not as a claim that each section came from one dated event.</t>
        </is>
      </c>
      <c r="N640" s="15"/>
      <c r="O640" s="15">
        <v>1</v>
      </c>
      <c r="P640" s="10" t="str">
        <f>IF(L640="MISSING","MISSING",IF(O640=1,"PASS","DUPLICATE"))</f>
        <v>PASS</v>
      </c>
    </row>
    <row r="641" ht="22" customHeight="1">
      <c r="A641" s="15" t="inlineStr">
        <is>
          <t xml:space="preserve">Proverbs 9</t>
        </is>
      </c>
      <c r="B641" s="15">
        <v>637</v>
      </c>
      <c r="C641" s="15" t="inlineStr">
        <is>
          <t xml:space="preserve">Old Testament</t>
        </is>
      </c>
      <c r="D641" s="15">
        <v>20</v>
      </c>
      <c r="E641" s="15" t="inlineStr">
        <is>
          <t xml:space="preserve">Proverbs</t>
        </is>
      </c>
      <c r="F641" s="15">
        <v>9</v>
      </c>
      <c r="G641" s="15" t="inlineStr">
        <is>
          <t xml:space="preserve">v0.3</t>
        </is>
      </c>
      <c r="H641" s="15" t="inlineStr">
        <is>
          <t xml:space="preserve">Bible_Journey_Canon_Map_v0_3_2Chronicles_Wisdom_2Kings.xlsx</t>
        </is>
      </c>
      <c r="I641" s="15" t="inlineStr">
        <is>
          <t xml:space="preserve">Chapter Map</t>
        </is>
      </c>
      <c r="J641" s="15" t="inlineStr">
        <is>
          <t xml:space="preserve">CRS-WIS-001</t>
        </is>
      </c>
      <c r="K641" s="15"/>
      <c r="L641" s="10" t="inlineStr">
        <is>
          <t xml:space="preserve">Mapped with disclosed uncertainty</t>
        </is>
      </c>
      <c r="M641" s="15" t="inlineStr">
        <is>
          <t xml:space="preserve">Placed in a disclosed Solomonic wisdom window as a reading arrangement, not as a claim that each section came from one dated event.</t>
        </is>
      </c>
      <c r="N641" s="15"/>
      <c r="O641" s="15">
        <v>1</v>
      </c>
      <c r="P641" s="10" t="str">
        <f>IF(L641="MISSING","MISSING",IF(O641=1,"PASS","DUPLICATE"))</f>
        <v>PASS</v>
      </c>
    </row>
    <row r="642" ht="22" customHeight="1">
      <c r="A642" s="15" t="inlineStr">
        <is>
          <t xml:space="preserve">Proverbs 10</t>
        </is>
      </c>
      <c r="B642" s="15">
        <v>638</v>
      </c>
      <c r="C642" s="15" t="inlineStr">
        <is>
          <t xml:space="preserve">Old Testament</t>
        </is>
      </c>
      <c r="D642" s="15">
        <v>20</v>
      </c>
      <c r="E642" s="15" t="inlineStr">
        <is>
          <t xml:space="preserve">Proverbs</t>
        </is>
      </c>
      <c r="F642" s="15">
        <v>10</v>
      </c>
      <c r="G642" s="15" t="inlineStr">
        <is>
          <t xml:space="preserve">v0.3</t>
        </is>
      </c>
      <c r="H642" s="15" t="inlineStr">
        <is>
          <t xml:space="preserve">Bible_Journey_Canon_Map_v0_3_2Chronicles_Wisdom_2Kings.xlsx</t>
        </is>
      </c>
      <c r="I642" s="15" t="inlineStr">
        <is>
          <t xml:space="preserve">Chapter Map</t>
        </is>
      </c>
      <c r="J642" s="15" t="inlineStr">
        <is>
          <t xml:space="preserve">CRS-WIS-002</t>
        </is>
      </c>
      <c r="K642" s="15"/>
      <c r="L642" s="10" t="inlineStr">
        <is>
          <t xml:space="preserve">Mapped with disclosed uncertainty</t>
        </is>
      </c>
      <c r="M642" s="15" t="inlineStr">
        <is>
          <t xml:space="preserve">The collection is traditionally linked to Solomon but individual sayings should not be treated as datable scenes in his life.</t>
        </is>
      </c>
      <c r="N642" s="15"/>
      <c r="O642" s="15">
        <v>1</v>
      </c>
      <c r="P642" s="10" t="str">
        <f>IF(L642="MISSING","MISSING",IF(O642=1,"PASS","DUPLICATE"))</f>
        <v>PASS</v>
      </c>
    </row>
    <row r="643" ht="22" customHeight="1">
      <c r="A643" s="15" t="inlineStr">
        <is>
          <t xml:space="preserve">Proverbs 11</t>
        </is>
      </c>
      <c r="B643" s="15">
        <v>639</v>
      </c>
      <c r="C643" s="15" t="inlineStr">
        <is>
          <t xml:space="preserve">Old Testament</t>
        </is>
      </c>
      <c r="D643" s="15">
        <v>20</v>
      </c>
      <c r="E643" s="15" t="inlineStr">
        <is>
          <t xml:space="preserve">Proverbs</t>
        </is>
      </c>
      <c r="F643" s="15">
        <v>11</v>
      </c>
      <c r="G643" s="15" t="inlineStr">
        <is>
          <t xml:space="preserve">v0.3</t>
        </is>
      </c>
      <c r="H643" s="15" t="inlineStr">
        <is>
          <t xml:space="preserve">Bible_Journey_Canon_Map_v0_3_2Chronicles_Wisdom_2Kings.xlsx</t>
        </is>
      </c>
      <c r="I643" s="15" t="inlineStr">
        <is>
          <t xml:space="preserve">Chapter Map</t>
        </is>
      </c>
      <c r="J643" s="15" t="inlineStr">
        <is>
          <t xml:space="preserve">CRS-WIS-002</t>
        </is>
      </c>
      <c r="K643" s="15"/>
      <c r="L643" s="10" t="inlineStr">
        <is>
          <t xml:space="preserve">Mapped with disclosed uncertainty</t>
        </is>
      </c>
      <c r="M643" s="15" t="inlineStr">
        <is>
          <t xml:space="preserve">The collection is traditionally linked to Solomon but individual sayings should not be treated as datable scenes in his life.</t>
        </is>
      </c>
      <c r="N643" s="15"/>
      <c r="O643" s="15">
        <v>1</v>
      </c>
      <c r="P643" s="10" t="str">
        <f>IF(L643="MISSING","MISSING",IF(O643=1,"PASS","DUPLICATE"))</f>
        <v>PASS</v>
      </c>
    </row>
    <row r="644" ht="22" customHeight="1">
      <c r="A644" s="15" t="inlineStr">
        <is>
          <t xml:space="preserve">Proverbs 12</t>
        </is>
      </c>
      <c r="B644" s="15">
        <v>640</v>
      </c>
      <c r="C644" s="15" t="inlineStr">
        <is>
          <t xml:space="preserve">Old Testament</t>
        </is>
      </c>
      <c r="D644" s="15">
        <v>20</v>
      </c>
      <c r="E644" s="15" t="inlineStr">
        <is>
          <t xml:space="preserve">Proverbs</t>
        </is>
      </c>
      <c r="F644" s="15">
        <v>12</v>
      </c>
      <c r="G644" s="15" t="inlineStr">
        <is>
          <t xml:space="preserve">v0.3</t>
        </is>
      </c>
      <c r="H644" s="15" t="inlineStr">
        <is>
          <t xml:space="preserve">Bible_Journey_Canon_Map_v0_3_2Chronicles_Wisdom_2Kings.xlsx</t>
        </is>
      </c>
      <c r="I644" s="15" t="inlineStr">
        <is>
          <t xml:space="preserve">Chapter Map</t>
        </is>
      </c>
      <c r="J644" s="15" t="inlineStr">
        <is>
          <t xml:space="preserve">CRS-WIS-002</t>
        </is>
      </c>
      <c r="K644" s="15"/>
      <c r="L644" s="10" t="inlineStr">
        <is>
          <t xml:space="preserve">Mapped with disclosed uncertainty</t>
        </is>
      </c>
      <c r="M644" s="15" t="inlineStr">
        <is>
          <t xml:space="preserve">The collection is traditionally linked to Solomon but individual sayings should not be treated as datable scenes in his life.</t>
        </is>
      </c>
      <c r="N644" s="15"/>
      <c r="O644" s="15">
        <v>1</v>
      </c>
      <c r="P644" s="10" t="str">
        <f>IF(L644="MISSING","MISSING",IF(O644=1,"PASS","DUPLICATE"))</f>
        <v>PASS</v>
      </c>
    </row>
    <row r="645" ht="22" customHeight="1">
      <c r="A645" s="15" t="inlineStr">
        <is>
          <t xml:space="preserve">Proverbs 13</t>
        </is>
      </c>
      <c r="B645" s="15">
        <v>641</v>
      </c>
      <c r="C645" s="15" t="inlineStr">
        <is>
          <t xml:space="preserve">Old Testament</t>
        </is>
      </c>
      <c r="D645" s="15">
        <v>20</v>
      </c>
      <c r="E645" s="15" t="inlineStr">
        <is>
          <t xml:space="preserve">Proverbs</t>
        </is>
      </c>
      <c r="F645" s="15">
        <v>13</v>
      </c>
      <c r="G645" s="15" t="inlineStr">
        <is>
          <t xml:space="preserve">v0.3</t>
        </is>
      </c>
      <c r="H645" s="15" t="inlineStr">
        <is>
          <t xml:space="preserve">Bible_Journey_Canon_Map_v0_3_2Chronicles_Wisdom_2Kings.xlsx</t>
        </is>
      </c>
      <c r="I645" s="15" t="inlineStr">
        <is>
          <t xml:space="preserve">Chapter Map</t>
        </is>
      </c>
      <c r="J645" s="15" t="inlineStr">
        <is>
          <t xml:space="preserve">CRS-WIS-002</t>
        </is>
      </c>
      <c r="K645" s="15"/>
      <c r="L645" s="10" t="inlineStr">
        <is>
          <t xml:space="preserve">Mapped with disclosed uncertainty</t>
        </is>
      </c>
      <c r="M645" s="15" t="inlineStr">
        <is>
          <t xml:space="preserve">The collection is traditionally linked to Solomon but individual sayings should not be treated as datable scenes in his life.</t>
        </is>
      </c>
      <c r="N645" s="15"/>
      <c r="O645" s="15">
        <v>1</v>
      </c>
      <c r="P645" s="10" t="str">
        <f>IF(L645="MISSING","MISSING",IF(O645=1,"PASS","DUPLICATE"))</f>
        <v>PASS</v>
      </c>
    </row>
    <row r="646" ht="22" customHeight="1">
      <c r="A646" s="15" t="inlineStr">
        <is>
          <t xml:space="preserve">Proverbs 14</t>
        </is>
      </c>
      <c r="B646" s="15">
        <v>642</v>
      </c>
      <c r="C646" s="15" t="inlineStr">
        <is>
          <t xml:space="preserve">Old Testament</t>
        </is>
      </c>
      <c r="D646" s="15">
        <v>20</v>
      </c>
      <c r="E646" s="15" t="inlineStr">
        <is>
          <t xml:space="preserve">Proverbs</t>
        </is>
      </c>
      <c r="F646" s="15">
        <v>14</v>
      </c>
      <c r="G646" s="15" t="inlineStr">
        <is>
          <t xml:space="preserve">v0.3</t>
        </is>
      </c>
      <c r="H646" s="15" t="inlineStr">
        <is>
          <t xml:space="preserve">Bible_Journey_Canon_Map_v0_3_2Chronicles_Wisdom_2Kings.xlsx</t>
        </is>
      </c>
      <c r="I646" s="15" t="inlineStr">
        <is>
          <t xml:space="preserve">Chapter Map</t>
        </is>
      </c>
      <c r="J646" s="15" t="inlineStr">
        <is>
          <t xml:space="preserve">CRS-WIS-002</t>
        </is>
      </c>
      <c r="K646" s="15"/>
      <c r="L646" s="10" t="inlineStr">
        <is>
          <t xml:space="preserve">Mapped with disclosed uncertainty</t>
        </is>
      </c>
      <c r="M646" s="15" t="inlineStr">
        <is>
          <t xml:space="preserve">The collection is traditionally linked to Solomon but individual sayings should not be treated as datable scenes in his life.</t>
        </is>
      </c>
      <c r="N646" s="15"/>
      <c r="O646" s="15">
        <v>1</v>
      </c>
      <c r="P646" s="10" t="str">
        <f>IF(L646="MISSING","MISSING",IF(O646=1,"PASS","DUPLICATE"))</f>
        <v>PASS</v>
      </c>
    </row>
    <row r="647" ht="22" customHeight="1">
      <c r="A647" s="15" t="inlineStr">
        <is>
          <t xml:space="preserve">Proverbs 15</t>
        </is>
      </c>
      <c r="B647" s="15">
        <v>643</v>
      </c>
      <c r="C647" s="15" t="inlineStr">
        <is>
          <t xml:space="preserve">Old Testament</t>
        </is>
      </c>
      <c r="D647" s="15">
        <v>20</v>
      </c>
      <c r="E647" s="15" t="inlineStr">
        <is>
          <t xml:space="preserve">Proverbs</t>
        </is>
      </c>
      <c r="F647" s="15">
        <v>15</v>
      </c>
      <c r="G647" s="15" t="inlineStr">
        <is>
          <t xml:space="preserve">v0.3</t>
        </is>
      </c>
      <c r="H647" s="15" t="inlineStr">
        <is>
          <t xml:space="preserve">Bible_Journey_Canon_Map_v0_3_2Chronicles_Wisdom_2Kings.xlsx</t>
        </is>
      </c>
      <c r="I647" s="15" t="inlineStr">
        <is>
          <t xml:space="preserve">Chapter Map</t>
        </is>
      </c>
      <c r="J647" s="15" t="inlineStr">
        <is>
          <t xml:space="preserve">CRS-WIS-002</t>
        </is>
      </c>
      <c r="K647" s="15"/>
      <c r="L647" s="10" t="inlineStr">
        <is>
          <t xml:space="preserve">Mapped with disclosed uncertainty</t>
        </is>
      </c>
      <c r="M647" s="15" t="inlineStr">
        <is>
          <t xml:space="preserve">The collection is traditionally linked to Solomon but individual sayings should not be treated as datable scenes in his life.</t>
        </is>
      </c>
      <c r="N647" s="15"/>
      <c r="O647" s="15">
        <v>1</v>
      </c>
      <c r="P647" s="10" t="str">
        <f>IF(L647="MISSING","MISSING",IF(O647=1,"PASS","DUPLICATE"))</f>
        <v>PASS</v>
      </c>
    </row>
    <row r="648" ht="22" customHeight="1">
      <c r="A648" s="15" t="inlineStr">
        <is>
          <t xml:space="preserve">Proverbs 16</t>
        </is>
      </c>
      <c r="B648" s="15">
        <v>644</v>
      </c>
      <c r="C648" s="15" t="inlineStr">
        <is>
          <t xml:space="preserve">Old Testament</t>
        </is>
      </c>
      <c r="D648" s="15">
        <v>20</v>
      </c>
      <c r="E648" s="15" t="inlineStr">
        <is>
          <t xml:space="preserve">Proverbs</t>
        </is>
      </c>
      <c r="F648" s="15">
        <v>16</v>
      </c>
      <c r="G648" s="15" t="inlineStr">
        <is>
          <t xml:space="preserve">v0.3</t>
        </is>
      </c>
      <c r="H648" s="15" t="inlineStr">
        <is>
          <t xml:space="preserve">Bible_Journey_Canon_Map_v0_3_2Chronicles_Wisdom_2Kings.xlsx</t>
        </is>
      </c>
      <c r="I648" s="15" t="inlineStr">
        <is>
          <t xml:space="preserve">Chapter Map</t>
        </is>
      </c>
      <c r="J648" s="15" t="inlineStr">
        <is>
          <t xml:space="preserve">CRS-WIS-002</t>
        </is>
      </c>
      <c r="K648" s="15"/>
      <c r="L648" s="10" t="inlineStr">
        <is>
          <t xml:space="preserve">Mapped with disclosed uncertainty</t>
        </is>
      </c>
      <c r="M648" s="15" t="inlineStr">
        <is>
          <t xml:space="preserve">The collection is traditionally linked to Solomon but individual sayings should not be treated as datable scenes in his life.</t>
        </is>
      </c>
      <c r="N648" s="15"/>
      <c r="O648" s="15">
        <v>1</v>
      </c>
      <c r="P648" s="10" t="str">
        <f>IF(L648="MISSING","MISSING",IF(O648=1,"PASS","DUPLICATE"))</f>
        <v>PASS</v>
      </c>
    </row>
    <row r="649" ht="22" customHeight="1">
      <c r="A649" s="15" t="inlineStr">
        <is>
          <t xml:space="preserve">Proverbs 17</t>
        </is>
      </c>
      <c r="B649" s="15">
        <v>645</v>
      </c>
      <c r="C649" s="15" t="inlineStr">
        <is>
          <t xml:space="preserve">Old Testament</t>
        </is>
      </c>
      <c r="D649" s="15">
        <v>20</v>
      </c>
      <c r="E649" s="15" t="inlineStr">
        <is>
          <t xml:space="preserve">Proverbs</t>
        </is>
      </c>
      <c r="F649" s="15">
        <v>17</v>
      </c>
      <c r="G649" s="15" t="inlineStr">
        <is>
          <t xml:space="preserve">v0.3</t>
        </is>
      </c>
      <c r="H649" s="15" t="inlineStr">
        <is>
          <t xml:space="preserve">Bible_Journey_Canon_Map_v0_3_2Chronicles_Wisdom_2Kings.xlsx</t>
        </is>
      </c>
      <c r="I649" s="15" t="inlineStr">
        <is>
          <t xml:space="preserve">Chapter Map</t>
        </is>
      </c>
      <c r="J649" s="15" t="inlineStr">
        <is>
          <t xml:space="preserve">CRS-WIS-002</t>
        </is>
      </c>
      <c r="K649" s="15"/>
      <c r="L649" s="10" t="inlineStr">
        <is>
          <t xml:space="preserve">Mapped with disclosed uncertainty</t>
        </is>
      </c>
      <c r="M649" s="15" t="inlineStr">
        <is>
          <t xml:space="preserve">The collection is traditionally linked to Solomon but individual sayings should not be treated as datable scenes in his life.</t>
        </is>
      </c>
      <c r="N649" s="15"/>
      <c r="O649" s="15">
        <v>1</v>
      </c>
      <c r="P649" s="10" t="str">
        <f>IF(L649="MISSING","MISSING",IF(O649=1,"PASS","DUPLICATE"))</f>
        <v>PASS</v>
      </c>
    </row>
    <row r="650" ht="22" customHeight="1">
      <c r="A650" s="15" t="inlineStr">
        <is>
          <t xml:space="preserve">Proverbs 18</t>
        </is>
      </c>
      <c r="B650" s="15">
        <v>646</v>
      </c>
      <c r="C650" s="15" t="inlineStr">
        <is>
          <t xml:space="preserve">Old Testament</t>
        </is>
      </c>
      <c r="D650" s="15">
        <v>20</v>
      </c>
      <c r="E650" s="15" t="inlineStr">
        <is>
          <t xml:space="preserve">Proverbs</t>
        </is>
      </c>
      <c r="F650" s="15">
        <v>18</v>
      </c>
      <c r="G650" s="15" t="inlineStr">
        <is>
          <t xml:space="preserve">v0.3</t>
        </is>
      </c>
      <c r="H650" s="15" t="inlineStr">
        <is>
          <t xml:space="preserve">Bible_Journey_Canon_Map_v0_3_2Chronicles_Wisdom_2Kings.xlsx</t>
        </is>
      </c>
      <c r="I650" s="15" t="inlineStr">
        <is>
          <t xml:space="preserve">Chapter Map</t>
        </is>
      </c>
      <c r="J650" s="15" t="inlineStr">
        <is>
          <t xml:space="preserve">CRS-WIS-002</t>
        </is>
      </c>
      <c r="K650" s="15"/>
      <c r="L650" s="10" t="inlineStr">
        <is>
          <t xml:space="preserve">Mapped with disclosed uncertainty</t>
        </is>
      </c>
      <c r="M650" s="15" t="inlineStr">
        <is>
          <t xml:space="preserve">The collection is traditionally linked to Solomon but individual sayings should not be treated as datable scenes in his life.</t>
        </is>
      </c>
      <c r="N650" s="15"/>
      <c r="O650" s="15">
        <v>1</v>
      </c>
      <c r="P650" s="10" t="str">
        <f>IF(L650="MISSING","MISSING",IF(O650=1,"PASS","DUPLICATE"))</f>
        <v>PASS</v>
      </c>
    </row>
    <row r="651" ht="22" customHeight="1">
      <c r="A651" s="15" t="inlineStr">
        <is>
          <t xml:space="preserve">Proverbs 19</t>
        </is>
      </c>
      <c r="B651" s="15">
        <v>647</v>
      </c>
      <c r="C651" s="15" t="inlineStr">
        <is>
          <t xml:space="preserve">Old Testament</t>
        </is>
      </c>
      <c r="D651" s="15">
        <v>20</v>
      </c>
      <c r="E651" s="15" t="inlineStr">
        <is>
          <t xml:space="preserve">Proverbs</t>
        </is>
      </c>
      <c r="F651" s="15">
        <v>19</v>
      </c>
      <c r="G651" s="15" t="inlineStr">
        <is>
          <t xml:space="preserve">v0.3</t>
        </is>
      </c>
      <c r="H651" s="15" t="inlineStr">
        <is>
          <t xml:space="preserve">Bible_Journey_Canon_Map_v0_3_2Chronicles_Wisdom_2Kings.xlsx</t>
        </is>
      </c>
      <c r="I651" s="15" t="inlineStr">
        <is>
          <t xml:space="preserve">Chapter Map</t>
        </is>
      </c>
      <c r="J651" s="15" t="inlineStr">
        <is>
          <t xml:space="preserve">CRS-WIS-002</t>
        </is>
      </c>
      <c r="K651" s="15"/>
      <c r="L651" s="10" t="inlineStr">
        <is>
          <t xml:space="preserve">Mapped with disclosed uncertainty</t>
        </is>
      </c>
      <c r="M651" s="15" t="inlineStr">
        <is>
          <t xml:space="preserve">The collection is traditionally linked to Solomon but individual sayings should not be treated as datable scenes in his life.</t>
        </is>
      </c>
      <c r="N651" s="15"/>
      <c r="O651" s="15">
        <v>1</v>
      </c>
      <c r="P651" s="10" t="str">
        <f>IF(L651="MISSING","MISSING",IF(O651=1,"PASS","DUPLICATE"))</f>
        <v>PASS</v>
      </c>
    </row>
    <row r="652" ht="22" customHeight="1">
      <c r="A652" s="15" t="inlineStr">
        <is>
          <t xml:space="preserve">Proverbs 20</t>
        </is>
      </c>
      <c r="B652" s="15">
        <v>648</v>
      </c>
      <c r="C652" s="15" t="inlineStr">
        <is>
          <t xml:space="preserve">Old Testament</t>
        </is>
      </c>
      <c r="D652" s="15">
        <v>20</v>
      </c>
      <c r="E652" s="15" t="inlineStr">
        <is>
          <t xml:space="preserve">Proverbs</t>
        </is>
      </c>
      <c r="F652" s="15">
        <v>20</v>
      </c>
      <c r="G652" s="15" t="inlineStr">
        <is>
          <t xml:space="preserve">v0.3</t>
        </is>
      </c>
      <c r="H652" s="15" t="inlineStr">
        <is>
          <t xml:space="preserve">Bible_Journey_Canon_Map_v0_3_2Chronicles_Wisdom_2Kings.xlsx</t>
        </is>
      </c>
      <c r="I652" s="15" t="inlineStr">
        <is>
          <t xml:space="preserve">Chapter Map</t>
        </is>
      </c>
      <c r="J652" s="15" t="inlineStr">
        <is>
          <t xml:space="preserve">CRS-WIS-002</t>
        </is>
      </c>
      <c r="K652" s="15"/>
      <c r="L652" s="10" t="inlineStr">
        <is>
          <t xml:space="preserve">Mapped with disclosed uncertainty</t>
        </is>
      </c>
      <c r="M652" s="15" t="inlineStr">
        <is>
          <t xml:space="preserve">The collection is traditionally linked to Solomon but individual sayings should not be treated as datable scenes in his life.</t>
        </is>
      </c>
      <c r="N652" s="15"/>
      <c r="O652" s="15">
        <v>1</v>
      </c>
      <c r="P652" s="10" t="str">
        <f>IF(L652="MISSING","MISSING",IF(O652=1,"PASS","DUPLICATE"))</f>
        <v>PASS</v>
      </c>
    </row>
    <row r="653" ht="22" customHeight="1">
      <c r="A653" s="15" t="inlineStr">
        <is>
          <t xml:space="preserve">Proverbs 21</t>
        </is>
      </c>
      <c r="B653" s="15">
        <v>649</v>
      </c>
      <c r="C653" s="15" t="inlineStr">
        <is>
          <t xml:space="preserve">Old Testament</t>
        </is>
      </c>
      <c r="D653" s="15">
        <v>20</v>
      </c>
      <c r="E653" s="15" t="inlineStr">
        <is>
          <t xml:space="preserve">Proverbs</t>
        </is>
      </c>
      <c r="F653" s="15">
        <v>21</v>
      </c>
      <c r="G653" s="15" t="inlineStr">
        <is>
          <t xml:space="preserve">v0.3</t>
        </is>
      </c>
      <c r="H653" s="15" t="inlineStr">
        <is>
          <t xml:space="preserve">Bible_Journey_Canon_Map_v0_3_2Chronicles_Wisdom_2Kings.xlsx</t>
        </is>
      </c>
      <c r="I653" s="15" t="inlineStr">
        <is>
          <t xml:space="preserve">Chapter Map</t>
        </is>
      </c>
      <c r="J653" s="15" t="inlineStr">
        <is>
          <t xml:space="preserve">CRS-WIS-002</t>
        </is>
      </c>
      <c r="K653" s="15"/>
      <c r="L653" s="10" t="inlineStr">
        <is>
          <t xml:space="preserve">Mapped with disclosed uncertainty</t>
        </is>
      </c>
      <c r="M653" s="15" t="inlineStr">
        <is>
          <t xml:space="preserve">The collection is traditionally linked to Solomon but individual sayings should not be treated as datable scenes in his life.</t>
        </is>
      </c>
      <c r="N653" s="15"/>
      <c r="O653" s="15">
        <v>1</v>
      </c>
      <c r="P653" s="10" t="str">
        <f>IF(L653="MISSING","MISSING",IF(O653=1,"PASS","DUPLICATE"))</f>
        <v>PASS</v>
      </c>
    </row>
    <row r="654" ht="22" customHeight="1">
      <c r="A654" s="15" t="inlineStr">
        <is>
          <t xml:space="preserve">Proverbs 22</t>
        </is>
      </c>
      <c r="B654" s="15">
        <v>650</v>
      </c>
      <c r="C654" s="15" t="inlineStr">
        <is>
          <t xml:space="preserve">Old Testament</t>
        </is>
      </c>
      <c r="D654" s="15">
        <v>20</v>
      </c>
      <c r="E654" s="15" t="inlineStr">
        <is>
          <t xml:space="preserve">Proverbs</t>
        </is>
      </c>
      <c r="F654" s="15">
        <v>22</v>
      </c>
      <c r="G654" s="15" t="inlineStr">
        <is>
          <t xml:space="preserve">v0.3</t>
        </is>
      </c>
      <c r="H654" s="15" t="inlineStr">
        <is>
          <t xml:space="preserve">Bible_Journey_Canon_Map_v0_3_2Chronicles_Wisdom_2Kings.xlsx</t>
        </is>
      </c>
      <c r="I654" s="15" t="inlineStr">
        <is>
          <t xml:space="preserve">Chapter Map</t>
        </is>
      </c>
      <c r="J654" s="15" t="inlineStr">
        <is>
          <t xml:space="preserve">CRS-WIS-002</t>
        </is>
      </c>
      <c r="K654" s="15"/>
      <c r="L654" s="10" t="inlineStr">
        <is>
          <t xml:space="preserve">Mapped with disclosed uncertainty</t>
        </is>
      </c>
      <c r="M654" s="15" t="inlineStr">
        <is>
          <t xml:space="preserve">The collection is traditionally linked to Solomon but individual sayings should not be treated as datable scenes in his life.</t>
        </is>
      </c>
      <c r="N654" s="15"/>
      <c r="O654" s="15">
        <v>1</v>
      </c>
      <c r="P654" s="10" t="str">
        <f>IF(L654="MISSING","MISSING",IF(O654=1,"PASS","DUPLICATE"))</f>
        <v>PASS</v>
      </c>
    </row>
    <row r="655" ht="22" customHeight="1">
      <c r="A655" s="15" t="inlineStr">
        <is>
          <t xml:space="preserve">Proverbs 23</t>
        </is>
      </c>
      <c r="B655" s="15">
        <v>651</v>
      </c>
      <c r="C655" s="15" t="inlineStr">
        <is>
          <t xml:space="preserve">Old Testament</t>
        </is>
      </c>
      <c r="D655" s="15">
        <v>20</v>
      </c>
      <c r="E655" s="15" t="inlineStr">
        <is>
          <t xml:space="preserve">Proverbs</t>
        </is>
      </c>
      <c r="F655" s="15">
        <v>23</v>
      </c>
      <c r="G655" s="15" t="inlineStr">
        <is>
          <t xml:space="preserve">v0.3</t>
        </is>
      </c>
      <c r="H655" s="15" t="inlineStr">
        <is>
          <t xml:space="preserve">Bible_Journey_Canon_Map_v0_3_2Chronicles_Wisdom_2Kings.xlsx</t>
        </is>
      </c>
      <c r="I655" s="15" t="inlineStr">
        <is>
          <t xml:space="preserve">Chapter Map</t>
        </is>
      </c>
      <c r="J655" s="15" t="inlineStr">
        <is>
          <t xml:space="preserve">CRS-WIS-002</t>
        </is>
      </c>
      <c r="K655" s="15"/>
      <c r="L655" s="10" t="inlineStr">
        <is>
          <t xml:space="preserve">Mapped with disclosed uncertainty</t>
        </is>
      </c>
      <c r="M655" s="15" t="inlineStr">
        <is>
          <t xml:space="preserve">The collection is traditionally linked to Solomon but individual sayings should not be treated as datable scenes in his life.</t>
        </is>
      </c>
      <c r="N655" s="15"/>
      <c r="O655" s="15">
        <v>1</v>
      </c>
      <c r="P655" s="10" t="str">
        <f>IF(L655="MISSING","MISSING",IF(O655=1,"PASS","DUPLICATE"))</f>
        <v>PASS</v>
      </c>
    </row>
    <row r="656" ht="22" customHeight="1">
      <c r="A656" s="15" t="inlineStr">
        <is>
          <t xml:space="preserve">Proverbs 24</t>
        </is>
      </c>
      <c r="B656" s="15">
        <v>652</v>
      </c>
      <c r="C656" s="15" t="inlineStr">
        <is>
          <t xml:space="preserve">Old Testament</t>
        </is>
      </c>
      <c r="D656" s="15">
        <v>20</v>
      </c>
      <c r="E656" s="15" t="inlineStr">
        <is>
          <t xml:space="preserve">Proverbs</t>
        </is>
      </c>
      <c r="F656" s="15">
        <v>24</v>
      </c>
      <c r="G656" s="15" t="inlineStr">
        <is>
          <t xml:space="preserve">v0.3</t>
        </is>
      </c>
      <c r="H656" s="15" t="inlineStr">
        <is>
          <t xml:space="preserve">Bible_Journey_Canon_Map_v0_3_2Chronicles_Wisdom_2Kings.xlsx</t>
        </is>
      </c>
      <c r="I656" s="15" t="inlineStr">
        <is>
          <t xml:space="preserve">Chapter Map</t>
        </is>
      </c>
      <c r="J656" s="15" t="inlineStr">
        <is>
          <t xml:space="preserve">CRS-WIS-002</t>
        </is>
      </c>
      <c r="K656" s="15"/>
      <c r="L656" s="10" t="inlineStr">
        <is>
          <t xml:space="preserve">Mapped with disclosed uncertainty</t>
        </is>
      </c>
      <c r="M656" s="15" t="inlineStr">
        <is>
          <t xml:space="preserve">The collection is traditionally linked to Solomon but individual sayings should not be treated as datable scenes in his life.</t>
        </is>
      </c>
      <c r="N656" s="15"/>
      <c r="O656" s="15">
        <v>1</v>
      </c>
      <c r="P656" s="10" t="str">
        <f>IF(L656="MISSING","MISSING",IF(O656=1,"PASS","DUPLICATE"))</f>
        <v>PASS</v>
      </c>
    </row>
    <row r="657" ht="22" customHeight="1">
      <c r="A657" s="15" t="inlineStr">
        <is>
          <t xml:space="preserve">Proverbs 25</t>
        </is>
      </c>
      <c r="B657" s="15">
        <v>653</v>
      </c>
      <c r="C657" s="15" t="inlineStr">
        <is>
          <t xml:space="preserve">Old Testament</t>
        </is>
      </c>
      <c r="D657" s="15">
        <v>20</v>
      </c>
      <c r="E657" s="15" t="inlineStr">
        <is>
          <t xml:space="preserve">Proverbs</t>
        </is>
      </c>
      <c r="F657" s="15">
        <v>25</v>
      </c>
      <c r="G657" s="15" t="inlineStr">
        <is>
          <t xml:space="preserve">v0.3</t>
        </is>
      </c>
      <c r="H657" s="15" t="inlineStr">
        <is>
          <t xml:space="preserve">Bible_Journey_Canon_Map_v0_3_2Chronicles_Wisdom_2Kings.xlsx</t>
        </is>
      </c>
      <c r="I657" s="15" t="inlineStr">
        <is>
          <t xml:space="preserve">Chapter Map</t>
        </is>
      </c>
      <c r="J657" s="15" t="inlineStr">
        <is>
          <t xml:space="preserve">CRS-WIS-005</t>
        </is>
      </c>
      <c r="K657" s="15"/>
      <c r="L657" s="10" t="inlineStr">
        <is>
          <t xml:space="preserve">Mapped</t>
        </is>
      </c>
      <c r="M657" s="15" t="inlineStr">
        <is>
          <t xml:space="preserve">Proverbs 25:1 explicitly associates this collection with the men of Hezekiah; that supports a collection context, not a composition date for every proverb.</t>
        </is>
      </c>
      <c r="N657" s="15"/>
      <c r="O657" s="15">
        <v>1</v>
      </c>
      <c r="P657" s="10" t="str">
        <f>IF(L657="MISSING","MISSING",IF(O657=1,"PASS","DUPLICATE"))</f>
        <v>PASS</v>
      </c>
    </row>
    <row r="658" ht="22" customHeight="1">
      <c r="A658" s="15" t="inlineStr">
        <is>
          <t xml:space="preserve">Proverbs 26</t>
        </is>
      </c>
      <c r="B658" s="15">
        <v>654</v>
      </c>
      <c r="C658" s="15" t="inlineStr">
        <is>
          <t xml:space="preserve">Old Testament</t>
        </is>
      </c>
      <c r="D658" s="15">
        <v>20</v>
      </c>
      <c r="E658" s="15" t="inlineStr">
        <is>
          <t xml:space="preserve">Proverbs</t>
        </is>
      </c>
      <c r="F658" s="15">
        <v>26</v>
      </c>
      <c r="G658" s="15" t="inlineStr">
        <is>
          <t xml:space="preserve">v0.3</t>
        </is>
      </c>
      <c r="H658" s="15" t="inlineStr">
        <is>
          <t xml:space="preserve">Bible_Journey_Canon_Map_v0_3_2Chronicles_Wisdom_2Kings.xlsx</t>
        </is>
      </c>
      <c r="I658" s="15" t="inlineStr">
        <is>
          <t xml:space="preserve">Chapter Map</t>
        </is>
      </c>
      <c r="J658" s="15" t="inlineStr">
        <is>
          <t xml:space="preserve">CRS-WIS-005</t>
        </is>
      </c>
      <c r="K658" s="15"/>
      <c r="L658" s="10" t="inlineStr">
        <is>
          <t xml:space="preserve">Mapped</t>
        </is>
      </c>
      <c r="M658" s="15" t="inlineStr">
        <is>
          <t xml:space="preserve">Proverbs 25:1 explicitly associates this collection with the men of Hezekiah; that supports a collection context, not a composition date for every proverb.</t>
        </is>
      </c>
      <c r="N658" s="15"/>
      <c r="O658" s="15">
        <v>1</v>
      </c>
      <c r="P658" s="10" t="str">
        <f>IF(L658="MISSING","MISSING",IF(O658=1,"PASS","DUPLICATE"))</f>
        <v>PASS</v>
      </c>
    </row>
    <row r="659" ht="22" customHeight="1">
      <c r="A659" s="15" t="inlineStr">
        <is>
          <t xml:space="preserve">Proverbs 27</t>
        </is>
      </c>
      <c r="B659" s="15">
        <v>655</v>
      </c>
      <c r="C659" s="15" t="inlineStr">
        <is>
          <t xml:space="preserve">Old Testament</t>
        </is>
      </c>
      <c r="D659" s="15">
        <v>20</v>
      </c>
      <c r="E659" s="15" t="inlineStr">
        <is>
          <t xml:space="preserve">Proverbs</t>
        </is>
      </c>
      <c r="F659" s="15">
        <v>27</v>
      </c>
      <c r="G659" s="15" t="inlineStr">
        <is>
          <t xml:space="preserve">v0.3</t>
        </is>
      </c>
      <c r="H659" s="15" t="inlineStr">
        <is>
          <t xml:space="preserve">Bible_Journey_Canon_Map_v0_3_2Chronicles_Wisdom_2Kings.xlsx</t>
        </is>
      </c>
      <c r="I659" s="15" t="inlineStr">
        <is>
          <t xml:space="preserve">Chapter Map</t>
        </is>
      </c>
      <c r="J659" s="15" t="inlineStr">
        <is>
          <t xml:space="preserve">CRS-WIS-005</t>
        </is>
      </c>
      <c r="K659" s="15"/>
      <c r="L659" s="10" t="inlineStr">
        <is>
          <t xml:space="preserve">Mapped</t>
        </is>
      </c>
      <c r="M659" s="15" t="inlineStr">
        <is>
          <t xml:space="preserve">Proverbs 25:1 explicitly associates this collection with the men of Hezekiah; that supports a collection context, not a composition date for every proverb.</t>
        </is>
      </c>
      <c r="N659" s="15"/>
      <c r="O659" s="15">
        <v>1</v>
      </c>
      <c r="P659" s="10" t="str">
        <f>IF(L659="MISSING","MISSING",IF(O659=1,"PASS","DUPLICATE"))</f>
        <v>PASS</v>
      </c>
    </row>
    <row r="660" ht="22" customHeight="1">
      <c r="A660" s="15" t="inlineStr">
        <is>
          <t xml:space="preserve">Proverbs 28</t>
        </is>
      </c>
      <c r="B660" s="15">
        <v>656</v>
      </c>
      <c r="C660" s="15" t="inlineStr">
        <is>
          <t xml:space="preserve">Old Testament</t>
        </is>
      </c>
      <c r="D660" s="15">
        <v>20</v>
      </c>
      <c r="E660" s="15" t="inlineStr">
        <is>
          <t xml:space="preserve">Proverbs</t>
        </is>
      </c>
      <c r="F660" s="15">
        <v>28</v>
      </c>
      <c r="G660" s="15" t="inlineStr">
        <is>
          <t xml:space="preserve">v0.3</t>
        </is>
      </c>
      <c r="H660" s="15" t="inlineStr">
        <is>
          <t xml:space="preserve">Bible_Journey_Canon_Map_v0_3_2Chronicles_Wisdom_2Kings.xlsx</t>
        </is>
      </c>
      <c r="I660" s="15" t="inlineStr">
        <is>
          <t xml:space="preserve">Chapter Map</t>
        </is>
      </c>
      <c r="J660" s="15" t="inlineStr">
        <is>
          <t xml:space="preserve">CRS-WIS-005</t>
        </is>
      </c>
      <c r="K660" s="15"/>
      <c r="L660" s="10" t="inlineStr">
        <is>
          <t xml:space="preserve">Mapped</t>
        </is>
      </c>
      <c r="M660" s="15" t="inlineStr">
        <is>
          <t xml:space="preserve">Proverbs 25:1 explicitly associates this collection with the men of Hezekiah; that supports a collection context, not a composition date for every proverb.</t>
        </is>
      </c>
      <c r="N660" s="15"/>
      <c r="O660" s="15">
        <v>1</v>
      </c>
      <c r="P660" s="10" t="str">
        <f>IF(L660="MISSING","MISSING",IF(O660=1,"PASS","DUPLICATE"))</f>
        <v>PASS</v>
      </c>
    </row>
    <row r="661" ht="22" customHeight="1">
      <c r="A661" s="15" t="inlineStr">
        <is>
          <t xml:space="preserve">Proverbs 29</t>
        </is>
      </c>
      <c r="B661" s="15">
        <v>657</v>
      </c>
      <c r="C661" s="15" t="inlineStr">
        <is>
          <t xml:space="preserve">Old Testament</t>
        </is>
      </c>
      <c r="D661" s="15">
        <v>20</v>
      </c>
      <c r="E661" s="15" t="inlineStr">
        <is>
          <t xml:space="preserve">Proverbs</t>
        </is>
      </c>
      <c r="F661" s="15">
        <v>29</v>
      </c>
      <c r="G661" s="15" t="inlineStr">
        <is>
          <t xml:space="preserve">v0.3</t>
        </is>
      </c>
      <c r="H661" s="15" t="inlineStr">
        <is>
          <t xml:space="preserve">Bible_Journey_Canon_Map_v0_3_2Chronicles_Wisdom_2Kings.xlsx</t>
        </is>
      </c>
      <c r="I661" s="15" t="inlineStr">
        <is>
          <t xml:space="preserve">Chapter Map</t>
        </is>
      </c>
      <c r="J661" s="15" t="inlineStr">
        <is>
          <t xml:space="preserve">CRS-WIS-005</t>
        </is>
      </c>
      <c r="K661" s="15"/>
      <c r="L661" s="10" t="inlineStr">
        <is>
          <t xml:space="preserve">Mapped</t>
        </is>
      </c>
      <c r="M661" s="15" t="inlineStr">
        <is>
          <t xml:space="preserve">Proverbs 25:1 explicitly associates this collection with the men of Hezekiah; that supports a collection context, not a composition date for every proverb.</t>
        </is>
      </c>
      <c r="N661" s="15"/>
      <c r="O661" s="15">
        <v>1</v>
      </c>
      <c r="P661" s="10" t="str">
        <f>IF(L661="MISSING","MISSING",IF(O661=1,"PASS","DUPLICATE"))</f>
        <v>PASS</v>
      </c>
    </row>
    <row r="662" ht="22" customHeight="1">
      <c r="A662" s="15" t="inlineStr">
        <is>
          <t xml:space="preserve">Proverbs 30</t>
        </is>
      </c>
      <c r="B662" s="15">
        <v>658</v>
      </c>
      <c r="C662" s="15" t="inlineStr">
        <is>
          <t xml:space="preserve">Old Testament</t>
        </is>
      </c>
      <c r="D662" s="15">
        <v>20</v>
      </c>
      <c r="E662" s="15" t="inlineStr">
        <is>
          <t xml:space="preserve">Proverbs</t>
        </is>
      </c>
      <c r="F662" s="15">
        <v>30</v>
      </c>
      <c r="G662" s="15" t="inlineStr">
        <is>
          <t xml:space="preserve">v0.3</t>
        </is>
      </c>
      <c r="H662" s="15" t="inlineStr">
        <is>
          <t xml:space="preserve">Bible_Journey_Canon_Map_v0_3_2Chronicles_Wisdom_2Kings.xlsx</t>
        </is>
      </c>
      <c r="I662" s="15" t="inlineStr">
        <is>
          <t xml:space="preserve">Chapter Map</t>
        </is>
      </c>
      <c r="J662" s="15" t="inlineStr">
        <is>
          <t xml:space="preserve">CRS-WIS-006</t>
        </is>
      </c>
      <c r="K662" s="15"/>
      <c r="L662" s="10" t="inlineStr">
        <is>
          <t xml:space="preserve">Mapped with disclosed uncertainty</t>
        </is>
      </c>
      <c r="M662" s="15" t="inlineStr">
        <is>
          <t xml:space="preserve">The text identifies Agur; the app will not force it into Solomon's biography.</t>
        </is>
      </c>
      <c r="N662" s="15"/>
      <c r="O662" s="15">
        <v>1</v>
      </c>
      <c r="P662" s="10" t="str">
        <f>IF(L662="MISSING","MISSING",IF(O662=1,"PASS","DUPLICATE"))</f>
        <v>PASS</v>
      </c>
    </row>
    <row r="663" ht="22" customHeight="1">
      <c r="A663" s="15" t="inlineStr">
        <is>
          <t xml:space="preserve">Proverbs 31</t>
        </is>
      </c>
      <c r="B663" s="15">
        <v>659</v>
      </c>
      <c r="C663" s="15" t="inlineStr">
        <is>
          <t xml:space="preserve">Old Testament</t>
        </is>
      </c>
      <c r="D663" s="15">
        <v>20</v>
      </c>
      <c r="E663" s="15" t="inlineStr">
        <is>
          <t xml:space="preserve">Proverbs</t>
        </is>
      </c>
      <c r="F663" s="15">
        <v>31</v>
      </c>
      <c r="G663" s="15" t="inlineStr">
        <is>
          <t xml:space="preserve">v0.3</t>
        </is>
      </c>
      <c r="H663" s="15" t="inlineStr">
        <is>
          <t xml:space="preserve">Bible_Journey_Canon_Map_v0_3_2Chronicles_Wisdom_2Kings.xlsx</t>
        </is>
      </c>
      <c r="I663" s="15" t="inlineStr">
        <is>
          <t xml:space="preserve">Chapter Map</t>
        </is>
      </c>
      <c r="J663" s="15" t="inlineStr">
        <is>
          <t xml:space="preserve">CRS-WIS-007</t>
        </is>
      </c>
      <c r="K663" s="15"/>
      <c r="L663" s="10" t="inlineStr">
        <is>
          <t xml:space="preserve">Mapped with disclosed uncertainty</t>
        </is>
      </c>
      <c r="M663" s="15" t="inlineStr">
        <is>
          <t xml:space="preserve">The text identifies Lemuel and his mother; the app will not attribute it automatically to Solomon.</t>
        </is>
      </c>
      <c r="N663" s="15"/>
      <c r="O663" s="15">
        <v>1</v>
      </c>
      <c r="P663" s="10" t="str">
        <f>IF(L663="MISSING","MISSING",IF(O663=1,"PASS","DUPLICATE"))</f>
        <v>PASS</v>
      </c>
    </row>
    <row r="664" ht="22" customHeight="1">
      <c r="A664" s="15" t="inlineStr">
        <is>
          <t xml:space="preserve">Ecclesiastes 1</t>
        </is>
      </c>
      <c r="B664" s="15">
        <v>660</v>
      </c>
      <c r="C664" s="15" t="inlineStr">
        <is>
          <t xml:space="preserve">Old Testament</t>
        </is>
      </c>
      <c r="D664" s="15">
        <v>21</v>
      </c>
      <c r="E664" s="15" t="inlineStr">
        <is>
          <t xml:space="preserve">Ecclesiastes</t>
        </is>
      </c>
      <c r="F664" s="15">
        <v>1</v>
      </c>
      <c r="G664" s="15" t="inlineStr">
        <is>
          <t xml:space="preserve">v0.3</t>
        </is>
      </c>
      <c r="H664" s="15" t="inlineStr">
        <is>
          <t xml:space="preserve">Bible_Journey_Canon_Map_v0_3_2Chronicles_Wisdom_2Kings.xlsx</t>
        </is>
      </c>
      <c r="I664" s="15" t="inlineStr">
        <is>
          <t xml:space="preserve">Chapter Map</t>
        </is>
      </c>
      <c r="J664" s="15" t="inlineStr">
        <is>
          <t xml:space="preserve">CRS-WIS-004</t>
        </is>
      </c>
      <c r="K664" s="15"/>
      <c r="L664" s="10" t="inlineStr">
        <is>
          <t xml:space="preserve">Mapped with disclosed uncertainty</t>
        </is>
      </c>
      <c r="M664" s="15" t="inlineStr">
        <is>
          <t xml:space="preserve">Placed in the traditional Solomonic association window but never labeled as a late-life autobiography without an explicit interpretive note.</t>
        </is>
      </c>
      <c r="N664" s="15"/>
      <c r="O664" s="15">
        <v>1</v>
      </c>
      <c r="P664" s="10" t="str">
        <f>IF(L664="MISSING","MISSING",IF(O664=1,"PASS","DUPLICATE"))</f>
        <v>PASS</v>
      </c>
    </row>
    <row r="665" ht="22" customHeight="1">
      <c r="A665" s="15" t="inlineStr">
        <is>
          <t xml:space="preserve">Ecclesiastes 2</t>
        </is>
      </c>
      <c r="B665" s="15">
        <v>661</v>
      </c>
      <c r="C665" s="15" t="inlineStr">
        <is>
          <t xml:space="preserve">Old Testament</t>
        </is>
      </c>
      <c r="D665" s="15">
        <v>21</v>
      </c>
      <c r="E665" s="15" t="inlineStr">
        <is>
          <t xml:space="preserve">Ecclesiastes</t>
        </is>
      </c>
      <c r="F665" s="15">
        <v>2</v>
      </c>
      <c r="G665" s="15" t="inlineStr">
        <is>
          <t xml:space="preserve">v0.3</t>
        </is>
      </c>
      <c r="H665" s="15" t="inlineStr">
        <is>
          <t xml:space="preserve">Bible_Journey_Canon_Map_v0_3_2Chronicles_Wisdom_2Kings.xlsx</t>
        </is>
      </c>
      <c r="I665" s="15" t="inlineStr">
        <is>
          <t xml:space="preserve">Chapter Map</t>
        </is>
      </c>
      <c r="J665" s="15" t="inlineStr">
        <is>
          <t xml:space="preserve">CRS-WIS-004</t>
        </is>
      </c>
      <c r="K665" s="15"/>
      <c r="L665" s="10" t="inlineStr">
        <is>
          <t xml:space="preserve">Mapped with disclosed uncertainty</t>
        </is>
      </c>
      <c r="M665" s="15" t="inlineStr">
        <is>
          <t xml:space="preserve">Placed in the traditional Solomonic association window but never labeled as a late-life autobiography without an explicit interpretive note.</t>
        </is>
      </c>
      <c r="N665" s="15"/>
      <c r="O665" s="15">
        <v>1</v>
      </c>
      <c r="P665" s="10" t="str">
        <f>IF(L665="MISSING","MISSING",IF(O665=1,"PASS","DUPLICATE"))</f>
        <v>PASS</v>
      </c>
    </row>
    <row r="666" ht="22" customHeight="1">
      <c r="A666" s="15" t="inlineStr">
        <is>
          <t xml:space="preserve">Ecclesiastes 3</t>
        </is>
      </c>
      <c r="B666" s="15">
        <v>662</v>
      </c>
      <c r="C666" s="15" t="inlineStr">
        <is>
          <t xml:space="preserve">Old Testament</t>
        </is>
      </c>
      <c r="D666" s="15">
        <v>21</v>
      </c>
      <c r="E666" s="15" t="inlineStr">
        <is>
          <t xml:space="preserve">Ecclesiastes</t>
        </is>
      </c>
      <c r="F666" s="15">
        <v>3</v>
      </c>
      <c r="G666" s="15" t="inlineStr">
        <is>
          <t xml:space="preserve">v0.3</t>
        </is>
      </c>
      <c r="H666" s="15" t="inlineStr">
        <is>
          <t xml:space="preserve">Bible_Journey_Canon_Map_v0_3_2Chronicles_Wisdom_2Kings.xlsx</t>
        </is>
      </c>
      <c r="I666" s="15" t="inlineStr">
        <is>
          <t xml:space="preserve">Chapter Map</t>
        </is>
      </c>
      <c r="J666" s="15" t="inlineStr">
        <is>
          <t xml:space="preserve">CRS-WIS-004</t>
        </is>
      </c>
      <c r="K666" s="15"/>
      <c r="L666" s="10" t="inlineStr">
        <is>
          <t xml:space="preserve">Mapped with disclosed uncertainty</t>
        </is>
      </c>
      <c r="M666" s="15" t="inlineStr">
        <is>
          <t xml:space="preserve">Placed in the traditional Solomonic association window but never labeled as a late-life autobiography without an explicit interpretive note.</t>
        </is>
      </c>
      <c r="N666" s="15"/>
      <c r="O666" s="15">
        <v>1</v>
      </c>
      <c r="P666" s="10" t="str">
        <f>IF(L666="MISSING","MISSING",IF(O666=1,"PASS","DUPLICATE"))</f>
        <v>PASS</v>
      </c>
    </row>
    <row r="667" ht="22" customHeight="1">
      <c r="A667" s="15" t="inlineStr">
        <is>
          <t xml:space="preserve">Ecclesiastes 4</t>
        </is>
      </c>
      <c r="B667" s="15">
        <v>663</v>
      </c>
      <c r="C667" s="15" t="inlineStr">
        <is>
          <t xml:space="preserve">Old Testament</t>
        </is>
      </c>
      <c r="D667" s="15">
        <v>21</v>
      </c>
      <c r="E667" s="15" t="inlineStr">
        <is>
          <t xml:space="preserve">Ecclesiastes</t>
        </is>
      </c>
      <c r="F667" s="15">
        <v>4</v>
      </c>
      <c r="G667" s="15" t="inlineStr">
        <is>
          <t xml:space="preserve">v0.3</t>
        </is>
      </c>
      <c r="H667" s="15" t="inlineStr">
        <is>
          <t xml:space="preserve">Bible_Journey_Canon_Map_v0_3_2Chronicles_Wisdom_2Kings.xlsx</t>
        </is>
      </c>
      <c r="I667" s="15" t="inlineStr">
        <is>
          <t xml:space="preserve">Chapter Map</t>
        </is>
      </c>
      <c r="J667" s="15" t="inlineStr">
        <is>
          <t xml:space="preserve">CRS-WIS-004</t>
        </is>
      </c>
      <c r="K667" s="15"/>
      <c r="L667" s="10" t="inlineStr">
        <is>
          <t xml:space="preserve">Mapped with disclosed uncertainty</t>
        </is>
      </c>
      <c r="M667" s="15" t="inlineStr">
        <is>
          <t xml:space="preserve">Placed in the traditional Solomonic association window but never labeled as a late-life autobiography without an explicit interpretive note.</t>
        </is>
      </c>
      <c r="N667" s="15"/>
      <c r="O667" s="15">
        <v>1</v>
      </c>
      <c r="P667" s="10" t="str">
        <f>IF(L667="MISSING","MISSING",IF(O667=1,"PASS","DUPLICATE"))</f>
        <v>PASS</v>
      </c>
    </row>
    <row r="668" ht="22" customHeight="1">
      <c r="A668" s="15" t="inlineStr">
        <is>
          <t xml:space="preserve">Ecclesiastes 5</t>
        </is>
      </c>
      <c r="B668" s="15">
        <v>664</v>
      </c>
      <c r="C668" s="15" t="inlineStr">
        <is>
          <t xml:space="preserve">Old Testament</t>
        </is>
      </c>
      <c r="D668" s="15">
        <v>21</v>
      </c>
      <c r="E668" s="15" t="inlineStr">
        <is>
          <t xml:space="preserve">Ecclesiastes</t>
        </is>
      </c>
      <c r="F668" s="15">
        <v>5</v>
      </c>
      <c r="G668" s="15" t="inlineStr">
        <is>
          <t xml:space="preserve">v0.3</t>
        </is>
      </c>
      <c r="H668" s="15" t="inlineStr">
        <is>
          <t xml:space="preserve">Bible_Journey_Canon_Map_v0_3_2Chronicles_Wisdom_2Kings.xlsx</t>
        </is>
      </c>
      <c r="I668" s="15" t="inlineStr">
        <is>
          <t xml:space="preserve">Chapter Map</t>
        </is>
      </c>
      <c r="J668" s="15" t="inlineStr">
        <is>
          <t xml:space="preserve">CRS-WIS-004</t>
        </is>
      </c>
      <c r="K668" s="15"/>
      <c r="L668" s="10" t="inlineStr">
        <is>
          <t xml:space="preserve">Mapped with disclosed uncertainty</t>
        </is>
      </c>
      <c r="M668" s="15" t="inlineStr">
        <is>
          <t xml:space="preserve">Placed in the traditional Solomonic association window but never labeled as a late-life autobiography without an explicit interpretive note.</t>
        </is>
      </c>
      <c r="N668" s="15"/>
      <c r="O668" s="15">
        <v>1</v>
      </c>
      <c r="P668" s="10" t="str">
        <f>IF(L668="MISSING","MISSING",IF(O668=1,"PASS","DUPLICATE"))</f>
        <v>PASS</v>
      </c>
    </row>
    <row r="669" ht="22" customHeight="1">
      <c r="A669" s="15" t="inlineStr">
        <is>
          <t xml:space="preserve">Ecclesiastes 6</t>
        </is>
      </c>
      <c r="B669" s="15">
        <v>665</v>
      </c>
      <c r="C669" s="15" t="inlineStr">
        <is>
          <t xml:space="preserve">Old Testament</t>
        </is>
      </c>
      <c r="D669" s="15">
        <v>21</v>
      </c>
      <c r="E669" s="15" t="inlineStr">
        <is>
          <t xml:space="preserve">Ecclesiastes</t>
        </is>
      </c>
      <c r="F669" s="15">
        <v>6</v>
      </c>
      <c r="G669" s="15" t="inlineStr">
        <is>
          <t xml:space="preserve">v0.3</t>
        </is>
      </c>
      <c r="H669" s="15" t="inlineStr">
        <is>
          <t xml:space="preserve">Bible_Journey_Canon_Map_v0_3_2Chronicles_Wisdom_2Kings.xlsx</t>
        </is>
      </c>
      <c r="I669" s="15" t="inlineStr">
        <is>
          <t xml:space="preserve">Chapter Map</t>
        </is>
      </c>
      <c r="J669" s="15" t="inlineStr">
        <is>
          <t xml:space="preserve">CRS-WIS-004</t>
        </is>
      </c>
      <c r="K669" s="15"/>
      <c r="L669" s="10" t="inlineStr">
        <is>
          <t xml:space="preserve">Mapped with disclosed uncertainty</t>
        </is>
      </c>
      <c r="M669" s="15" t="inlineStr">
        <is>
          <t xml:space="preserve">Placed in the traditional Solomonic association window but never labeled as a late-life autobiography without an explicit interpretive note.</t>
        </is>
      </c>
      <c r="N669" s="15"/>
      <c r="O669" s="15">
        <v>1</v>
      </c>
      <c r="P669" s="10" t="str">
        <f>IF(L669="MISSING","MISSING",IF(O669=1,"PASS","DUPLICATE"))</f>
        <v>PASS</v>
      </c>
    </row>
    <row r="670" ht="22" customHeight="1">
      <c r="A670" s="15" t="inlineStr">
        <is>
          <t xml:space="preserve">Ecclesiastes 7</t>
        </is>
      </c>
      <c r="B670" s="15">
        <v>666</v>
      </c>
      <c r="C670" s="15" t="inlineStr">
        <is>
          <t xml:space="preserve">Old Testament</t>
        </is>
      </c>
      <c r="D670" s="15">
        <v>21</v>
      </c>
      <c r="E670" s="15" t="inlineStr">
        <is>
          <t xml:space="preserve">Ecclesiastes</t>
        </is>
      </c>
      <c r="F670" s="15">
        <v>7</v>
      </c>
      <c r="G670" s="15" t="inlineStr">
        <is>
          <t xml:space="preserve">v0.3</t>
        </is>
      </c>
      <c r="H670" s="15" t="inlineStr">
        <is>
          <t xml:space="preserve">Bible_Journey_Canon_Map_v0_3_2Chronicles_Wisdom_2Kings.xlsx</t>
        </is>
      </c>
      <c r="I670" s="15" t="inlineStr">
        <is>
          <t xml:space="preserve">Chapter Map</t>
        </is>
      </c>
      <c r="J670" s="15" t="inlineStr">
        <is>
          <t xml:space="preserve">CRS-WIS-004</t>
        </is>
      </c>
      <c r="K670" s="15"/>
      <c r="L670" s="10" t="inlineStr">
        <is>
          <t xml:space="preserve">Mapped with disclosed uncertainty</t>
        </is>
      </c>
      <c r="M670" s="15" t="inlineStr">
        <is>
          <t xml:space="preserve">Placed in the traditional Solomonic association window but never labeled as a late-life autobiography without an explicit interpretive note.</t>
        </is>
      </c>
      <c r="N670" s="15"/>
      <c r="O670" s="15">
        <v>1</v>
      </c>
      <c r="P670" s="10" t="str">
        <f>IF(L670="MISSING","MISSING",IF(O670=1,"PASS","DUPLICATE"))</f>
        <v>PASS</v>
      </c>
    </row>
    <row r="671" ht="22" customHeight="1">
      <c r="A671" s="15" t="inlineStr">
        <is>
          <t xml:space="preserve">Ecclesiastes 8</t>
        </is>
      </c>
      <c r="B671" s="15">
        <v>667</v>
      </c>
      <c r="C671" s="15" t="inlineStr">
        <is>
          <t xml:space="preserve">Old Testament</t>
        </is>
      </c>
      <c r="D671" s="15">
        <v>21</v>
      </c>
      <c r="E671" s="15" t="inlineStr">
        <is>
          <t xml:space="preserve">Ecclesiastes</t>
        </is>
      </c>
      <c r="F671" s="15">
        <v>8</v>
      </c>
      <c r="G671" s="15" t="inlineStr">
        <is>
          <t xml:space="preserve">v0.3</t>
        </is>
      </c>
      <c r="H671" s="15" t="inlineStr">
        <is>
          <t xml:space="preserve">Bible_Journey_Canon_Map_v0_3_2Chronicles_Wisdom_2Kings.xlsx</t>
        </is>
      </c>
      <c r="I671" s="15" t="inlineStr">
        <is>
          <t xml:space="preserve">Chapter Map</t>
        </is>
      </c>
      <c r="J671" s="15" t="inlineStr">
        <is>
          <t xml:space="preserve">CRS-WIS-004</t>
        </is>
      </c>
      <c r="K671" s="15"/>
      <c r="L671" s="10" t="inlineStr">
        <is>
          <t xml:space="preserve">Mapped with disclosed uncertainty</t>
        </is>
      </c>
      <c r="M671" s="15" t="inlineStr">
        <is>
          <t xml:space="preserve">Placed in the traditional Solomonic association window but never labeled as a late-life autobiography without an explicit interpretive note.</t>
        </is>
      </c>
      <c r="N671" s="15"/>
      <c r="O671" s="15">
        <v>1</v>
      </c>
      <c r="P671" s="10" t="str">
        <f>IF(L671="MISSING","MISSING",IF(O671=1,"PASS","DUPLICATE"))</f>
        <v>PASS</v>
      </c>
    </row>
    <row r="672" ht="22" customHeight="1">
      <c r="A672" s="15" t="inlineStr">
        <is>
          <t xml:space="preserve">Ecclesiastes 9</t>
        </is>
      </c>
      <c r="B672" s="15">
        <v>668</v>
      </c>
      <c r="C672" s="15" t="inlineStr">
        <is>
          <t xml:space="preserve">Old Testament</t>
        </is>
      </c>
      <c r="D672" s="15">
        <v>21</v>
      </c>
      <c r="E672" s="15" t="inlineStr">
        <is>
          <t xml:space="preserve">Ecclesiastes</t>
        </is>
      </c>
      <c r="F672" s="15">
        <v>9</v>
      </c>
      <c r="G672" s="15" t="inlineStr">
        <is>
          <t xml:space="preserve">v0.3</t>
        </is>
      </c>
      <c r="H672" s="15" t="inlineStr">
        <is>
          <t xml:space="preserve">Bible_Journey_Canon_Map_v0_3_2Chronicles_Wisdom_2Kings.xlsx</t>
        </is>
      </c>
      <c r="I672" s="15" t="inlineStr">
        <is>
          <t xml:space="preserve">Chapter Map</t>
        </is>
      </c>
      <c r="J672" s="15" t="inlineStr">
        <is>
          <t xml:space="preserve">CRS-WIS-004</t>
        </is>
      </c>
      <c r="K672" s="15"/>
      <c r="L672" s="10" t="inlineStr">
        <is>
          <t xml:space="preserve">Mapped with disclosed uncertainty</t>
        </is>
      </c>
      <c r="M672" s="15" t="inlineStr">
        <is>
          <t xml:space="preserve">Placed in the traditional Solomonic association window but never labeled as a late-life autobiography without an explicit interpretive note.</t>
        </is>
      </c>
      <c r="N672" s="15"/>
      <c r="O672" s="15">
        <v>1</v>
      </c>
      <c r="P672" s="10" t="str">
        <f>IF(L672="MISSING","MISSING",IF(O672=1,"PASS","DUPLICATE"))</f>
        <v>PASS</v>
      </c>
    </row>
    <row r="673" ht="22" customHeight="1">
      <c r="A673" s="15" t="inlineStr">
        <is>
          <t xml:space="preserve">Ecclesiastes 10</t>
        </is>
      </c>
      <c r="B673" s="15">
        <v>669</v>
      </c>
      <c r="C673" s="15" t="inlineStr">
        <is>
          <t xml:space="preserve">Old Testament</t>
        </is>
      </c>
      <c r="D673" s="15">
        <v>21</v>
      </c>
      <c r="E673" s="15" t="inlineStr">
        <is>
          <t xml:space="preserve">Ecclesiastes</t>
        </is>
      </c>
      <c r="F673" s="15">
        <v>10</v>
      </c>
      <c r="G673" s="15" t="inlineStr">
        <is>
          <t xml:space="preserve">v0.3</t>
        </is>
      </c>
      <c r="H673" s="15" t="inlineStr">
        <is>
          <t xml:space="preserve">Bible_Journey_Canon_Map_v0_3_2Chronicles_Wisdom_2Kings.xlsx</t>
        </is>
      </c>
      <c r="I673" s="15" t="inlineStr">
        <is>
          <t xml:space="preserve">Chapter Map</t>
        </is>
      </c>
      <c r="J673" s="15" t="inlineStr">
        <is>
          <t xml:space="preserve">CRS-WIS-004</t>
        </is>
      </c>
      <c r="K673" s="15"/>
      <c r="L673" s="10" t="inlineStr">
        <is>
          <t xml:space="preserve">Mapped with disclosed uncertainty</t>
        </is>
      </c>
      <c r="M673" s="15" t="inlineStr">
        <is>
          <t xml:space="preserve">Placed in the traditional Solomonic association window but never labeled as a late-life autobiography without an explicit interpretive note.</t>
        </is>
      </c>
      <c r="N673" s="15"/>
      <c r="O673" s="15">
        <v>1</v>
      </c>
      <c r="P673" s="10" t="str">
        <f>IF(L673="MISSING","MISSING",IF(O673=1,"PASS","DUPLICATE"))</f>
        <v>PASS</v>
      </c>
    </row>
    <row r="674" ht="22" customHeight="1">
      <c r="A674" s="15" t="inlineStr">
        <is>
          <t xml:space="preserve">Ecclesiastes 11</t>
        </is>
      </c>
      <c r="B674" s="15">
        <v>670</v>
      </c>
      <c r="C674" s="15" t="inlineStr">
        <is>
          <t xml:space="preserve">Old Testament</t>
        </is>
      </c>
      <c r="D674" s="15">
        <v>21</v>
      </c>
      <c r="E674" s="15" t="inlineStr">
        <is>
          <t xml:space="preserve">Ecclesiastes</t>
        </is>
      </c>
      <c r="F674" s="15">
        <v>11</v>
      </c>
      <c r="G674" s="15" t="inlineStr">
        <is>
          <t xml:space="preserve">v0.3</t>
        </is>
      </c>
      <c r="H674" s="15" t="inlineStr">
        <is>
          <t xml:space="preserve">Bible_Journey_Canon_Map_v0_3_2Chronicles_Wisdom_2Kings.xlsx</t>
        </is>
      </c>
      <c r="I674" s="15" t="inlineStr">
        <is>
          <t xml:space="preserve">Chapter Map</t>
        </is>
      </c>
      <c r="J674" s="15" t="inlineStr">
        <is>
          <t xml:space="preserve">CRS-WIS-004</t>
        </is>
      </c>
      <c r="K674" s="15"/>
      <c r="L674" s="10" t="inlineStr">
        <is>
          <t xml:space="preserve">Mapped with disclosed uncertainty</t>
        </is>
      </c>
      <c r="M674" s="15" t="inlineStr">
        <is>
          <t xml:space="preserve">Placed in the traditional Solomonic association window but never labeled as a late-life autobiography without an explicit interpretive note.</t>
        </is>
      </c>
      <c r="N674" s="15"/>
      <c r="O674" s="15">
        <v>1</v>
      </c>
      <c r="P674" s="10" t="str">
        <f>IF(L674="MISSING","MISSING",IF(O674=1,"PASS","DUPLICATE"))</f>
        <v>PASS</v>
      </c>
    </row>
    <row r="675" ht="22" customHeight="1">
      <c r="A675" s="15" t="inlineStr">
        <is>
          <t xml:space="preserve">Ecclesiastes 12</t>
        </is>
      </c>
      <c r="B675" s="15">
        <v>671</v>
      </c>
      <c r="C675" s="15" t="inlineStr">
        <is>
          <t xml:space="preserve">Old Testament</t>
        </is>
      </c>
      <c r="D675" s="15">
        <v>21</v>
      </c>
      <c r="E675" s="15" t="inlineStr">
        <is>
          <t xml:space="preserve">Ecclesiastes</t>
        </is>
      </c>
      <c r="F675" s="15">
        <v>12</v>
      </c>
      <c r="G675" s="15" t="inlineStr">
        <is>
          <t xml:space="preserve">v0.3</t>
        </is>
      </c>
      <c r="H675" s="15" t="inlineStr">
        <is>
          <t xml:space="preserve">Bible_Journey_Canon_Map_v0_3_2Chronicles_Wisdom_2Kings.xlsx</t>
        </is>
      </c>
      <c r="I675" s="15" t="inlineStr">
        <is>
          <t xml:space="preserve">Chapter Map</t>
        </is>
      </c>
      <c r="J675" s="15" t="inlineStr">
        <is>
          <t xml:space="preserve">CRS-WIS-004</t>
        </is>
      </c>
      <c r="K675" s="15"/>
      <c r="L675" s="10" t="inlineStr">
        <is>
          <t xml:space="preserve">Mapped with disclosed uncertainty</t>
        </is>
      </c>
      <c r="M675" s="15" t="inlineStr">
        <is>
          <t xml:space="preserve">Placed in the traditional Solomonic association window but never labeled as a late-life autobiography without an explicit interpretive note.</t>
        </is>
      </c>
      <c r="N675" s="15"/>
      <c r="O675" s="15">
        <v>1</v>
      </c>
      <c r="P675" s="10" t="str">
        <f>IF(L675="MISSING","MISSING",IF(O675=1,"PASS","DUPLICATE"))</f>
        <v>PASS</v>
      </c>
    </row>
    <row r="676" ht="22" customHeight="1">
      <c r="A676" s="15" t="inlineStr">
        <is>
          <t xml:space="preserve">Song of Songs 1</t>
        </is>
      </c>
      <c r="B676" s="15">
        <v>672</v>
      </c>
      <c r="C676" s="15" t="inlineStr">
        <is>
          <t xml:space="preserve">Old Testament</t>
        </is>
      </c>
      <c r="D676" s="15">
        <v>22</v>
      </c>
      <c r="E676" s="15" t="inlineStr">
        <is>
          <t xml:space="preserve">Song of Songs</t>
        </is>
      </c>
      <c r="F676" s="15">
        <v>1</v>
      </c>
      <c r="G676" s="15" t="inlineStr">
        <is>
          <t xml:space="preserve">v0.3</t>
        </is>
      </c>
      <c r="H676" s="15" t="inlineStr">
        <is>
          <t xml:space="preserve">Bible_Journey_Canon_Map_v0_3_2Chronicles_Wisdom_2Kings.xlsx</t>
        </is>
      </c>
      <c r="I676" s="15" t="inlineStr">
        <is>
          <t xml:space="preserve">Chapter Map</t>
        </is>
      </c>
      <c r="J676" s="15" t="inlineStr">
        <is>
          <t xml:space="preserve">CRS-WIS-003</t>
        </is>
      </c>
      <c r="K676" s="15"/>
      <c r="L676" s="10" t="inlineStr">
        <is>
          <t xml:space="preserve">Mapped with disclosed uncertainty</t>
        </is>
      </c>
      <c r="M676" s="15" t="inlineStr">
        <is>
          <t xml:space="preserve">Placed in the traditional Solomonic association window while the app clearly distinguishes tradition from settled historical authorship.</t>
        </is>
      </c>
      <c r="N676" s="15"/>
      <c r="O676" s="15">
        <v>1</v>
      </c>
      <c r="P676" s="10" t="str">
        <f>IF(L676="MISSING","MISSING",IF(O676=1,"PASS","DUPLICATE"))</f>
        <v>PASS</v>
      </c>
    </row>
    <row r="677" ht="22" customHeight="1">
      <c r="A677" s="15" t="inlineStr">
        <is>
          <t xml:space="preserve">Song of Songs 2</t>
        </is>
      </c>
      <c r="B677" s="15">
        <v>673</v>
      </c>
      <c r="C677" s="15" t="inlineStr">
        <is>
          <t xml:space="preserve">Old Testament</t>
        </is>
      </c>
      <c r="D677" s="15">
        <v>22</v>
      </c>
      <c r="E677" s="15" t="inlineStr">
        <is>
          <t xml:space="preserve">Song of Songs</t>
        </is>
      </c>
      <c r="F677" s="15">
        <v>2</v>
      </c>
      <c r="G677" s="15" t="inlineStr">
        <is>
          <t xml:space="preserve">v0.3</t>
        </is>
      </c>
      <c r="H677" s="15" t="inlineStr">
        <is>
          <t xml:space="preserve">Bible_Journey_Canon_Map_v0_3_2Chronicles_Wisdom_2Kings.xlsx</t>
        </is>
      </c>
      <c r="I677" s="15" t="inlineStr">
        <is>
          <t xml:space="preserve">Chapter Map</t>
        </is>
      </c>
      <c r="J677" s="15" t="inlineStr">
        <is>
          <t xml:space="preserve">CRS-WIS-003</t>
        </is>
      </c>
      <c r="K677" s="15"/>
      <c r="L677" s="10" t="inlineStr">
        <is>
          <t xml:space="preserve">Mapped with disclosed uncertainty</t>
        </is>
      </c>
      <c r="M677" s="15" t="inlineStr">
        <is>
          <t xml:space="preserve">Placed in the traditional Solomonic association window while the app clearly distinguishes tradition from settled historical authorship.</t>
        </is>
      </c>
      <c r="N677" s="15"/>
      <c r="O677" s="15">
        <v>1</v>
      </c>
      <c r="P677" s="10" t="str">
        <f>IF(L677="MISSING","MISSING",IF(O677=1,"PASS","DUPLICATE"))</f>
        <v>PASS</v>
      </c>
    </row>
    <row r="678" ht="22" customHeight="1">
      <c r="A678" s="15" t="inlineStr">
        <is>
          <t xml:space="preserve">Song of Songs 3</t>
        </is>
      </c>
      <c r="B678" s="15">
        <v>674</v>
      </c>
      <c r="C678" s="15" t="inlineStr">
        <is>
          <t xml:space="preserve">Old Testament</t>
        </is>
      </c>
      <c r="D678" s="15">
        <v>22</v>
      </c>
      <c r="E678" s="15" t="inlineStr">
        <is>
          <t xml:space="preserve">Song of Songs</t>
        </is>
      </c>
      <c r="F678" s="15">
        <v>3</v>
      </c>
      <c r="G678" s="15" t="inlineStr">
        <is>
          <t xml:space="preserve">v0.3</t>
        </is>
      </c>
      <c r="H678" s="15" t="inlineStr">
        <is>
          <t xml:space="preserve">Bible_Journey_Canon_Map_v0_3_2Chronicles_Wisdom_2Kings.xlsx</t>
        </is>
      </c>
      <c r="I678" s="15" t="inlineStr">
        <is>
          <t xml:space="preserve">Chapter Map</t>
        </is>
      </c>
      <c r="J678" s="15" t="inlineStr">
        <is>
          <t xml:space="preserve">CRS-WIS-003</t>
        </is>
      </c>
      <c r="K678" s="15"/>
      <c r="L678" s="10" t="inlineStr">
        <is>
          <t xml:space="preserve">Mapped with disclosed uncertainty</t>
        </is>
      </c>
      <c r="M678" s="15" t="inlineStr">
        <is>
          <t xml:space="preserve">Placed in the traditional Solomonic association window while the app clearly distinguishes tradition from settled historical authorship.</t>
        </is>
      </c>
      <c r="N678" s="15"/>
      <c r="O678" s="15">
        <v>1</v>
      </c>
      <c r="P678" s="10" t="str">
        <f>IF(L678="MISSING","MISSING",IF(O678=1,"PASS","DUPLICATE"))</f>
        <v>PASS</v>
      </c>
    </row>
    <row r="679" ht="22" customHeight="1">
      <c r="A679" s="15" t="inlineStr">
        <is>
          <t xml:space="preserve">Song of Songs 4</t>
        </is>
      </c>
      <c r="B679" s="15">
        <v>675</v>
      </c>
      <c r="C679" s="15" t="inlineStr">
        <is>
          <t xml:space="preserve">Old Testament</t>
        </is>
      </c>
      <c r="D679" s="15">
        <v>22</v>
      </c>
      <c r="E679" s="15" t="inlineStr">
        <is>
          <t xml:space="preserve">Song of Songs</t>
        </is>
      </c>
      <c r="F679" s="15">
        <v>4</v>
      </c>
      <c r="G679" s="15" t="inlineStr">
        <is>
          <t xml:space="preserve">v0.3</t>
        </is>
      </c>
      <c r="H679" s="15" t="inlineStr">
        <is>
          <t xml:space="preserve">Bible_Journey_Canon_Map_v0_3_2Chronicles_Wisdom_2Kings.xlsx</t>
        </is>
      </c>
      <c r="I679" s="15" t="inlineStr">
        <is>
          <t xml:space="preserve">Chapter Map</t>
        </is>
      </c>
      <c r="J679" s="15" t="inlineStr">
        <is>
          <t xml:space="preserve">CRS-WIS-003</t>
        </is>
      </c>
      <c r="K679" s="15"/>
      <c r="L679" s="10" t="inlineStr">
        <is>
          <t xml:space="preserve">Mapped with disclosed uncertainty</t>
        </is>
      </c>
      <c r="M679" s="15" t="inlineStr">
        <is>
          <t xml:space="preserve">Placed in the traditional Solomonic association window while the app clearly distinguishes tradition from settled historical authorship.</t>
        </is>
      </c>
      <c r="N679" s="15"/>
      <c r="O679" s="15">
        <v>1</v>
      </c>
      <c r="P679" s="10" t="str">
        <f>IF(L679="MISSING","MISSING",IF(O679=1,"PASS","DUPLICATE"))</f>
        <v>PASS</v>
      </c>
    </row>
    <row r="680" ht="22" customHeight="1">
      <c r="A680" s="15" t="inlineStr">
        <is>
          <t xml:space="preserve">Song of Songs 5</t>
        </is>
      </c>
      <c r="B680" s="15">
        <v>676</v>
      </c>
      <c r="C680" s="15" t="inlineStr">
        <is>
          <t xml:space="preserve">Old Testament</t>
        </is>
      </c>
      <c r="D680" s="15">
        <v>22</v>
      </c>
      <c r="E680" s="15" t="inlineStr">
        <is>
          <t xml:space="preserve">Song of Songs</t>
        </is>
      </c>
      <c r="F680" s="15">
        <v>5</v>
      </c>
      <c r="G680" s="15" t="inlineStr">
        <is>
          <t xml:space="preserve">v0.3</t>
        </is>
      </c>
      <c r="H680" s="15" t="inlineStr">
        <is>
          <t xml:space="preserve">Bible_Journey_Canon_Map_v0_3_2Chronicles_Wisdom_2Kings.xlsx</t>
        </is>
      </c>
      <c r="I680" s="15" t="inlineStr">
        <is>
          <t xml:space="preserve">Chapter Map</t>
        </is>
      </c>
      <c r="J680" s="15" t="inlineStr">
        <is>
          <t xml:space="preserve">CRS-WIS-003</t>
        </is>
      </c>
      <c r="K680" s="15"/>
      <c r="L680" s="10" t="inlineStr">
        <is>
          <t xml:space="preserve">Mapped with disclosed uncertainty</t>
        </is>
      </c>
      <c r="M680" s="15" t="inlineStr">
        <is>
          <t xml:space="preserve">Placed in the traditional Solomonic association window while the app clearly distinguishes tradition from settled historical authorship.</t>
        </is>
      </c>
      <c r="N680" s="15"/>
      <c r="O680" s="15">
        <v>1</v>
      </c>
      <c r="P680" s="10" t="str">
        <f>IF(L680="MISSING","MISSING",IF(O680=1,"PASS","DUPLICATE"))</f>
        <v>PASS</v>
      </c>
    </row>
    <row r="681" ht="22" customHeight="1">
      <c r="A681" s="15" t="inlineStr">
        <is>
          <t xml:space="preserve">Song of Songs 6</t>
        </is>
      </c>
      <c r="B681" s="15">
        <v>677</v>
      </c>
      <c r="C681" s="15" t="inlineStr">
        <is>
          <t xml:space="preserve">Old Testament</t>
        </is>
      </c>
      <c r="D681" s="15">
        <v>22</v>
      </c>
      <c r="E681" s="15" t="inlineStr">
        <is>
          <t xml:space="preserve">Song of Songs</t>
        </is>
      </c>
      <c r="F681" s="15">
        <v>6</v>
      </c>
      <c r="G681" s="15" t="inlineStr">
        <is>
          <t xml:space="preserve">v0.3</t>
        </is>
      </c>
      <c r="H681" s="15" t="inlineStr">
        <is>
          <t xml:space="preserve">Bible_Journey_Canon_Map_v0_3_2Chronicles_Wisdom_2Kings.xlsx</t>
        </is>
      </c>
      <c r="I681" s="15" t="inlineStr">
        <is>
          <t xml:space="preserve">Chapter Map</t>
        </is>
      </c>
      <c r="J681" s="15" t="inlineStr">
        <is>
          <t xml:space="preserve">CRS-WIS-003</t>
        </is>
      </c>
      <c r="K681" s="15"/>
      <c r="L681" s="10" t="inlineStr">
        <is>
          <t xml:space="preserve">Mapped with disclosed uncertainty</t>
        </is>
      </c>
      <c r="M681" s="15" t="inlineStr">
        <is>
          <t xml:space="preserve">Placed in the traditional Solomonic association window while the app clearly distinguishes tradition from settled historical authorship.</t>
        </is>
      </c>
      <c r="N681" s="15"/>
      <c r="O681" s="15">
        <v>1</v>
      </c>
      <c r="P681" s="10" t="str">
        <f>IF(L681="MISSING","MISSING",IF(O681=1,"PASS","DUPLICATE"))</f>
        <v>PASS</v>
      </c>
    </row>
    <row r="682" ht="22" customHeight="1">
      <c r="A682" s="15" t="inlineStr">
        <is>
          <t xml:space="preserve">Song of Songs 7</t>
        </is>
      </c>
      <c r="B682" s="15">
        <v>678</v>
      </c>
      <c r="C682" s="15" t="inlineStr">
        <is>
          <t xml:space="preserve">Old Testament</t>
        </is>
      </c>
      <c r="D682" s="15">
        <v>22</v>
      </c>
      <c r="E682" s="15" t="inlineStr">
        <is>
          <t xml:space="preserve">Song of Songs</t>
        </is>
      </c>
      <c r="F682" s="15">
        <v>7</v>
      </c>
      <c r="G682" s="15" t="inlineStr">
        <is>
          <t xml:space="preserve">v0.3</t>
        </is>
      </c>
      <c r="H682" s="15" t="inlineStr">
        <is>
          <t xml:space="preserve">Bible_Journey_Canon_Map_v0_3_2Chronicles_Wisdom_2Kings.xlsx</t>
        </is>
      </c>
      <c r="I682" s="15" t="inlineStr">
        <is>
          <t xml:space="preserve">Chapter Map</t>
        </is>
      </c>
      <c r="J682" s="15" t="inlineStr">
        <is>
          <t xml:space="preserve">CRS-WIS-003</t>
        </is>
      </c>
      <c r="K682" s="15"/>
      <c r="L682" s="10" t="inlineStr">
        <is>
          <t xml:space="preserve">Mapped with disclosed uncertainty</t>
        </is>
      </c>
      <c r="M682" s="15" t="inlineStr">
        <is>
          <t xml:space="preserve">Placed in the traditional Solomonic association window while the app clearly distinguishes tradition from settled historical authorship.</t>
        </is>
      </c>
      <c r="N682" s="15"/>
      <c r="O682" s="15">
        <v>1</v>
      </c>
      <c r="P682" s="10" t="str">
        <f>IF(L682="MISSING","MISSING",IF(O682=1,"PASS","DUPLICATE"))</f>
        <v>PASS</v>
      </c>
    </row>
    <row r="683" ht="22" customHeight="1">
      <c r="A683" s="15" t="inlineStr">
        <is>
          <t xml:space="preserve">Song of Songs 8</t>
        </is>
      </c>
      <c r="B683" s="15">
        <v>679</v>
      </c>
      <c r="C683" s="15" t="inlineStr">
        <is>
          <t xml:space="preserve">Old Testament</t>
        </is>
      </c>
      <c r="D683" s="15">
        <v>22</v>
      </c>
      <c r="E683" s="15" t="inlineStr">
        <is>
          <t xml:space="preserve">Song of Songs</t>
        </is>
      </c>
      <c r="F683" s="15">
        <v>8</v>
      </c>
      <c r="G683" s="15" t="inlineStr">
        <is>
          <t xml:space="preserve">v0.3</t>
        </is>
      </c>
      <c r="H683" s="15" t="inlineStr">
        <is>
          <t xml:space="preserve">Bible_Journey_Canon_Map_v0_3_2Chronicles_Wisdom_2Kings.xlsx</t>
        </is>
      </c>
      <c r="I683" s="15" t="inlineStr">
        <is>
          <t xml:space="preserve">Chapter Map</t>
        </is>
      </c>
      <c r="J683" s="15" t="inlineStr">
        <is>
          <t xml:space="preserve">CRS-WIS-003</t>
        </is>
      </c>
      <c r="K683" s="15"/>
      <c r="L683" s="10" t="inlineStr">
        <is>
          <t xml:space="preserve">Mapped with disclosed uncertainty</t>
        </is>
      </c>
      <c r="M683" s="15" t="inlineStr">
        <is>
          <t xml:space="preserve">Placed in the traditional Solomonic association window while the app clearly distinguishes tradition from settled historical authorship.</t>
        </is>
      </c>
      <c r="N683" s="15"/>
      <c r="O683" s="15">
        <v>1</v>
      </c>
      <c r="P683" s="10" t="str">
        <f>IF(L683="MISSING","MISSING",IF(O683=1,"PASS","DUPLICATE"))</f>
        <v>PASS</v>
      </c>
    </row>
    <row r="684" ht="22" customHeight="1">
      <c r="A684" s="15" t="inlineStr">
        <is>
          <t xml:space="preserve">Isaiah 1</t>
        </is>
      </c>
      <c r="B684" s="15">
        <v>680</v>
      </c>
      <c r="C684" s="15" t="inlineStr">
        <is>
          <t xml:space="preserve">Old Testament</t>
        </is>
      </c>
      <c r="D684" s="15">
        <v>23</v>
      </c>
      <c r="E684" s="15" t="inlineStr">
        <is>
          <t xml:space="preserve">Isaiah</t>
        </is>
      </c>
      <c r="F684" s="15">
        <v>1</v>
      </c>
      <c r="G684" s="15" t="inlineStr">
        <is>
          <t xml:space="preserve">v0.4</t>
        </is>
      </c>
      <c r="H684" s="15" t="inlineStr">
        <is>
          <t xml:space="preserve">Bible_Journey_Canon_Map_v0_4_Prophets_Exile.xlsx</t>
        </is>
      </c>
      <c r="I684" s="15" t="inlineStr">
        <is>
          <t xml:space="preserve">Chapter Map</t>
        </is>
      </c>
      <c r="J684" s="15" t="inlineStr">
        <is>
          <t xml:space="preserve">CRS-04-008</t>
        </is>
      </c>
      <c r="K684" s="15" t="inlineStr">
        <is>
          <t xml:space="preserve">RB-04-008</t>
        </is>
      </c>
      <c r="L684" s="15" t="inlineStr">
        <is>
          <t xml:space="preserve">Main Stream</t>
        </is>
      </c>
      <c r="M684" s="15" t="inlineStr">
        <is>
          <t xml:space="preserve">Not reviewed</t>
        </is>
      </c>
      <c r="N684" s="15" t="inlineStr">
        <is>
          <t xml:space="preserve">S1; S2; S3; S7</t>
        </is>
      </c>
      <c r="O684" s="15">
        <v>1</v>
      </c>
      <c r="P684" s="10" t="str">
        <f>IF(L684="MISSING","MISSING",IF(O684=1,"PASS","DUPLICATE"))</f>
        <v>PASS</v>
      </c>
    </row>
    <row r="685" ht="22" customHeight="1">
      <c r="A685" s="15" t="inlineStr">
        <is>
          <t xml:space="preserve">Isaiah 2</t>
        </is>
      </c>
      <c r="B685" s="15">
        <v>681</v>
      </c>
      <c r="C685" s="15" t="inlineStr">
        <is>
          <t xml:space="preserve">Old Testament</t>
        </is>
      </c>
      <c r="D685" s="15">
        <v>23</v>
      </c>
      <c r="E685" s="15" t="inlineStr">
        <is>
          <t xml:space="preserve">Isaiah</t>
        </is>
      </c>
      <c r="F685" s="15">
        <v>2</v>
      </c>
      <c r="G685" s="15" t="inlineStr">
        <is>
          <t xml:space="preserve">v0.4</t>
        </is>
      </c>
      <c r="H685" s="15" t="inlineStr">
        <is>
          <t xml:space="preserve">Bible_Journey_Canon_Map_v0_4_Prophets_Exile.xlsx</t>
        </is>
      </c>
      <c r="I685" s="15" t="inlineStr">
        <is>
          <t xml:space="preserve">Chapter Map</t>
        </is>
      </c>
      <c r="J685" s="15" t="inlineStr">
        <is>
          <t xml:space="preserve">CRS-04-008</t>
        </is>
      </c>
      <c r="K685" s="15" t="inlineStr">
        <is>
          <t xml:space="preserve">RB-04-008</t>
        </is>
      </c>
      <c r="L685" s="15" t="inlineStr">
        <is>
          <t xml:space="preserve">Main Stream</t>
        </is>
      </c>
      <c r="M685" s="15" t="inlineStr">
        <is>
          <t xml:space="preserve">Not reviewed</t>
        </is>
      </c>
      <c r="N685" s="15" t="inlineStr">
        <is>
          <t xml:space="preserve">S1; S2; S3; S7</t>
        </is>
      </c>
      <c r="O685" s="15">
        <v>1</v>
      </c>
      <c r="P685" s="10" t="str">
        <f>IF(L685="MISSING","MISSING",IF(O685=1,"PASS","DUPLICATE"))</f>
        <v>PASS</v>
      </c>
    </row>
    <row r="686" ht="22" customHeight="1">
      <c r="A686" s="15" t="inlineStr">
        <is>
          <t xml:space="preserve">Isaiah 3</t>
        </is>
      </c>
      <c r="B686" s="15">
        <v>682</v>
      </c>
      <c r="C686" s="15" t="inlineStr">
        <is>
          <t xml:space="preserve">Old Testament</t>
        </is>
      </c>
      <c r="D686" s="15">
        <v>23</v>
      </c>
      <c r="E686" s="15" t="inlineStr">
        <is>
          <t xml:space="preserve">Isaiah</t>
        </is>
      </c>
      <c r="F686" s="15">
        <v>3</v>
      </c>
      <c r="G686" s="15" t="inlineStr">
        <is>
          <t xml:space="preserve">v0.4</t>
        </is>
      </c>
      <c r="H686" s="15" t="inlineStr">
        <is>
          <t xml:space="preserve">Bible_Journey_Canon_Map_v0_4_Prophets_Exile.xlsx</t>
        </is>
      </c>
      <c r="I686" s="15" t="inlineStr">
        <is>
          <t xml:space="preserve">Chapter Map</t>
        </is>
      </c>
      <c r="J686" s="15" t="inlineStr">
        <is>
          <t xml:space="preserve">CRS-04-008</t>
        </is>
      </c>
      <c r="K686" s="15" t="inlineStr">
        <is>
          <t xml:space="preserve">RB-04-008</t>
        </is>
      </c>
      <c r="L686" s="15" t="inlineStr">
        <is>
          <t xml:space="preserve">Main Stream</t>
        </is>
      </c>
      <c r="M686" s="15" t="inlineStr">
        <is>
          <t xml:space="preserve">Not reviewed</t>
        </is>
      </c>
      <c r="N686" s="15" t="inlineStr">
        <is>
          <t xml:space="preserve">S1; S2; S3; S7</t>
        </is>
      </c>
      <c r="O686" s="15">
        <v>1</v>
      </c>
      <c r="P686" s="10" t="str">
        <f>IF(L686="MISSING","MISSING",IF(O686=1,"PASS","DUPLICATE"))</f>
        <v>PASS</v>
      </c>
    </row>
    <row r="687" ht="22" customHeight="1">
      <c r="A687" s="15" t="inlineStr">
        <is>
          <t xml:space="preserve">Isaiah 4</t>
        </is>
      </c>
      <c r="B687" s="15">
        <v>683</v>
      </c>
      <c r="C687" s="15" t="inlineStr">
        <is>
          <t xml:space="preserve">Old Testament</t>
        </is>
      </c>
      <c r="D687" s="15">
        <v>23</v>
      </c>
      <c r="E687" s="15" t="inlineStr">
        <is>
          <t xml:space="preserve">Isaiah</t>
        </is>
      </c>
      <c r="F687" s="15">
        <v>4</v>
      </c>
      <c r="G687" s="15" t="inlineStr">
        <is>
          <t xml:space="preserve">v0.4</t>
        </is>
      </c>
      <c r="H687" s="15" t="inlineStr">
        <is>
          <t xml:space="preserve">Bible_Journey_Canon_Map_v0_4_Prophets_Exile.xlsx</t>
        </is>
      </c>
      <c r="I687" s="15" t="inlineStr">
        <is>
          <t xml:space="preserve">Chapter Map</t>
        </is>
      </c>
      <c r="J687" s="15" t="inlineStr">
        <is>
          <t xml:space="preserve">CRS-04-008</t>
        </is>
      </c>
      <c r="K687" s="15" t="inlineStr">
        <is>
          <t xml:space="preserve">RB-04-008</t>
        </is>
      </c>
      <c r="L687" s="15" t="inlineStr">
        <is>
          <t xml:space="preserve">Main Stream</t>
        </is>
      </c>
      <c r="M687" s="15" t="inlineStr">
        <is>
          <t xml:space="preserve">Not reviewed</t>
        </is>
      </c>
      <c r="N687" s="15" t="inlineStr">
        <is>
          <t xml:space="preserve">S1; S2; S3; S7</t>
        </is>
      </c>
      <c r="O687" s="15">
        <v>1</v>
      </c>
      <c r="P687" s="10" t="str">
        <f>IF(L687="MISSING","MISSING",IF(O687=1,"PASS","DUPLICATE"))</f>
        <v>PASS</v>
      </c>
    </row>
    <row r="688" ht="22" customHeight="1">
      <c r="A688" s="15" t="inlineStr">
        <is>
          <t xml:space="preserve">Isaiah 5</t>
        </is>
      </c>
      <c r="B688" s="15">
        <v>684</v>
      </c>
      <c r="C688" s="15" t="inlineStr">
        <is>
          <t xml:space="preserve">Old Testament</t>
        </is>
      </c>
      <c r="D688" s="15">
        <v>23</v>
      </c>
      <c r="E688" s="15" t="inlineStr">
        <is>
          <t xml:space="preserve">Isaiah</t>
        </is>
      </c>
      <c r="F688" s="15">
        <v>5</v>
      </c>
      <c r="G688" s="15" t="inlineStr">
        <is>
          <t xml:space="preserve">v0.4</t>
        </is>
      </c>
      <c r="H688" s="15" t="inlineStr">
        <is>
          <t xml:space="preserve">Bible_Journey_Canon_Map_v0_4_Prophets_Exile.xlsx</t>
        </is>
      </c>
      <c r="I688" s="15" t="inlineStr">
        <is>
          <t xml:space="preserve">Chapter Map</t>
        </is>
      </c>
      <c r="J688" s="15" t="inlineStr">
        <is>
          <t xml:space="preserve">CRS-04-008</t>
        </is>
      </c>
      <c r="K688" s="15" t="inlineStr">
        <is>
          <t xml:space="preserve">RB-04-008</t>
        </is>
      </c>
      <c r="L688" s="15" t="inlineStr">
        <is>
          <t xml:space="preserve">Main Stream</t>
        </is>
      </c>
      <c r="M688" s="15" t="inlineStr">
        <is>
          <t xml:space="preserve">Not reviewed</t>
        </is>
      </c>
      <c r="N688" s="15" t="inlineStr">
        <is>
          <t xml:space="preserve">S1; S2; S3; S7</t>
        </is>
      </c>
      <c r="O688" s="15">
        <v>1</v>
      </c>
      <c r="P688" s="10" t="str">
        <f>IF(L688="MISSING","MISSING",IF(O688=1,"PASS","DUPLICATE"))</f>
        <v>PASS</v>
      </c>
    </row>
    <row r="689" ht="22" customHeight="1">
      <c r="A689" s="15" t="inlineStr">
        <is>
          <t xml:space="preserve">Isaiah 6</t>
        </is>
      </c>
      <c r="B689" s="15">
        <v>685</v>
      </c>
      <c r="C689" s="15" t="inlineStr">
        <is>
          <t xml:space="preserve">Old Testament</t>
        </is>
      </c>
      <c r="D689" s="15">
        <v>23</v>
      </c>
      <c r="E689" s="15" t="inlineStr">
        <is>
          <t xml:space="preserve">Isaiah</t>
        </is>
      </c>
      <c r="F689" s="15">
        <v>6</v>
      </c>
      <c r="G689" s="15" t="inlineStr">
        <is>
          <t xml:space="preserve">v0.4</t>
        </is>
      </c>
      <c r="H689" s="15" t="inlineStr">
        <is>
          <t xml:space="preserve">Bible_Journey_Canon_Map_v0_4_Prophets_Exile.xlsx</t>
        </is>
      </c>
      <c r="I689" s="15" t="inlineStr">
        <is>
          <t xml:space="preserve">Chapter Map</t>
        </is>
      </c>
      <c r="J689" s="15" t="inlineStr">
        <is>
          <t xml:space="preserve">CRS-04-009</t>
        </is>
      </c>
      <c r="K689" s="15" t="inlineStr">
        <is>
          <t xml:space="preserve">RB-04-009</t>
        </is>
      </c>
      <c r="L689" s="15" t="inlineStr">
        <is>
          <t xml:space="preserve">Main Stream</t>
        </is>
      </c>
      <c r="M689" s="15" t="inlineStr">
        <is>
          <t xml:space="preserve">Not reviewed</t>
        </is>
      </c>
      <c r="N689" s="15" t="inlineStr">
        <is>
          <t xml:space="preserve">S1; S2; S3</t>
        </is>
      </c>
      <c r="O689" s="15">
        <v>1</v>
      </c>
      <c r="P689" s="10" t="str">
        <f>IF(L689="MISSING","MISSING",IF(O689=1,"PASS","DUPLICATE"))</f>
        <v>PASS</v>
      </c>
    </row>
    <row r="690" ht="22" customHeight="1">
      <c r="A690" s="15" t="inlineStr">
        <is>
          <t xml:space="preserve">Isaiah 7</t>
        </is>
      </c>
      <c r="B690" s="15">
        <v>686</v>
      </c>
      <c r="C690" s="15" t="inlineStr">
        <is>
          <t xml:space="preserve">Old Testament</t>
        </is>
      </c>
      <c r="D690" s="15">
        <v>23</v>
      </c>
      <c r="E690" s="15" t="inlineStr">
        <is>
          <t xml:space="preserve">Isaiah</t>
        </is>
      </c>
      <c r="F690" s="15">
        <v>7</v>
      </c>
      <c r="G690" s="15" t="inlineStr">
        <is>
          <t xml:space="preserve">v0.4</t>
        </is>
      </c>
      <c r="H690" s="15" t="inlineStr">
        <is>
          <t xml:space="preserve">Bible_Journey_Canon_Map_v0_4_Prophets_Exile.xlsx</t>
        </is>
      </c>
      <c r="I690" s="15" t="inlineStr">
        <is>
          <t xml:space="preserve">Chapter Map</t>
        </is>
      </c>
      <c r="J690" s="15" t="inlineStr">
        <is>
          <t xml:space="preserve">CRS-04-013</t>
        </is>
      </c>
      <c r="K690" s="15" t="inlineStr">
        <is>
          <t xml:space="preserve">RB-04-013</t>
        </is>
      </c>
      <c r="L690" s="15" t="inlineStr">
        <is>
          <t xml:space="preserve">Main Stream</t>
        </is>
      </c>
      <c r="M690" s="15" t="inlineStr">
        <is>
          <t xml:space="preserve">Not reviewed</t>
        </is>
      </c>
      <c r="N690" s="15" t="inlineStr">
        <is>
          <t xml:space="preserve">S1; S3; S11</t>
        </is>
      </c>
      <c r="O690" s="15">
        <v>1</v>
      </c>
      <c r="P690" s="10" t="str">
        <f>IF(L690="MISSING","MISSING",IF(O690=1,"PASS","DUPLICATE"))</f>
        <v>PASS</v>
      </c>
    </row>
    <row r="691" ht="22" customHeight="1">
      <c r="A691" s="15" t="inlineStr">
        <is>
          <t xml:space="preserve">Isaiah 8</t>
        </is>
      </c>
      <c r="B691" s="15">
        <v>687</v>
      </c>
      <c r="C691" s="15" t="inlineStr">
        <is>
          <t xml:space="preserve">Old Testament</t>
        </is>
      </c>
      <c r="D691" s="15">
        <v>23</v>
      </c>
      <c r="E691" s="15" t="inlineStr">
        <is>
          <t xml:space="preserve">Isaiah</t>
        </is>
      </c>
      <c r="F691" s="15">
        <v>8</v>
      </c>
      <c r="G691" s="15" t="inlineStr">
        <is>
          <t xml:space="preserve">v0.4</t>
        </is>
      </c>
      <c r="H691" s="15" t="inlineStr">
        <is>
          <t xml:space="preserve">Bible_Journey_Canon_Map_v0_4_Prophets_Exile.xlsx</t>
        </is>
      </c>
      <c r="I691" s="15" t="inlineStr">
        <is>
          <t xml:space="preserve">Chapter Map</t>
        </is>
      </c>
      <c r="J691" s="15" t="inlineStr">
        <is>
          <t xml:space="preserve">CRS-04-013</t>
        </is>
      </c>
      <c r="K691" s="15" t="inlineStr">
        <is>
          <t xml:space="preserve">RB-04-013</t>
        </is>
      </c>
      <c r="L691" s="15" t="inlineStr">
        <is>
          <t xml:space="preserve">Main Stream</t>
        </is>
      </c>
      <c r="M691" s="15" t="inlineStr">
        <is>
          <t xml:space="preserve">Not reviewed</t>
        </is>
      </c>
      <c r="N691" s="15" t="inlineStr">
        <is>
          <t xml:space="preserve">S1; S3; S11</t>
        </is>
      </c>
      <c r="O691" s="15">
        <v>1</v>
      </c>
      <c r="P691" s="10" t="str">
        <f>IF(L691="MISSING","MISSING",IF(O691=1,"PASS","DUPLICATE"))</f>
        <v>PASS</v>
      </c>
    </row>
    <row r="692" ht="22" customHeight="1">
      <c r="A692" s="15" t="inlineStr">
        <is>
          <t xml:space="preserve">Isaiah 9</t>
        </is>
      </c>
      <c r="B692" s="15">
        <v>688</v>
      </c>
      <c r="C692" s="15" t="inlineStr">
        <is>
          <t xml:space="preserve">Old Testament</t>
        </is>
      </c>
      <c r="D692" s="15">
        <v>23</v>
      </c>
      <c r="E692" s="15" t="inlineStr">
        <is>
          <t xml:space="preserve">Isaiah</t>
        </is>
      </c>
      <c r="F692" s="15">
        <v>9</v>
      </c>
      <c r="G692" s="15" t="inlineStr">
        <is>
          <t xml:space="preserve">v0.4</t>
        </is>
      </c>
      <c r="H692" s="15" t="inlineStr">
        <is>
          <t xml:space="preserve">Bible_Journey_Canon_Map_v0_4_Prophets_Exile.xlsx</t>
        </is>
      </c>
      <c r="I692" s="15" t="inlineStr">
        <is>
          <t xml:space="preserve">Chapter Map</t>
        </is>
      </c>
      <c r="J692" s="15" t="inlineStr">
        <is>
          <t xml:space="preserve">CRS-04-013</t>
        </is>
      </c>
      <c r="K692" s="15" t="inlineStr">
        <is>
          <t xml:space="preserve">RB-04-013</t>
        </is>
      </c>
      <c r="L692" s="15" t="inlineStr">
        <is>
          <t xml:space="preserve">Main Stream</t>
        </is>
      </c>
      <c r="M692" s="15" t="inlineStr">
        <is>
          <t xml:space="preserve">Not reviewed</t>
        </is>
      </c>
      <c r="N692" s="15" t="inlineStr">
        <is>
          <t xml:space="preserve">S1; S3; S11</t>
        </is>
      </c>
      <c r="O692" s="15">
        <v>1</v>
      </c>
      <c r="P692" s="10" t="str">
        <f>IF(L692="MISSING","MISSING",IF(O692=1,"PASS","DUPLICATE"))</f>
        <v>PASS</v>
      </c>
    </row>
    <row r="693" ht="22" customHeight="1">
      <c r="A693" s="15" t="inlineStr">
        <is>
          <t xml:space="preserve">Isaiah 10</t>
        </is>
      </c>
      <c r="B693" s="15">
        <v>689</v>
      </c>
      <c r="C693" s="15" t="inlineStr">
        <is>
          <t xml:space="preserve">Old Testament</t>
        </is>
      </c>
      <c r="D693" s="15">
        <v>23</v>
      </c>
      <c r="E693" s="15" t="inlineStr">
        <is>
          <t xml:space="preserve">Isaiah</t>
        </is>
      </c>
      <c r="F693" s="15">
        <v>10</v>
      </c>
      <c r="G693" s="15" t="inlineStr">
        <is>
          <t xml:space="preserve">v0.4</t>
        </is>
      </c>
      <c r="H693" s="15" t="inlineStr">
        <is>
          <t xml:space="preserve">Bible_Journey_Canon_Map_v0_4_Prophets_Exile.xlsx</t>
        </is>
      </c>
      <c r="I693" s="15" t="inlineStr">
        <is>
          <t xml:space="preserve">Chapter Map</t>
        </is>
      </c>
      <c r="J693" s="15" t="inlineStr">
        <is>
          <t xml:space="preserve">CRS-04-013</t>
        </is>
      </c>
      <c r="K693" s="15" t="inlineStr">
        <is>
          <t xml:space="preserve">RB-04-013</t>
        </is>
      </c>
      <c r="L693" s="15" t="inlineStr">
        <is>
          <t xml:space="preserve">Main Stream</t>
        </is>
      </c>
      <c r="M693" s="15" t="inlineStr">
        <is>
          <t xml:space="preserve">Not reviewed</t>
        </is>
      </c>
      <c r="N693" s="15" t="inlineStr">
        <is>
          <t xml:space="preserve">S1; S3; S11</t>
        </is>
      </c>
      <c r="O693" s="15">
        <v>1</v>
      </c>
      <c r="P693" s="10" t="str">
        <f>IF(L693="MISSING","MISSING",IF(O693=1,"PASS","DUPLICATE"))</f>
        <v>PASS</v>
      </c>
    </row>
    <row r="694" ht="22" customHeight="1">
      <c r="A694" s="15" t="inlineStr">
        <is>
          <t xml:space="preserve">Isaiah 11</t>
        </is>
      </c>
      <c r="B694" s="15">
        <v>690</v>
      </c>
      <c r="C694" s="15" t="inlineStr">
        <is>
          <t xml:space="preserve">Old Testament</t>
        </is>
      </c>
      <c r="D694" s="15">
        <v>23</v>
      </c>
      <c r="E694" s="15" t="inlineStr">
        <is>
          <t xml:space="preserve">Isaiah</t>
        </is>
      </c>
      <c r="F694" s="15">
        <v>11</v>
      </c>
      <c r="G694" s="15" t="inlineStr">
        <is>
          <t xml:space="preserve">v0.4</t>
        </is>
      </c>
      <c r="H694" s="15" t="inlineStr">
        <is>
          <t xml:space="preserve">Bible_Journey_Canon_Map_v0_4_Prophets_Exile.xlsx</t>
        </is>
      </c>
      <c r="I694" s="15" t="inlineStr">
        <is>
          <t xml:space="preserve">Chapter Map</t>
        </is>
      </c>
      <c r="J694" s="15" t="inlineStr">
        <is>
          <t xml:space="preserve">CRS-04-013</t>
        </is>
      </c>
      <c r="K694" s="15" t="inlineStr">
        <is>
          <t xml:space="preserve">RB-04-013</t>
        </is>
      </c>
      <c r="L694" s="15" t="inlineStr">
        <is>
          <t xml:space="preserve">Main Stream</t>
        </is>
      </c>
      <c r="M694" s="15" t="inlineStr">
        <is>
          <t xml:space="preserve">Not reviewed</t>
        </is>
      </c>
      <c r="N694" s="15" t="inlineStr">
        <is>
          <t xml:space="preserve">S1; S3; S11</t>
        </is>
      </c>
      <c r="O694" s="15">
        <v>1</v>
      </c>
      <c r="P694" s="10" t="str">
        <f>IF(L694="MISSING","MISSING",IF(O694=1,"PASS","DUPLICATE"))</f>
        <v>PASS</v>
      </c>
    </row>
    <row r="695" ht="22" customHeight="1">
      <c r="A695" s="15" t="inlineStr">
        <is>
          <t xml:space="preserve">Isaiah 12</t>
        </is>
      </c>
      <c r="B695" s="15">
        <v>691</v>
      </c>
      <c r="C695" s="15" t="inlineStr">
        <is>
          <t xml:space="preserve">Old Testament</t>
        </is>
      </c>
      <c r="D695" s="15">
        <v>23</v>
      </c>
      <c r="E695" s="15" t="inlineStr">
        <is>
          <t xml:space="preserve">Isaiah</t>
        </is>
      </c>
      <c r="F695" s="15">
        <v>12</v>
      </c>
      <c r="G695" s="15" t="inlineStr">
        <is>
          <t xml:space="preserve">v0.4</t>
        </is>
      </c>
      <c r="H695" s="15" t="inlineStr">
        <is>
          <t xml:space="preserve">Bible_Journey_Canon_Map_v0_4_Prophets_Exile.xlsx</t>
        </is>
      </c>
      <c r="I695" s="15" t="inlineStr">
        <is>
          <t xml:space="preserve">Chapter Map</t>
        </is>
      </c>
      <c r="J695" s="15" t="inlineStr">
        <is>
          <t xml:space="preserve">CRS-04-013</t>
        </is>
      </c>
      <c r="K695" s="15" t="inlineStr">
        <is>
          <t xml:space="preserve">RB-04-013</t>
        </is>
      </c>
      <c r="L695" s="15" t="inlineStr">
        <is>
          <t xml:space="preserve">Main Stream</t>
        </is>
      </c>
      <c r="M695" s="15" t="inlineStr">
        <is>
          <t xml:space="preserve">Not reviewed</t>
        </is>
      </c>
      <c r="N695" s="15" t="inlineStr">
        <is>
          <t xml:space="preserve">S1; S3; S11</t>
        </is>
      </c>
      <c r="O695" s="15">
        <v>1</v>
      </c>
      <c r="P695" s="10" t="str">
        <f>IF(L695="MISSING","MISSING",IF(O695=1,"PASS","DUPLICATE"))</f>
        <v>PASS</v>
      </c>
    </row>
    <row r="696" ht="22" customHeight="1">
      <c r="A696" s="15" t="inlineStr">
        <is>
          <t xml:space="preserve">Isaiah 13</t>
        </is>
      </c>
      <c r="B696" s="15">
        <v>692</v>
      </c>
      <c r="C696" s="15" t="inlineStr">
        <is>
          <t xml:space="preserve">Old Testament</t>
        </is>
      </c>
      <c r="D696" s="15">
        <v>23</v>
      </c>
      <c r="E696" s="15" t="inlineStr">
        <is>
          <t xml:space="preserve">Isaiah</t>
        </is>
      </c>
      <c r="F696" s="15">
        <v>13</v>
      </c>
      <c r="G696" s="15" t="inlineStr">
        <is>
          <t xml:space="preserve">v0.4</t>
        </is>
      </c>
      <c r="H696" s="15" t="inlineStr">
        <is>
          <t xml:space="preserve">Bible_Journey_Canon_Map_v0_4_Prophets_Exile.xlsx</t>
        </is>
      </c>
      <c r="I696" s="15" t="inlineStr">
        <is>
          <t xml:space="preserve">Chapter Map</t>
        </is>
      </c>
      <c r="J696" s="15" t="inlineStr">
        <is>
          <t xml:space="preserve">CRS-04-014</t>
        </is>
      </c>
      <c r="K696" s="15" t="inlineStr">
        <is>
          <t xml:space="preserve">RB-04-014</t>
        </is>
      </c>
      <c r="L696" s="15" t="inlineStr">
        <is>
          <t xml:space="preserve">Main Stream</t>
        </is>
      </c>
      <c r="M696" s="15" t="inlineStr">
        <is>
          <t xml:space="preserve">Not reviewed</t>
        </is>
      </c>
      <c r="N696" s="15" t="inlineStr">
        <is>
          <t xml:space="preserve">S2; S3; S7</t>
        </is>
      </c>
      <c r="O696" s="15">
        <v>1</v>
      </c>
      <c r="P696" s="10" t="str">
        <f>IF(L696="MISSING","MISSING",IF(O696=1,"PASS","DUPLICATE"))</f>
        <v>PASS</v>
      </c>
    </row>
    <row r="697" ht="22" customHeight="1">
      <c r="A697" s="15" t="inlineStr">
        <is>
          <t xml:space="preserve">Isaiah 14</t>
        </is>
      </c>
      <c r="B697" s="15">
        <v>693</v>
      </c>
      <c r="C697" s="15" t="inlineStr">
        <is>
          <t xml:space="preserve">Old Testament</t>
        </is>
      </c>
      <c r="D697" s="15">
        <v>23</v>
      </c>
      <c r="E697" s="15" t="inlineStr">
        <is>
          <t xml:space="preserve">Isaiah</t>
        </is>
      </c>
      <c r="F697" s="15">
        <v>14</v>
      </c>
      <c r="G697" s="15" t="inlineStr">
        <is>
          <t xml:space="preserve">v0.4</t>
        </is>
      </c>
      <c r="H697" s="15" t="inlineStr">
        <is>
          <t xml:space="preserve">Bible_Journey_Canon_Map_v0_4_Prophets_Exile.xlsx</t>
        </is>
      </c>
      <c r="I697" s="15" t="inlineStr">
        <is>
          <t xml:space="preserve">Chapter Map</t>
        </is>
      </c>
      <c r="J697" s="15" t="inlineStr">
        <is>
          <t xml:space="preserve">CRS-04-014</t>
        </is>
      </c>
      <c r="K697" s="15" t="inlineStr">
        <is>
          <t xml:space="preserve">RB-04-014</t>
        </is>
      </c>
      <c r="L697" s="15" t="inlineStr">
        <is>
          <t xml:space="preserve">Main Stream</t>
        </is>
      </c>
      <c r="M697" s="15" t="inlineStr">
        <is>
          <t xml:space="preserve">Not reviewed</t>
        </is>
      </c>
      <c r="N697" s="15" t="inlineStr">
        <is>
          <t xml:space="preserve">S2; S3; S7</t>
        </is>
      </c>
      <c r="O697" s="15">
        <v>1</v>
      </c>
      <c r="P697" s="10" t="str">
        <f>IF(L697="MISSING","MISSING",IF(O697=1,"PASS","DUPLICATE"))</f>
        <v>PASS</v>
      </c>
    </row>
    <row r="698" ht="22" customHeight="1">
      <c r="A698" s="15" t="inlineStr">
        <is>
          <t xml:space="preserve">Isaiah 15</t>
        </is>
      </c>
      <c r="B698" s="15">
        <v>694</v>
      </c>
      <c r="C698" s="15" t="inlineStr">
        <is>
          <t xml:space="preserve">Old Testament</t>
        </is>
      </c>
      <c r="D698" s="15">
        <v>23</v>
      </c>
      <c r="E698" s="15" t="inlineStr">
        <is>
          <t xml:space="preserve">Isaiah</t>
        </is>
      </c>
      <c r="F698" s="15">
        <v>15</v>
      </c>
      <c r="G698" s="15" t="inlineStr">
        <is>
          <t xml:space="preserve">v0.4</t>
        </is>
      </c>
      <c r="H698" s="15" t="inlineStr">
        <is>
          <t xml:space="preserve">Bible_Journey_Canon_Map_v0_4_Prophets_Exile.xlsx</t>
        </is>
      </c>
      <c r="I698" s="15" t="inlineStr">
        <is>
          <t xml:space="preserve">Chapter Map</t>
        </is>
      </c>
      <c r="J698" s="15" t="inlineStr">
        <is>
          <t xml:space="preserve">CRS-04-014</t>
        </is>
      </c>
      <c r="K698" s="15" t="inlineStr">
        <is>
          <t xml:space="preserve">RB-04-014</t>
        </is>
      </c>
      <c r="L698" s="15" t="inlineStr">
        <is>
          <t xml:space="preserve">Main Stream</t>
        </is>
      </c>
      <c r="M698" s="15" t="inlineStr">
        <is>
          <t xml:space="preserve">Not reviewed</t>
        </is>
      </c>
      <c r="N698" s="15" t="inlineStr">
        <is>
          <t xml:space="preserve">S2; S3; S7</t>
        </is>
      </c>
      <c r="O698" s="15">
        <v>1</v>
      </c>
      <c r="P698" s="10" t="str">
        <f>IF(L698="MISSING","MISSING",IF(O698=1,"PASS","DUPLICATE"))</f>
        <v>PASS</v>
      </c>
    </row>
    <row r="699" ht="22" customHeight="1">
      <c r="A699" s="15" t="inlineStr">
        <is>
          <t xml:space="preserve">Isaiah 16</t>
        </is>
      </c>
      <c r="B699" s="15">
        <v>695</v>
      </c>
      <c r="C699" s="15" t="inlineStr">
        <is>
          <t xml:space="preserve">Old Testament</t>
        </is>
      </c>
      <c r="D699" s="15">
        <v>23</v>
      </c>
      <c r="E699" s="15" t="inlineStr">
        <is>
          <t xml:space="preserve">Isaiah</t>
        </is>
      </c>
      <c r="F699" s="15">
        <v>16</v>
      </c>
      <c r="G699" s="15" t="inlineStr">
        <is>
          <t xml:space="preserve">v0.4</t>
        </is>
      </c>
      <c r="H699" s="15" t="inlineStr">
        <is>
          <t xml:space="preserve">Bible_Journey_Canon_Map_v0_4_Prophets_Exile.xlsx</t>
        </is>
      </c>
      <c r="I699" s="15" t="inlineStr">
        <is>
          <t xml:space="preserve">Chapter Map</t>
        </is>
      </c>
      <c r="J699" s="15" t="inlineStr">
        <is>
          <t xml:space="preserve">CRS-04-014</t>
        </is>
      </c>
      <c r="K699" s="15" t="inlineStr">
        <is>
          <t xml:space="preserve">RB-04-014</t>
        </is>
      </c>
      <c r="L699" s="15" t="inlineStr">
        <is>
          <t xml:space="preserve">Main Stream</t>
        </is>
      </c>
      <c r="M699" s="15" t="inlineStr">
        <is>
          <t xml:space="preserve">Not reviewed</t>
        </is>
      </c>
      <c r="N699" s="15" t="inlineStr">
        <is>
          <t xml:space="preserve">S2; S3; S7</t>
        </is>
      </c>
      <c r="O699" s="15">
        <v>1</v>
      </c>
      <c r="P699" s="10" t="str">
        <f>IF(L699="MISSING","MISSING",IF(O699=1,"PASS","DUPLICATE"))</f>
        <v>PASS</v>
      </c>
    </row>
    <row r="700" ht="22" customHeight="1">
      <c r="A700" s="15" t="inlineStr">
        <is>
          <t xml:space="preserve">Isaiah 17</t>
        </is>
      </c>
      <c r="B700" s="15">
        <v>696</v>
      </c>
      <c r="C700" s="15" t="inlineStr">
        <is>
          <t xml:space="preserve">Old Testament</t>
        </is>
      </c>
      <c r="D700" s="15">
        <v>23</v>
      </c>
      <c r="E700" s="15" t="inlineStr">
        <is>
          <t xml:space="preserve">Isaiah</t>
        </is>
      </c>
      <c r="F700" s="15">
        <v>17</v>
      </c>
      <c r="G700" s="15" t="inlineStr">
        <is>
          <t xml:space="preserve">v0.4</t>
        </is>
      </c>
      <c r="H700" s="15" t="inlineStr">
        <is>
          <t xml:space="preserve">Bible_Journey_Canon_Map_v0_4_Prophets_Exile.xlsx</t>
        </is>
      </c>
      <c r="I700" s="15" t="inlineStr">
        <is>
          <t xml:space="preserve">Chapter Map</t>
        </is>
      </c>
      <c r="J700" s="15" t="inlineStr">
        <is>
          <t xml:space="preserve">CRS-04-014</t>
        </is>
      </c>
      <c r="K700" s="15" t="inlineStr">
        <is>
          <t xml:space="preserve">RB-04-014</t>
        </is>
      </c>
      <c r="L700" s="15" t="inlineStr">
        <is>
          <t xml:space="preserve">Main Stream</t>
        </is>
      </c>
      <c r="M700" s="15" t="inlineStr">
        <is>
          <t xml:space="preserve">Not reviewed</t>
        </is>
      </c>
      <c r="N700" s="15" t="inlineStr">
        <is>
          <t xml:space="preserve">S2; S3; S7</t>
        </is>
      </c>
      <c r="O700" s="15">
        <v>1</v>
      </c>
      <c r="P700" s="10" t="str">
        <f>IF(L700="MISSING","MISSING",IF(O700=1,"PASS","DUPLICATE"))</f>
        <v>PASS</v>
      </c>
    </row>
    <row r="701" ht="22" customHeight="1">
      <c r="A701" s="15" t="inlineStr">
        <is>
          <t xml:space="preserve">Isaiah 18</t>
        </is>
      </c>
      <c r="B701" s="15">
        <v>697</v>
      </c>
      <c r="C701" s="15" t="inlineStr">
        <is>
          <t xml:space="preserve">Old Testament</t>
        </is>
      </c>
      <c r="D701" s="15">
        <v>23</v>
      </c>
      <c r="E701" s="15" t="inlineStr">
        <is>
          <t xml:space="preserve">Isaiah</t>
        </is>
      </c>
      <c r="F701" s="15">
        <v>18</v>
      </c>
      <c r="G701" s="15" t="inlineStr">
        <is>
          <t xml:space="preserve">v0.4</t>
        </is>
      </c>
      <c r="H701" s="15" t="inlineStr">
        <is>
          <t xml:space="preserve">Bible_Journey_Canon_Map_v0_4_Prophets_Exile.xlsx</t>
        </is>
      </c>
      <c r="I701" s="15" t="inlineStr">
        <is>
          <t xml:space="preserve">Chapter Map</t>
        </is>
      </c>
      <c r="J701" s="15" t="inlineStr">
        <is>
          <t xml:space="preserve">CRS-04-014</t>
        </is>
      </c>
      <c r="K701" s="15" t="inlineStr">
        <is>
          <t xml:space="preserve">RB-04-014</t>
        </is>
      </c>
      <c r="L701" s="15" t="inlineStr">
        <is>
          <t xml:space="preserve">Main Stream</t>
        </is>
      </c>
      <c r="M701" s="15" t="inlineStr">
        <is>
          <t xml:space="preserve">Not reviewed</t>
        </is>
      </c>
      <c r="N701" s="15" t="inlineStr">
        <is>
          <t xml:space="preserve">S2; S3; S7</t>
        </is>
      </c>
      <c r="O701" s="15">
        <v>1</v>
      </c>
      <c r="P701" s="10" t="str">
        <f>IF(L701="MISSING","MISSING",IF(O701=1,"PASS","DUPLICATE"))</f>
        <v>PASS</v>
      </c>
    </row>
    <row r="702" ht="22" customHeight="1">
      <c r="A702" s="15" t="inlineStr">
        <is>
          <t xml:space="preserve">Isaiah 19</t>
        </is>
      </c>
      <c r="B702" s="15">
        <v>698</v>
      </c>
      <c r="C702" s="15" t="inlineStr">
        <is>
          <t xml:space="preserve">Old Testament</t>
        </is>
      </c>
      <c r="D702" s="15">
        <v>23</v>
      </c>
      <c r="E702" s="15" t="inlineStr">
        <is>
          <t xml:space="preserve">Isaiah</t>
        </is>
      </c>
      <c r="F702" s="15">
        <v>19</v>
      </c>
      <c r="G702" s="15" t="inlineStr">
        <is>
          <t xml:space="preserve">v0.4</t>
        </is>
      </c>
      <c r="H702" s="15" t="inlineStr">
        <is>
          <t xml:space="preserve">Bible_Journey_Canon_Map_v0_4_Prophets_Exile.xlsx</t>
        </is>
      </c>
      <c r="I702" s="15" t="inlineStr">
        <is>
          <t xml:space="preserve">Chapter Map</t>
        </is>
      </c>
      <c r="J702" s="15" t="inlineStr">
        <is>
          <t xml:space="preserve">CRS-04-014</t>
        </is>
      </c>
      <c r="K702" s="15" t="inlineStr">
        <is>
          <t xml:space="preserve">RB-04-014</t>
        </is>
      </c>
      <c r="L702" s="15" t="inlineStr">
        <is>
          <t xml:space="preserve">Main Stream</t>
        </is>
      </c>
      <c r="M702" s="15" t="inlineStr">
        <is>
          <t xml:space="preserve">Not reviewed</t>
        </is>
      </c>
      <c r="N702" s="15" t="inlineStr">
        <is>
          <t xml:space="preserve">S2; S3; S7</t>
        </is>
      </c>
      <c r="O702" s="15">
        <v>1</v>
      </c>
      <c r="P702" s="10" t="str">
        <f>IF(L702="MISSING","MISSING",IF(O702=1,"PASS","DUPLICATE"))</f>
        <v>PASS</v>
      </c>
    </row>
    <row r="703" ht="22" customHeight="1">
      <c r="A703" s="15" t="inlineStr">
        <is>
          <t xml:space="preserve">Isaiah 20</t>
        </is>
      </c>
      <c r="B703" s="15">
        <v>699</v>
      </c>
      <c r="C703" s="15" t="inlineStr">
        <is>
          <t xml:space="preserve">Old Testament</t>
        </is>
      </c>
      <c r="D703" s="15">
        <v>23</v>
      </c>
      <c r="E703" s="15" t="inlineStr">
        <is>
          <t xml:space="preserve">Isaiah</t>
        </is>
      </c>
      <c r="F703" s="15">
        <v>20</v>
      </c>
      <c r="G703" s="15" t="inlineStr">
        <is>
          <t xml:space="preserve">v0.4</t>
        </is>
      </c>
      <c r="H703" s="15" t="inlineStr">
        <is>
          <t xml:space="preserve">Bible_Journey_Canon_Map_v0_4_Prophets_Exile.xlsx</t>
        </is>
      </c>
      <c r="I703" s="15" t="inlineStr">
        <is>
          <t xml:space="preserve">Chapter Map</t>
        </is>
      </c>
      <c r="J703" s="15" t="inlineStr">
        <is>
          <t xml:space="preserve">CRS-04-014</t>
        </is>
      </c>
      <c r="K703" s="15" t="inlineStr">
        <is>
          <t xml:space="preserve">RB-04-014</t>
        </is>
      </c>
      <c r="L703" s="15" t="inlineStr">
        <is>
          <t xml:space="preserve">Main Stream</t>
        </is>
      </c>
      <c r="M703" s="15" t="inlineStr">
        <is>
          <t xml:space="preserve">Not reviewed</t>
        </is>
      </c>
      <c r="N703" s="15" t="inlineStr">
        <is>
          <t xml:space="preserve">S2; S3; S7</t>
        </is>
      </c>
      <c r="O703" s="15">
        <v>1</v>
      </c>
      <c r="P703" s="10" t="str">
        <f>IF(L703="MISSING","MISSING",IF(O703=1,"PASS","DUPLICATE"))</f>
        <v>PASS</v>
      </c>
    </row>
    <row r="704" ht="22" customHeight="1">
      <c r="A704" s="15" t="inlineStr">
        <is>
          <t xml:space="preserve">Isaiah 21</t>
        </is>
      </c>
      <c r="B704" s="15">
        <v>700</v>
      </c>
      <c r="C704" s="15" t="inlineStr">
        <is>
          <t xml:space="preserve">Old Testament</t>
        </is>
      </c>
      <c r="D704" s="15">
        <v>23</v>
      </c>
      <c r="E704" s="15" t="inlineStr">
        <is>
          <t xml:space="preserve">Isaiah</t>
        </is>
      </c>
      <c r="F704" s="15">
        <v>21</v>
      </c>
      <c r="G704" s="15" t="inlineStr">
        <is>
          <t xml:space="preserve">v0.4</t>
        </is>
      </c>
      <c r="H704" s="15" t="inlineStr">
        <is>
          <t xml:space="preserve">Bible_Journey_Canon_Map_v0_4_Prophets_Exile.xlsx</t>
        </is>
      </c>
      <c r="I704" s="15" t="inlineStr">
        <is>
          <t xml:space="preserve">Chapter Map</t>
        </is>
      </c>
      <c r="J704" s="15" t="inlineStr">
        <is>
          <t xml:space="preserve">CRS-04-014</t>
        </is>
      </c>
      <c r="K704" s="15" t="inlineStr">
        <is>
          <t xml:space="preserve">RB-04-014</t>
        </is>
      </c>
      <c r="L704" s="15" t="inlineStr">
        <is>
          <t xml:space="preserve">Main Stream</t>
        </is>
      </c>
      <c r="M704" s="15" t="inlineStr">
        <is>
          <t xml:space="preserve">Not reviewed</t>
        </is>
      </c>
      <c r="N704" s="15" t="inlineStr">
        <is>
          <t xml:space="preserve">S2; S3; S7</t>
        </is>
      </c>
      <c r="O704" s="15">
        <v>1</v>
      </c>
      <c r="P704" s="10" t="str">
        <f>IF(L704="MISSING","MISSING",IF(O704=1,"PASS","DUPLICATE"))</f>
        <v>PASS</v>
      </c>
    </row>
    <row r="705" ht="22" customHeight="1">
      <c r="A705" s="15" t="inlineStr">
        <is>
          <t xml:space="preserve">Isaiah 22</t>
        </is>
      </c>
      <c r="B705" s="15">
        <v>701</v>
      </c>
      <c r="C705" s="15" t="inlineStr">
        <is>
          <t xml:space="preserve">Old Testament</t>
        </is>
      </c>
      <c r="D705" s="15">
        <v>23</v>
      </c>
      <c r="E705" s="15" t="inlineStr">
        <is>
          <t xml:space="preserve">Isaiah</t>
        </is>
      </c>
      <c r="F705" s="15">
        <v>22</v>
      </c>
      <c r="G705" s="15" t="inlineStr">
        <is>
          <t xml:space="preserve">v0.4</t>
        </is>
      </c>
      <c r="H705" s="15" t="inlineStr">
        <is>
          <t xml:space="preserve">Bible_Journey_Canon_Map_v0_4_Prophets_Exile.xlsx</t>
        </is>
      </c>
      <c r="I705" s="15" t="inlineStr">
        <is>
          <t xml:space="preserve">Chapter Map</t>
        </is>
      </c>
      <c r="J705" s="15" t="inlineStr">
        <is>
          <t xml:space="preserve">CRS-04-014</t>
        </is>
      </c>
      <c r="K705" s="15" t="inlineStr">
        <is>
          <t xml:space="preserve">RB-04-014</t>
        </is>
      </c>
      <c r="L705" s="15" t="inlineStr">
        <is>
          <t xml:space="preserve">Main Stream</t>
        </is>
      </c>
      <c r="M705" s="15" t="inlineStr">
        <is>
          <t xml:space="preserve">Not reviewed</t>
        </is>
      </c>
      <c r="N705" s="15" t="inlineStr">
        <is>
          <t xml:space="preserve">S2; S3; S7</t>
        </is>
      </c>
      <c r="O705" s="15">
        <v>1</v>
      </c>
      <c r="P705" s="10" t="str">
        <f>IF(L705="MISSING","MISSING",IF(O705=1,"PASS","DUPLICATE"))</f>
        <v>PASS</v>
      </c>
    </row>
    <row r="706" ht="22" customHeight="1">
      <c r="A706" s="15" t="inlineStr">
        <is>
          <t xml:space="preserve">Isaiah 23</t>
        </is>
      </c>
      <c r="B706" s="15">
        <v>702</v>
      </c>
      <c r="C706" s="15" t="inlineStr">
        <is>
          <t xml:space="preserve">Old Testament</t>
        </is>
      </c>
      <c r="D706" s="15">
        <v>23</v>
      </c>
      <c r="E706" s="15" t="inlineStr">
        <is>
          <t xml:space="preserve">Isaiah</t>
        </is>
      </c>
      <c r="F706" s="15">
        <v>23</v>
      </c>
      <c r="G706" s="15" t="inlineStr">
        <is>
          <t xml:space="preserve">v0.4</t>
        </is>
      </c>
      <c r="H706" s="15" t="inlineStr">
        <is>
          <t xml:space="preserve">Bible_Journey_Canon_Map_v0_4_Prophets_Exile.xlsx</t>
        </is>
      </c>
      <c r="I706" s="15" t="inlineStr">
        <is>
          <t xml:space="preserve">Chapter Map</t>
        </is>
      </c>
      <c r="J706" s="15" t="inlineStr">
        <is>
          <t xml:space="preserve">CRS-04-014</t>
        </is>
      </c>
      <c r="K706" s="15" t="inlineStr">
        <is>
          <t xml:space="preserve">RB-04-014</t>
        </is>
      </c>
      <c r="L706" s="15" t="inlineStr">
        <is>
          <t xml:space="preserve">Main Stream</t>
        </is>
      </c>
      <c r="M706" s="15" t="inlineStr">
        <is>
          <t xml:space="preserve">Not reviewed</t>
        </is>
      </c>
      <c r="N706" s="15" t="inlineStr">
        <is>
          <t xml:space="preserve">S2; S3; S7</t>
        </is>
      </c>
      <c r="O706" s="15">
        <v>1</v>
      </c>
      <c r="P706" s="10" t="str">
        <f>IF(L706="MISSING","MISSING",IF(O706=1,"PASS","DUPLICATE"))</f>
        <v>PASS</v>
      </c>
    </row>
    <row r="707" ht="22" customHeight="1">
      <c r="A707" s="15" t="inlineStr">
        <is>
          <t xml:space="preserve">Isaiah 24</t>
        </is>
      </c>
      <c r="B707" s="15">
        <v>703</v>
      </c>
      <c r="C707" s="15" t="inlineStr">
        <is>
          <t xml:space="preserve">Old Testament</t>
        </is>
      </c>
      <c r="D707" s="15">
        <v>23</v>
      </c>
      <c r="E707" s="15" t="inlineStr">
        <is>
          <t xml:space="preserve">Isaiah</t>
        </is>
      </c>
      <c r="F707" s="15">
        <v>24</v>
      </c>
      <c r="G707" s="15" t="inlineStr">
        <is>
          <t xml:space="preserve">v0.4</t>
        </is>
      </c>
      <c r="H707" s="15" t="inlineStr">
        <is>
          <t xml:space="preserve">Bible_Journey_Canon_Map_v0_4_Prophets_Exile.xlsx</t>
        </is>
      </c>
      <c r="I707" s="15" t="inlineStr">
        <is>
          <t xml:space="preserve">Chapter Map</t>
        </is>
      </c>
      <c r="J707" s="15" t="inlineStr">
        <is>
          <t xml:space="preserve">CRS-04-015</t>
        </is>
      </c>
      <c r="K707" s="15" t="inlineStr">
        <is>
          <t xml:space="preserve">RB-04-015</t>
        </is>
      </c>
      <c r="L707" s="15" t="inlineStr">
        <is>
          <t xml:space="preserve">Main Stream</t>
        </is>
      </c>
      <c r="M707" s="15" t="inlineStr">
        <is>
          <t xml:space="preserve">Not reviewed</t>
        </is>
      </c>
      <c r="N707" s="15" t="inlineStr">
        <is>
          <t xml:space="preserve">S2; S7</t>
        </is>
      </c>
      <c r="O707" s="15">
        <v>1</v>
      </c>
      <c r="P707" s="10" t="str">
        <f>IF(L707="MISSING","MISSING",IF(O707=1,"PASS","DUPLICATE"))</f>
        <v>PASS</v>
      </c>
    </row>
    <row r="708" ht="22" customHeight="1">
      <c r="A708" s="15" t="inlineStr">
        <is>
          <t xml:space="preserve">Isaiah 25</t>
        </is>
      </c>
      <c r="B708" s="15">
        <v>704</v>
      </c>
      <c r="C708" s="15" t="inlineStr">
        <is>
          <t xml:space="preserve">Old Testament</t>
        </is>
      </c>
      <c r="D708" s="15">
        <v>23</v>
      </c>
      <c r="E708" s="15" t="inlineStr">
        <is>
          <t xml:space="preserve">Isaiah</t>
        </is>
      </c>
      <c r="F708" s="15">
        <v>25</v>
      </c>
      <c r="G708" s="15" t="inlineStr">
        <is>
          <t xml:space="preserve">v0.4</t>
        </is>
      </c>
      <c r="H708" s="15" t="inlineStr">
        <is>
          <t xml:space="preserve">Bible_Journey_Canon_Map_v0_4_Prophets_Exile.xlsx</t>
        </is>
      </c>
      <c r="I708" s="15" t="inlineStr">
        <is>
          <t xml:space="preserve">Chapter Map</t>
        </is>
      </c>
      <c r="J708" s="15" t="inlineStr">
        <is>
          <t xml:space="preserve">CRS-04-015</t>
        </is>
      </c>
      <c r="K708" s="15" t="inlineStr">
        <is>
          <t xml:space="preserve">RB-04-015</t>
        </is>
      </c>
      <c r="L708" s="15" t="inlineStr">
        <is>
          <t xml:space="preserve">Main Stream</t>
        </is>
      </c>
      <c r="M708" s="15" t="inlineStr">
        <is>
          <t xml:space="preserve">Not reviewed</t>
        </is>
      </c>
      <c r="N708" s="15" t="inlineStr">
        <is>
          <t xml:space="preserve">S2; S7</t>
        </is>
      </c>
      <c r="O708" s="15">
        <v>1</v>
      </c>
      <c r="P708" s="10" t="str">
        <f>IF(L708="MISSING","MISSING",IF(O708=1,"PASS","DUPLICATE"))</f>
        <v>PASS</v>
      </c>
    </row>
    <row r="709" ht="22" customHeight="1">
      <c r="A709" s="15" t="inlineStr">
        <is>
          <t xml:space="preserve">Isaiah 26</t>
        </is>
      </c>
      <c r="B709" s="15">
        <v>705</v>
      </c>
      <c r="C709" s="15" t="inlineStr">
        <is>
          <t xml:space="preserve">Old Testament</t>
        </is>
      </c>
      <c r="D709" s="15">
        <v>23</v>
      </c>
      <c r="E709" s="15" t="inlineStr">
        <is>
          <t xml:space="preserve">Isaiah</t>
        </is>
      </c>
      <c r="F709" s="15">
        <v>26</v>
      </c>
      <c r="G709" s="15" t="inlineStr">
        <is>
          <t xml:space="preserve">v0.4</t>
        </is>
      </c>
      <c r="H709" s="15" t="inlineStr">
        <is>
          <t xml:space="preserve">Bible_Journey_Canon_Map_v0_4_Prophets_Exile.xlsx</t>
        </is>
      </c>
      <c r="I709" s="15" t="inlineStr">
        <is>
          <t xml:space="preserve">Chapter Map</t>
        </is>
      </c>
      <c r="J709" s="15" t="inlineStr">
        <is>
          <t xml:space="preserve">CRS-04-015</t>
        </is>
      </c>
      <c r="K709" s="15" t="inlineStr">
        <is>
          <t xml:space="preserve">RB-04-015</t>
        </is>
      </c>
      <c r="L709" s="15" t="inlineStr">
        <is>
          <t xml:space="preserve">Main Stream</t>
        </is>
      </c>
      <c r="M709" s="15" t="inlineStr">
        <is>
          <t xml:space="preserve">Not reviewed</t>
        </is>
      </c>
      <c r="N709" s="15" t="inlineStr">
        <is>
          <t xml:space="preserve">S2; S7</t>
        </is>
      </c>
      <c r="O709" s="15">
        <v>1</v>
      </c>
      <c r="P709" s="10" t="str">
        <f>IF(L709="MISSING","MISSING",IF(O709=1,"PASS","DUPLICATE"))</f>
        <v>PASS</v>
      </c>
    </row>
    <row r="710" ht="22" customHeight="1">
      <c r="A710" s="15" t="inlineStr">
        <is>
          <t xml:space="preserve">Isaiah 27</t>
        </is>
      </c>
      <c r="B710" s="15">
        <v>706</v>
      </c>
      <c r="C710" s="15" t="inlineStr">
        <is>
          <t xml:space="preserve">Old Testament</t>
        </is>
      </c>
      <c r="D710" s="15">
        <v>23</v>
      </c>
      <c r="E710" s="15" t="inlineStr">
        <is>
          <t xml:space="preserve">Isaiah</t>
        </is>
      </c>
      <c r="F710" s="15">
        <v>27</v>
      </c>
      <c r="G710" s="15" t="inlineStr">
        <is>
          <t xml:space="preserve">v0.4</t>
        </is>
      </c>
      <c r="H710" s="15" t="inlineStr">
        <is>
          <t xml:space="preserve">Bible_Journey_Canon_Map_v0_4_Prophets_Exile.xlsx</t>
        </is>
      </c>
      <c r="I710" s="15" t="inlineStr">
        <is>
          <t xml:space="preserve">Chapter Map</t>
        </is>
      </c>
      <c r="J710" s="15" t="inlineStr">
        <is>
          <t xml:space="preserve">CRS-04-015</t>
        </is>
      </c>
      <c r="K710" s="15" t="inlineStr">
        <is>
          <t xml:space="preserve">RB-04-015</t>
        </is>
      </c>
      <c r="L710" s="15" t="inlineStr">
        <is>
          <t xml:space="preserve">Main Stream</t>
        </is>
      </c>
      <c r="M710" s="15" t="inlineStr">
        <is>
          <t xml:space="preserve">Not reviewed</t>
        </is>
      </c>
      <c r="N710" s="15" t="inlineStr">
        <is>
          <t xml:space="preserve">S2; S7</t>
        </is>
      </c>
      <c r="O710" s="15">
        <v>1</v>
      </c>
      <c r="P710" s="10" t="str">
        <f>IF(L710="MISSING","MISSING",IF(O710=1,"PASS","DUPLICATE"))</f>
        <v>PASS</v>
      </c>
    </row>
    <row r="711" ht="22" customHeight="1">
      <c r="A711" s="15" t="inlineStr">
        <is>
          <t xml:space="preserve">Isaiah 28</t>
        </is>
      </c>
      <c r="B711" s="15">
        <v>707</v>
      </c>
      <c r="C711" s="15" t="inlineStr">
        <is>
          <t xml:space="preserve">Old Testament</t>
        </is>
      </c>
      <c r="D711" s="15">
        <v>23</v>
      </c>
      <c r="E711" s="15" t="inlineStr">
        <is>
          <t xml:space="preserve">Isaiah</t>
        </is>
      </c>
      <c r="F711" s="15">
        <v>28</v>
      </c>
      <c r="G711" s="15" t="inlineStr">
        <is>
          <t xml:space="preserve">v0.4</t>
        </is>
      </c>
      <c r="H711" s="15" t="inlineStr">
        <is>
          <t xml:space="preserve">Bible_Journey_Canon_Map_v0_4_Prophets_Exile.xlsx</t>
        </is>
      </c>
      <c r="I711" s="15" t="inlineStr">
        <is>
          <t xml:space="preserve">Chapter Map</t>
        </is>
      </c>
      <c r="J711" s="15" t="inlineStr">
        <is>
          <t xml:space="preserve">CRS-04-016</t>
        </is>
      </c>
      <c r="K711" s="15" t="inlineStr">
        <is>
          <t xml:space="preserve">RB-04-016</t>
        </is>
      </c>
      <c r="L711" s="15" t="inlineStr">
        <is>
          <t xml:space="preserve">Main Stream</t>
        </is>
      </c>
      <c r="M711" s="15" t="inlineStr">
        <is>
          <t xml:space="preserve">Not reviewed</t>
        </is>
      </c>
      <c r="N711" s="15" t="inlineStr">
        <is>
          <t xml:space="preserve">S2; S3; S7</t>
        </is>
      </c>
      <c r="O711" s="15">
        <v>1</v>
      </c>
      <c r="P711" s="10" t="str">
        <f>IF(L711="MISSING","MISSING",IF(O711=1,"PASS","DUPLICATE"))</f>
        <v>PASS</v>
      </c>
    </row>
    <row r="712" ht="22" customHeight="1">
      <c r="A712" s="15" t="inlineStr">
        <is>
          <t xml:space="preserve">Isaiah 29</t>
        </is>
      </c>
      <c r="B712" s="15">
        <v>708</v>
      </c>
      <c r="C712" s="15" t="inlineStr">
        <is>
          <t xml:space="preserve">Old Testament</t>
        </is>
      </c>
      <c r="D712" s="15">
        <v>23</v>
      </c>
      <c r="E712" s="15" t="inlineStr">
        <is>
          <t xml:space="preserve">Isaiah</t>
        </is>
      </c>
      <c r="F712" s="15">
        <v>29</v>
      </c>
      <c r="G712" s="15" t="inlineStr">
        <is>
          <t xml:space="preserve">v0.4</t>
        </is>
      </c>
      <c r="H712" s="15" t="inlineStr">
        <is>
          <t xml:space="preserve">Bible_Journey_Canon_Map_v0_4_Prophets_Exile.xlsx</t>
        </is>
      </c>
      <c r="I712" s="15" t="inlineStr">
        <is>
          <t xml:space="preserve">Chapter Map</t>
        </is>
      </c>
      <c r="J712" s="15" t="inlineStr">
        <is>
          <t xml:space="preserve">CRS-04-016</t>
        </is>
      </c>
      <c r="K712" s="15" t="inlineStr">
        <is>
          <t xml:space="preserve">RB-04-016</t>
        </is>
      </c>
      <c r="L712" s="15" t="inlineStr">
        <is>
          <t xml:space="preserve">Main Stream</t>
        </is>
      </c>
      <c r="M712" s="15" t="inlineStr">
        <is>
          <t xml:space="preserve">Not reviewed</t>
        </is>
      </c>
      <c r="N712" s="15" t="inlineStr">
        <is>
          <t xml:space="preserve">S2; S3; S7</t>
        </is>
      </c>
      <c r="O712" s="15">
        <v>1</v>
      </c>
      <c r="P712" s="10" t="str">
        <f>IF(L712="MISSING","MISSING",IF(O712=1,"PASS","DUPLICATE"))</f>
        <v>PASS</v>
      </c>
    </row>
    <row r="713" ht="22" customHeight="1">
      <c r="A713" s="15" t="inlineStr">
        <is>
          <t xml:space="preserve">Isaiah 30</t>
        </is>
      </c>
      <c r="B713" s="15">
        <v>709</v>
      </c>
      <c r="C713" s="15" t="inlineStr">
        <is>
          <t xml:space="preserve">Old Testament</t>
        </is>
      </c>
      <c r="D713" s="15">
        <v>23</v>
      </c>
      <c r="E713" s="15" t="inlineStr">
        <is>
          <t xml:space="preserve">Isaiah</t>
        </is>
      </c>
      <c r="F713" s="15">
        <v>30</v>
      </c>
      <c r="G713" s="15" t="inlineStr">
        <is>
          <t xml:space="preserve">v0.4</t>
        </is>
      </c>
      <c r="H713" s="15" t="inlineStr">
        <is>
          <t xml:space="preserve">Bible_Journey_Canon_Map_v0_4_Prophets_Exile.xlsx</t>
        </is>
      </c>
      <c r="I713" s="15" t="inlineStr">
        <is>
          <t xml:space="preserve">Chapter Map</t>
        </is>
      </c>
      <c r="J713" s="15" t="inlineStr">
        <is>
          <t xml:space="preserve">CRS-04-016</t>
        </is>
      </c>
      <c r="K713" s="15" t="inlineStr">
        <is>
          <t xml:space="preserve">RB-04-016</t>
        </is>
      </c>
      <c r="L713" s="15" t="inlineStr">
        <is>
          <t xml:space="preserve">Main Stream</t>
        </is>
      </c>
      <c r="M713" s="15" t="inlineStr">
        <is>
          <t xml:space="preserve">Not reviewed</t>
        </is>
      </c>
      <c r="N713" s="15" t="inlineStr">
        <is>
          <t xml:space="preserve">S2; S3; S7</t>
        </is>
      </c>
      <c r="O713" s="15">
        <v>1</v>
      </c>
      <c r="P713" s="10" t="str">
        <f>IF(L713="MISSING","MISSING",IF(O713=1,"PASS","DUPLICATE"))</f>
        <v>PASS</v>
      </c>
    </row>
    <row r="714" ht="22" customHeight="1">
      <c r="A714" s="15" t="inlineStr">
        <is>
          <t xml:space="preserve">Isaiah 31</t>
        </is>
      </c>
      <c r="B714" s="15">
        <v>710</v>
      </c>
      <c r="C714" s="15" t="inlineStr">
        <is>
          <t xml:space="preserve">Old Testament</t>
        </is>
      </c>
      <c r="D714" s="15">
        <v>23</v>
      </c>
      <c r="E714" s="15" t="inlineStr">
        <is>
          <t xml:space="preserve">Isaiah</t>
        </is>
      </c>
      <c r="F714" s="15">
        <v>31</v>
      </c>
      <c r="G714" s="15" t="inlineStr">
        <is>
          <t xml:space="preserve">v0.4</t>
        </is>
      </c>
      <c r="H714" s="15" t="inlineStr">
        <is>
          <t xml:space="preserve">Bible_Journey_Canon_Map_v0_4_Prophets_Exile.xlsx</t>
        </is>
      </c>
      <c r="I714" s="15" t="inlineStr">
        <is>
          <t xml:space="preserve">Chapter Map</t>
        </is>
      </c>
      <c r="J714" s="15" t="inlineStr">
        <is>
          <t xml:space="preserve">CRS-04-016</t>
        </is>
      </c>
      <c r="K714" s="15" t="inlineStr">
        <is>
          <t xml:space="preserve">RB-04-016</t>
        </is>
      </c>
      <c r="L714" s="15" t="inlineStr">
        <is>
          <t xml:space="preserve">Main Stream</t>
        </is>
      </c>
      <c r="M714" s="15" t="inlineStr">
        <is>
          <t xml:space="preserve">Not reviewed</t>
        </is>
      </c>
      <c r="N714" s="15" t="inlineStr">
        <is>
          <t xml:space="preserve">S2; S3; S7</t>
        </is>
      </c>
      <c r="O714" s="15">
        <v>1</v>
      </c>
      <c r="P714" s="10" t="str">
        <f>IF(L714="MISSING","MISSING",IF(O714=1,"PASS","DUPLICATE"))</f>
        <v>PASS</v>
      </c>
    </row>
    <row r="715" ht="22" customHeight="1">
      <c r="A715" s="15" t="inlineStr">
        <is>
          <t xml:space="preserve">Isaiah 32</t>
        </is>
      </c>
      <c r="B715" s="15">
        <v>711</v>
      </c>
      <c r="C715" s="15" t="inlineStr">
        <is>
          <t xml:space="preserve">Old Testament</t>
        </is>
      </c>
      <c r="D715" s="15">
        <v>23</v>
      </c>
      <c r="E715" s="15" t="inlineStr">
        <is>
          <t xml:space="preserve">Isaiah</t>
        </is>
      </c>
      <c r="F715" s="15">
        <v>32</v>
      </c>
      <c r="G715" s="15" t="inlineStr">
        <is>
          <t xml:space="preserve">v0.4</t>
        </is>
      </c>
      <c r="H715" s="15" t="inlineStr">
        <is>
          <t xml:space="preserve">Bible_Journey_Canon_Map_v0_4_Prophets_Exile.xlsx</t>
        </is>
      </c>
      <c r="I715" s="15" t="inlineStr">
        <is>
          <t xml:space="preserve">Chapter Map</t>
        </is>
      </c>
      <c r="J715" s="15" t="inlineStr">
        <is>
          <t xml:space="preserve">CRS-04-016</t>
        </is>
      </c>
      <c r="K715" s="15" t="inlineStr">
        <is>
          <t xml:space="preserve">RB-04-016</t>
        </is>
      </c>
      <c r="L715" s="15" t="inlineStr">
        <is>
          <t xml:space="preserve">Main Stream</t>
        </is>
      </c>
      <c r="M715" s="15" t="inlineStr">
        <is>
          <t xml:space="preserve">Not reviewed</t>
        </is>
      </c>
      <c r="N715" s="15" t="inlineStr">
        <is>
          <t xml:space="preserve">S2; S3; S7</t>
        </is>
      </c>
      <c r="O715" s="15">
        <v>1</v>
      </c>
      <c r="P715" s="10" t="str">
        <f>IF(L715="MISSING","MISSING",IF(O715=1,"PASS","DUPLICATE"))</f>
        <v>PASS</v>
      </c>
    </row>
    <row r="716" ht="22" customHeight="1">
      <c r="A716" s="15" t="inlineStr">
        <is>
          <t xml:space="preserve">Isaiah 33</t>
        </is>
      </c>
      <c r="B716" s="15">
        <v>712</v>
      </c>
      <c r="C716" s="15" t="inlineStr">
        <is>
          <t xml:space="preserve">Old Testament</t>
        </is>
      </c>
      <c r="D716" s="15">
        <v>23</v>
      </c>
      <c r="E716" s="15" t="inlineStr">
        <is>
          <t xml:space="preserve">Isaiah</t>
        </is>
      </c>
      <c r="F716" s="15">
        <v>33</v>
      </c>
      <c r="G716" s="15" t="inlineStr">
        <is>
          <t xml:space="preserve">v0.4</t>
        </is>
      </c>
      <c r="H716" s="15" t="inlineStr">
        <is>
          <t xml:space="preserve">Bible_Journey_Canon_Map_v0_4_Prophets_Exile.xlsx</t>
        </is>
      </c>
      <c r="I716" s="15" t="inlineStr">
        <is>
          <t xml:space="preserve">Chapter Map</t>
        </is>
      </c>
      <c r="J716" s="15" t="inlineStr">
        <is>
          <t xml:space="preserve">CRS-04-016</t>
        </is>
      </c>
      <c r="K716" s="15" t="inlineStr">
        <is>
          <t xml:space="preserve">RB-04-016</t>
        </is>
      </c>
      <c r="L716" s="15" t="inlineStr">
        <is>
          <t xml:space="preserve">Main Stream</t>
        </is>
      </c>
      <c r="M716" s="15" t="inlineStr">
        <is>
          <t xml:space="preserve">Not reviewed</t>
        </is>
      </c>
      <c r="N716" s="15" t="inlineStr">
        <is>
          <t xml:space="preserve">S2; S3; S7</t>
        </is>
      </c>
      <c r="O716" s="15">
        <v>1</v>
      </c>
      <c r="P716" s="10" t="str">
        <f>IF(L716="MISSING","MISSING",IF(O716=1,"PASS","DUPLICATE"))</f>
        <v>PASS</v>
      </c>
    </row>
    <row r="717" ht="22" customHeight="1">
      <c r="A717" s="15" t="inlineStr">
        <is>
          <t xml:space="preserve">Isaiah 34</t>
        </is>
      </c>
      <c r="B717" s="15">
        <v>713</v>
      </c>
      <c r="C717" s="15" t="inlineStr">
        <is>
          <t xml:space="preserve">Old Testament</t>
        </is>
      </c>
      <c r="D717" s="15">
        <v>23</v>
      </c>
      <c r="E717" s="15" t="inlineStr">
        <is>
          <t xml:space="preserve">Isaiah</t>
        </is>
      </c>
      <c r="F717" s="15">
        <v>34</v>
      </c>
      <c r="G717" s="15" t="inlineStr">
        <is>
          <t xml:space="preserve">v0.4</t>
        </is>
      </c>
      <c r="H717" s="15" t="inlineStr">
        <is>
          <t xml:space="preserve">Bible_Journey_Canon_Map_v0_4_Prophets_Exile.xlsx</t>
        </is>
      </c>
      <c r="I717" s="15" t="inlineStr">
        <is>
          <t xml:space="preserve">Chapter Map</t>
        </is>
      </c>
      <c r="J717" s="15" t="inlineStr">
        <is>
          <t xml:space="preserve">CRS-04-016</t>
        </is>
      </c>
      <c r="K717" s="15" t="inlineStr">
        <is>
          <t xml:space="preserve">RB-04-016</t>
        </is>
      </c>
      <c r="L717" s="15" t="inlineStr">
        <is>
          <t xml:space="preserve">Main Stream</t>
        </is>
      </c>
      <c r="M717" s="15" t="inlineStr">
        <is>
          <t xml:space="preserve">Not reviewed</t>
        </is>
      </c>
      <c r="N717" s="15" t="inlineStr">
        <is>
          <t xml:space="preserve">S2; S3; S7</t>
        </is>
      </c>
      <c r="O717" s="15">
        <v>1</v>
      </c>
      <c r="P717" s="10" t="str">
        <f>IF(L717="MISSING","MISSING",IF(O717=1,"PASS","DUPLICATE"))</f>
        <v>PASS</v>
      </c>
    </row>
    <row r="718" ht="22" customHeight="1">
      <c r="A718" s="15" t="inlineStr">
        <is>
          <t xml:space="preserve">Isaiah 35</t>
        </is>
      </c>
      <c r="B718" s="15">
        <v>714</v>
      </c>
      <c r="C718" s="15" t="inlineStr">
        <is>
          <t xml:space="preserve">Old Testament</t>
        </is>
      </c>
      <c r="D718" s="15">
        <v>23</v>
      </c>
      <c r="E718" s="15" t="inlineStr">
        <is>
          <t xml:space="preserve">Isaiah</t>
        </is>
      </c>
      <c r="F718" s="15">
        <v>35</v>
      </c>
      <c r="G718" s="15" t="inlineStr">
        <is>
          <t xml:space="preserve">v0.4</t>
        </is>
      </c>
      <c r="H718" s="15" t="inlineStr">
        <is>
          <t xml:space="preserve">Bible_Journey_Canon_Map_v0_4_Prophets_Exile.xlsx</t>
        </is>
      </c>
      <c r="I718" s="15" t="inlineStr">
        <is>
          <t xml:space="preserve">Chapter Map</t>
        </is>
      </c>
      <c r="J718" s="15" t="inlineStr">
        <is>
          <t xml:space="preserve">CRS-04-016</t>
        </is>
      </c>
      <c r="K718" s="15" t="inlineStr">
        <is>
          <t xml:space="preserve">RB-04-016</t>
        </is>
      </c>
      <c r="L718" s="15" t="inlineStr">
        <is>
          <t xml:space="preserve">Main Stream</t>
        </is>
      </c>
      <c r="M718" s="15" t="inlineStr">
        <is>
          <t xml:space="preserve">Not reviewed</t>
        </is>
      </c>
      <c r="N718" s="15" t="inlineStr">
        <is>
          <t xml:space="preserve">S2; S3; S7</t>
        </is>
      </c>
      <c r="O718" s="15">
        <v>1</v>
      </c>
      <c r="P718" s="10" t="str">
        <f>IF(L718="MISSING","MISSING",IF(O718=1,"PASS","DUPLICATE"))</f>
        <v>PASS</v>
      </c>
    </row>
    <row r="719" ht="22" customHeight="1">
      <c r="A719" s="15" t="inlineStr">
        <is>
          <t xml:space="preserve">Isaiah 36</t>
        </is>
      </c>
      <c r="B719" s="15">
        <v>715</v>
      </c>
      <c r="C719" s="15" t="inlineStr">
        <is>
          <t xml:space="preserve">Old Testament</t>
        </is>
      </c>
      <c r="D719" s="15">
        <v>23</v>
      </c>
      <c r="E719" s="15" t="inlineStr">
        <is>
          <t xml:space="preserve">Isaiah</t>
        </is>
      </c>
      <c r="F719" s="15">
        <v>36</v>
      </c>
      <c r="G719" s="15" t="inlineStr">
        <is>
          <t xml:space="preserve">v0.4</t>
        </is>
      </c>
      <c r="H719" s="15" t="inlineStr">
        <is>
          <t xml:space="preserve">Bible_Journey_Canon_Map_v0_4_Prophets_Exile.xlsx</t>
        </is>
      </c>
      <c r="I719" s="15" t="inlineStr">
        <is>
          <t xml:space="preserve">Chapter Map</t>
        </is>
      </c>
      <c r="J719" s="15" t="inlineStr">
        <is>
          <t xml:space="preserve">CRS-04-017</t>
        </is>
      </c>
      <c r="K719" s="15" t="inlineStr">
        <is>
          <t xml:space="preserve">RB-04-017</t>
        </is>
      </c>
      <c r="L719" s="15" t="inlineStr">
        <is>
          <t xml:space="preserve">Main Stream</t>
        </is>
      </c>
      <c r="M719" s="15" t="inlineStr">
        <is>
          <t xml:space="preserve">Not reviewed</t>
        </is>
      </c>
      <c r="N719" s="15" t="inlineStr">
        <is>
          <t xml:space="preserve">S1; S2; S3</t>
        </is>
      </c>
      <c r="O719" s="15">
        <v>1</v>
      </c>
      <c r="P719" s="10" t="str">
        <f>IF(L719="MISSING","MISSING",IF(O719=1,"PASS","DUPLICATE"))</f>
        <v>PASS</v>
      </c>
    </row>
    <row r="720" ht="22" customHeight="1">
      <c r="A720" s="15" t="inlineStr">
        <is>
          <t xml:space="preserve">Isaiah 37</t>
        </is>
      </c>
      <c r="B720" s="15">
        <v>716</v>
      </c>
      <c r="C720" s="15" t="inlineStr">
        <is>
          <t xml:space="preserve">Old Testament</t>
        </is>
      </c>
      <c r="D720" s="15">
        <v>23</v>
      </c>
      <c r="E720" s="15" t="inlineStr">
        <is>
          <t xml:space="preserve">Isaiah</t>
        </is>
      </c>
      <c r="F720" s="15">
        <v>37</v>
      </c>
      <c r="G720" s="15" t="inlineStr">
        <is>
          <t xml:space="preserve">v0.4</t>
        </is>
      </c>
      <c r="H720" s="15" t="inlineStr">
        <is>
          <t xml:space="preserve">Bible_Journey_Canon_Map_v0_4_Prophets_Exile.xlsx</t>
        </is>
      </c>
      <c r="I720" s="15" t="inlineStr">
        <is>
          <t xml:space="preserve">Chapter Map</t>
        </is>
      </c>
      <c r="J720" s="15" t="inlineStr">
        <is>
          <t xml:space="preserve">CRS-04-017</t>
        </is>
      </c>
      <c r="K720" s="15" t="inlineStr">
        <is>
          <t xml:space="preserve">RB-04-017</t>
        </is>
      </c>
      <c r="L720" s="15" t="inlineStr">
        <is>
          <t xml:space="preserve">Main Stream</t>
        </is>
      </c>
      <c r="M720" s="15" t="inlineStr">
        <is>
          <t xml:space="preserve">Not reviewed</t>
        </is>
      </c>
      <c r="N720" s="15" t="inlineStr">
        <is>
          <t xml:space="preserve">S1; S2; S3</t>
        </is>
      </c>
      <c r="O720" s="15">
        <v>1</v>
      </c>
      <c r="P720" s="10" t="str">
        <f>IF(L720="MISSING","MISSING",IF(O720=1,"PASS","DUPLICATE"))</f>
        <v>PASS</v>
      </c>
    </row>
    <row r="721" ht="22" customHeight="1">
      <c r="A721" s="15" t="inlineStr">
        <is>
          <t xml:space="preserve">Isaiah 38</t>
        </is>
      </c>
      <c r="B721" s="15">
        <v>717</v>
      </c>
      <c r="C721" s="15" t="inlineStr">
        <is>
          <t xml:space="preserve">Old Testament</t>
        </is>
      </c>
      <c r="D721" s="15">
        <v>23</v>
      </c>
      <c r="E721" s="15" t="inlineStr">
        <is>
          <t xml:space="preserve">Isaiah</t>
        </is>
      </c>
      <c r="F721" s="15">
        <v>38</v>
      </c>
      <c r="G721" s="15" t="inlineStr">
        <is>
          <t xml:space="preserve">v0.4</t>
        </is>
      </c>
      <c r="H721" s="15" t="inlineStr">
        <is>
          <t xml:space="preserve">Bible_Journey_Canon_Map_v0_4_Prophets_Exile.xlsx</t>
        </is>
      </c>
      <c r="I721" s="15" t="inlineStr">
        <is>
          <t xml:space="preserve">Chapter Map</t>
        </is>
      </c>
      <c r="J721" s="15" t="inlineStr">
        <is>
          <t xml:space="preserve">CRS-04-018</t>
        </is>
      </c>
      <c r="K721" s="15" t="inlineStr">
        <is>
          <t xml:space="preserve">RB-04-018</t>
        </is>
      </c>
      <c r="L721" s="15" t="inlineStr">
        <is>
          <t xml:space="preserve">Main Stream</t>
        </is>
      </c>
      <c r="M721" s="15" t="inlineStr">
        <is>
          <t xml:space="preserve">Not reviewed</t>
        </is>
      </c>
      <c r="N721" s="15" t="inlineStr">
        <is>
          <t xml:space="preserve">S1; S2; S3; S7</t>
        </is>
      </c>
      <c r="O721" s="15">
        <v>1</v>
      </c>
      <c r="P721" s="10" t="str">
        <f>IF(L721="MISSING","MISSING",IF(O721=1,"PASS","DUPLICATE"))</f>
        <v>PASS</v>
      </c>
    </row>
    <row r="722" ht="22" customHeight="1">
      <c r="A722" s="15" t="inlineStr">
        <is>
          <t xml:space="preserve">Isaiah 39</t>
        </is>
      </c>
      <c r="B722" s="15">
        <v>718</v>
      </c>
      <c r="C722" s="15" t="inlineStr">
        <is>
          <t xml:space="preserve">Old Testament</t>
        </is>
      </c>
      <c r="D722" s="15">
        <v>23</v>
      </c>
      <c r="E722" s="15" t="inlineStr">
        <is>
          <t xml:space="preserve">Isaiah</t>
        </is>
      </c>
      <c r="F722" s="15">
        <v>39</v>
      </c>
      <c r="G722" s="15" t="inlineStr">
        <is>
          <t xml:space="preserve">v0.4</t>
        </is>
      </c>
      <c r="H722" s="15" t="inlineStr">
        <is>
          <t xml:space="preserve">Bible_Journey_Canon_Map_v0_4_Prophets_Exile.xlsx</t>
        </is>
      </c>
      <c r="I722" s="15" t="inlineStr">
        <is>
          <t xml:space="preserve">Chapter Map</t>
        </is>
      </c>
      <c r="J722" s="15" t="inlineStr">
        <is>
          <t xml:space="preserve">CRS-04-018</t>
        </is>
      </c>
      <c r="K722" s="15" t="inlineStr">
        <is>
          <t xml:space="preserve">RB-04-018</t>
        </is>
      </c>
      <c r="L722" s="15" t="inlineStr">
        <is>
          <t xml:space="preserve">Main Stream</t>
        </is>
      </c>
      <c r="M722" s="15" t="inlineStr">
        <is>
          <t xml:space="preserve">Not reviewed</t>
        </is>
      </c>
      <c r="N722" s="15" t="inlineStr">
        <is>
          <t xml:space="preserve">S1; S2; S3; S7</t>
        </is>
      </c>
      <c r="O722" s="15">
        <v>1</v>
      </c>
      <c r="P722" s="10" t="str">
        <f>IF(L722="MISSING","MISSING",IF(O722=1,"PASS","DUPLICATE"))</f>
        <v>PASS</v>
      </c>
    </row>
    <row r="723" ht="22" customHeight="1">
      <c r="A723" s="15" t="inlineStr">
        <is>
          <t xml:space="preserve">Isaiah 40</t>
        </is>
      </c>
      <c r="B723" s="15">
        <v>719</v>
      </c>
      <c r="C723" s="15" t="inlineStr">
        <is>
          <t xml:space="preserve">Old Testament</t>
        </is>
      </c>
      <c r="D723" s="15">
        <v>23</v>
      </c>
      <c r="E723" s="15" t="inlineStr">
        <is>
          <t xml:space="preserve">Isaiah</t>
        </is>
      </c>
      <c r="F723" s="15">
        <v>40</v>
      </c>
      <c r="G723" s="15" t="inlineStr">
        <is>
          <t xml:space="preserve">v0.4</t>
        </is>
      </c>
      <c r="H723" s="15" t="inlineStr">
        <is>
          <t xml:space="preserve">Bible_Journey_Canon_Map_v0_4_Prophets_Exile.xlsx</t>
        </is>
      </c>
      <c r="I723" s="15" t="inlineStr">
        <is>
          <t xml:space="preserve">Chapter Map</t>
        </is>
      </c>
      <c r="J723" s="15" t="inlineStr">
        <is>
          <t xml:space="preserve">CRS-04-046</t>
        </is>
      </c>
      <c r="K723" s="15" t="inlineStr">
        <is>
          <t xml:space="preserve">RB-04-048</t>
        </is>
      </c>
      <c r="L723" s="15" t="inlineStr">
        <is>
          <t xml:space="preserve">Main Stream</t>
        </is>
      </c>
      <c r="M723" s="15" t="inlineStr">
        <is>
          <t xml:space="preserve">Not reviewed</t>
        </is>
      </c>
      <c r="N723" s="15" t="inlineStr">
        <is>
          <t xml:space="preserve">S2; S4; S10; S12</t>
        </is>
      </c>
      <c r="O723" s="15">
        <v>1</v>
      </c>
      <c r="P723" s="10" t="str">
        <f>IF(L723="MISSING","MISSING",IF(O723=1,"PASS","DUPLICATE"))</f>
        <v>PASS</v>
      </c>
    </row>
    <row r="724" ht="22" customHeight="1">
      <c r="A724" s="15" t="inlineStr">
        <is>
          <t xml:space="preserve">Isaiah 41</t>
        </is>
      </c>
      <c r="B724" s="15">
        <v>720</v>
      </c>
      <c r="C724" s="15" t="inlineStr">
        <is>
          <t xml:space="preserve">Old Testament</t>
        </is>
      </c>
      <c r="D724" s="15">
        <v>23</v>
      </c>
      <c r="E724" s="15" t="inlineStr">
        <is>
          <t xml:space="preserve">Isaiah</t>
        </is>
      </c>
      <c r="F724" s="15">
        <v>41</v>
      </c>
      <c r="G724" s="15" t="inlineStr">
        <is>
          <t xml:space="preserve">v0.4</t>
        </is>
      </c>
      <c r="H724" s="15" t="inlineStr">
        <is>
          <t xml:space="preserve">Bible_Journey_Canon_Map_v0_4_Prophets_Exile.xlsx</t>
        </is>
      </c>
      <c r="I724" s="15" t="inlineStr">
        <is>
          <t xml:space="preserve">Chapter Map</t>
        </is>
      </c>
      <c r="J724" s="15" t="inlineStr">
        <is>
          <t xml:space="preserve">CRS-04-046</t>
        </is>
      </c>
      <c r="K724" s="15" t="inlineStr">
        <is>
          <t xml:space="preserve">RB-04-048</t>
        </is>
      </c>
      <c r="L724" s="15" t="inlineStr">
        <is>
          <t xml:space="preserve">Main Stream</t>
        </is>
      </c>
      <c r="M724" s="15" t="inlineStr">
        <is>
          <t xml:space="preserve">Not reviewed</t>
        </is>
      </c>
      <c r="N724" s="15" t="inlineStr">
        <is>
          <t xml:space="preserve">S2; S4; S10; S12</t>
        </is>
      </c>
      <c r="O724" s="15">
        <v>1</v>
      </c>
      <c r="P724" s="10" t="str">
        <f>IF(L724="MISSING","MISSING",IF(O724=1,"PASS","DUPLICATE"))</f>
        <v>PASS</v>
      </c>
    </row>
    <row r="725" ht="22" customHeight="1">
      <c r="A725" s="15" t="inlineStr">
        <is>
          <t xml:space="preserve">Isaiah 42</t>
        </is>
      </c>
      <c r="B725" s="15">
        <v>721</v>
      </c>
      <c r="C725" s="15" t="inlineStr">
        <is>
          <t xml:space="preserve">Old Testament</t>
        </is>
      </c>
      <c r="D725" s="15">
        <v>23</v>
      </c>
      <c r="E725" s="15" t="inlineStr">
        <is>
          <t xml:space="preserve">Isaiah</t>
        </is>
      </c>
      <c r="F725" s="15">
        <v>42</v>
      </c>
      <c r="G725" s="15" t="inlineStr">
        <is>
          <t xml:space="preserve">v0.4</t>
        </is>
      </c>
      <c r="H725" s="15" t="inlineStr">
        <is>
          <t xml:space="preserve">Bible_Journey_Canon_Map_v0_4_Prophets_Exile.xlsx</t>
        </is>
      </c>
      <c r="I725" s="15" t="inlineStr">
        <is>
          <t xml:space="preserve">Chapter Map</t>
        </is>
      </c>
      <c r="J725" s="15" t="inlineStr">
        <is>
          <t xml:space="preserve">CRS-04-046</t>
        </is>
      </c>
      <c r="K725" s="15" t="inlineStr">
        <is>
          <t xml:space="preserve">RB-04-048</t>
        </is>
      </c>
      <c r="L725" s="15" t="inlineStr">
        <is>
          <t xml:space="preserve">Main Stream</t>
        </is>
      </c>
      <c r="M725" s="15" t="inlineStr">
        <is>
          <t xml:space="preserve">Not reviewed</t>
        </is>
      </c>
      <c r="N725" s="15" t="inlineStr">
        <is>
          <t xml:space="preserve">S2; S4; S10; S12</t>
        </is>
      </c>
      <c r="O725" s="15">
        <v>1</v>
      </c>
      <c r="P725" s="10" t="str">
        <f>IF(L725="MISSING","MISSING",IF(O725=1,"PASS","DUPLICATE"))</f>
        <v>PASS</v>
      </c>
    </row>
    <row r="726" ht="22" customHeight="1">
      <c r="A726" s="15" t="inlineStr">
        <is>
          <t xml:space="preserve">Isaiah 43</t>
        </is>
      </c>
      <c r="B726" s="15">
        <v>722</v>
      </c>
      <c r="C726" s="15" t="inlineStr">
        <is>
          <t xml:space="preserve">Old Testament</t>
        </is>
      </c>
      <c r="D726" s="15">
        <v>23</v>
      </c>
      <c r="E726" s="15" t="inlineStr">
        <is>
          <t xml:space="preserve">Isaiah</t>
        </is>
      </c>
      <c r="F726" s="15">
        <v>43</v>
      </c>
      <c r="G726" s="15" t="inlineStr">
        <is>
          <t xml:space="preserve">v0.4</t>
        </is>
      </c>
      <c r="H726" s="15" t="inlineStr">
        <is>
          <t xml:space="preserve">Bible_Journey_Canon_Map_v0_4_Prophets_Exile.xlsx</t>
        </is>
      </c>
      <c r="I726" s="15" t="inlineStr">
        <is>
          <t xml:space="preserve">Chapter Map</t>
        </is>
      </c>
      <c r="J726" s="15" t="inlineStr">
        <is>
          <t xml:space="preserve">CRS-04-046</t>
        </is>
      </c>
      <c r="K726" s="15" t="inlineStr">
        <is>
          <t xml:space="preserve">RB-04-048</t>
        </is>
      </c>
      <c r="L726" s="15" t="inlineStr">
        <is>
          <t xml:space="preserve">Main Stream</t>
        </is>
      </c>
      <c r="M726" s="15" t="inlineStr">
        <is>
          <t xml:space="preserve">Not reviewed</t>
        </is>
      </c>
      <c r="N726" s="15" t="inlineStr">
        <is>
          <t xml:space="preserve">S2; S4; S10; S12</t>
        </is>
      </c>
      <c r="O726" s="15">
        <v>1</v>
      </c>
      <c r="P726" s="10" t="str">
        <f>IF(L726="MISSING","MISSING",IF(O726=1,"PASS","DUPLICATE"))</f>
        <v>PASS</v>
      </c>
    </row>
    <row r="727" ht="22" customHeight="1">
      <c r="A727" s="15" t="inlineStr">
        <is>
          <t xml:space="preserve">Isaiah 44</t>
        </is>
      </c>
      <c r="B727" s="15">
        <v>723</v>
      </c>
      <c r="C727" s="15" t="inlineStr">
        <is>
          <t xml:space="preserve">Old Testament</t>
        </is>
      </c>
      <c r="D727" s="15">
        <v>23</v>
      </c>
      <c r="E727" s="15" t="inlineStr">
        <is>
          <t xml:space="preserve">Isaiah</t>
        </is>
      </c>
      <c r="F727" s="15">
        <v>44</v>
      </c>
      <c r="G727" s="15" t="inlineStr">
        <is>
          <t xml:space="preserve">v0.4</t>
        </is>
      </c>
      <c r="H727" s="15" t="inlineStr">
        <is>
          <t xml:space="preserve">Bible_Journey_Canon_Map_v0_4_Prophets_Exile.xlsx</t>
        </is>
      </c>
      <c r="I727" s="15" t="inlineStr">
        <is>
          <t xml:space="preserve">Chapter Map</t>
        </is>
      </c>
      <c r="J727" s="15" t="inlineStr">
        <is>
          <t xml:space="preserve">CRS-04-046</t>
        </is>
      </c>
      <c r="K727" s="15" t="inlineStr">
        <is>
          <t xml:space="preserve">RB-04-048</t>
        </is>
      </c>
      <c r="L727" s="15" t="inlineStr">
        <is>
          <t xml:space="preserve">Main Stream</t>
        </is>
      </c>
      <c r="M727" s="15" t="inlineStr">
        <is>
          <t xml:space="preserve">Not reviewed</t>
        </is>
      </c>
      <c r="N727" s="15" t="inlineStr">
        <is>
          <t xml:space="preserve">S2; S4; S10; S12</t>
        </is>
      </c>
      <c r="O727" s="15">
        <v>1</v>
      </c>
      <c r="P727" s="10" t="str">
        <f>IF(L727="MISSING","MISSING",IF(O727=1,"PASS","DUPLICATE"))</f>
        <v>PASS</v>
      </c>
    </row>
    <row r="728" ht="22" customHeight="1">
      <c r="A728" s="15" t="inlineStr">
        <is>
          <t xml:space="preserve">Isaiah 45</t>
        </is>
      </c>
      <c r="B728" s="15">
        <v>724</v>
      </c>
      <c r="C728" s="15" t="inlineStr">
        <is>
          <t xml:space="preserve">Old Testament</t>
        </is>
      </c>
      <c r="D728" s="15">
        <v>23</v>
      </c>
      <c r="E728" s="15" t="inlineStr">
        <is>
          <t xml:space="preserve">Isaiah</t>
        </is>
      </c>
      <c r="F728" s="15">
        <v>45</v>
      </c>
      <c r="G728" s="15" t="inlineStr">
        <is>
          <t xml:space="preserve">v0.4</t>
        </is>
      </c>
      <c r="H728" s="15" t="inlineStr">
        <is>
          <t xml:space="preserve">Bible_Journey_Canon_Map_v0_4_Prophets_Exile.xlsx</t>
        </is>
      </c>
      <c r="I728" s="15" t="inlineStr">
        <is>
          <t xml:space="preserve">Chapter Map</t>
        </is>
      </c>
      <c r="J728" s="15" t="inlineStr">
        <is>
          <t xml:space="preserve">CRS-04-046</t>
        </is>
      </c>
      <c r="K728" s="15" t="inlineStr">
        <is>
          <t xml:space="preserve">RB-04-048</t>
        </is>
      </c>
      <c r="L728" s="15" t="inlineStr">
        <is>
          <t xml:space="preserve">Main Stream</t>
        </is>
      </c>
      <c r="M728" s="15" t="inlineStr">
        <is>
          <t xml:space="preserve">Not reviewed</t>
        </is>
      </c>
      <c r="N728" s="15" t="inlineStr">
        <is>
          <t xml:space="preserve">S2; S4; S10; S12</t>
        </is>
      </c>
      <c r="O728" s="15">
        <v>1</v>
      </c>
      <c r="P728" s="10" t="str">
        <f>IF(L728="MISSING","MISSING",IF(O728=1,"PASS","DUPLICATE"))</f>
        <v>PASS</v>
      </c>
    </row>
    <row r="729" ht="22" customHeight="1">
      <c r="A729" s="15" t="inlineStr">
        <is>
          <t xml:space="preserve">Isaiah 46</t>
        </is>
      </c>
      <c r="B729" s="15">
        <v>725</v>
      </c>
      <c r="C729" s="15" t="inlineStr">
        <is>
          <t xml:space="preserve">Old Testament</t>
        </is>
      </c>
      <c r="D729" s="15">
        <v>23</v>
      </c>
      <c r="E729" s="15" t="inlineStr">
        <is>
          <t xml:space="preserve">Isaiah</t>
        </is>
      </c>
      <c r="F729" s="15">
        <v>46</v>
      </c>
      <c r="G729" s="15" t="inlineStr">
        <is>
          <t xml:space="preserve">v0.4</t>
        </is>
      </c>
      <c r="H729" s="15" t="inlineStr">
        <is>
          <t xml:space="preserve">Bible_Journey_Canon_Map_v0_4_Prophets_Exile.xlsx</t>
        </is>
      </c>
      <c r="I729" s="15" t="inlineStr">
        <is>
          <t xml:space="preserve">Chapter Map</t>
        </is>
      </c>
      <c r="J729" s="15" t="inlineStr">
        <is>
          <t xml:space="preserve">CRS-04-046</t>
        </is>
      </c>
      <c r="K729" s="15" t="inlineStr">
        <is>
          <t xml:space="preserve">RB-04-048</t>
        </is>
      </c>
      <c r="L729" s="15" t="inlineStr">
        <is>
          <t xml:space="preserve">Main Stream</t>
        </is>
      </c>
      <c r="M729" s="15" t="inlineStr">
        <is>
          <t xml:space="preserve">Not reviewed</t>
        </is>
      </c>
      <c r="N729" s="15" t="inlineStr">
        <is>
          <t xml:space="preserve">S2; S4; S10; S12</t>
        </is>
      </c>
      <c r="O729" s="15">
        <v>1</v>
      </c>
      <c r="P729" s="10" t="str">
        <f>IF(L729="MISSING","MISSING",IF(O729=1,"PASS","DUPLICATE"))</f>
        <v>PASS</v>
      </c>
    </row>
    <row r="730" ht="22" customHeight="1">
      <c r="A730" s="15" t="inlineStr">
        <is>
          <t xml:space="preserve">Isaiah 47</t>
        </is>
      </c>
      <c r="B730" s="15">
        <v>726</v>
      </c>
      <c r="C730" s="15" t="inlineStr">
        <is>
          <t xml:space="preserve">Old Testament</t>
        </is>
      </c>
      <c r="D730" s="15">
        <v>23</v>
      </c>
      <c r="E730" s="15" t="inlineStr">
        <is>
          <t xml:space="preserve">Isaiah</t>
        </is>
      </c>
      <c r="F730" s="15">
        <v>47</v>
      </c>
      <c r="G730" s="15" t="inlineStr">
        <is>
          <t xml:space="preserve">v0.4</t>
        </is>
      </c>
      <c r="H730" s="15" t="inlineStr">
        <is>
          <t xml:space="preserve">Bible_Journey_Canon_Map_v0_4_Prophets_Exile.xlsx</t>
        </is>
      </c>
      <c r="I730" s="15" t="inlineStr">
        <is>
          <t xml:space="preserve">Chapter Map</t>
        </is>
      </c>
      <c r="J730" s="15" t="inlineStr">
        <is>
          <t xml:space="preserve">CRS-04-046</t>
        </is>
      </c>
      <c r="K730" s="15" t="inlineStr">
        <is>
          <t xml:space="preserve">RB-04-048</t>
        </is>
      </c>
      <c r="L730" s="15" t="inlineStr">
        <is>
          <t xml:space="preserve">Main Stream</t>
        </is>
      </c>
      <c r="M730" s="15" t="inlineStr">
        <is>
          <t xml:space="preserve">Not reviewed</t>
        </is>
      </c>
      <c r="N730" s="15" t="inlineStr">
        <is>
          <t xml:space="preserve">S2; S4; S10; S12</t>
        </is>
      </c>
      <c r="O730" s="15">
        <v>1</v>
      </c>
      <c r="P730" s="10" t="str">
        <f>IF(L730="MISSING","MISSING",IF(O730=1,"PASS","DUPLICATE"))</f>
        <v>PASS</v>
      </c>
    </row>
    <row r="731" ht="22" customHeight="1">
      <c r="A731" s="15" t="inlineStr">
        <is>
          <t xml:space="preserve">Isaiah 48</t>
        </is>
      </c>
      <c r="B731" s="15">
        <v>727</v>
      </c>
      <c r="C731" s="15" t="inlineStr">
        <is>
          <t xml:space="preserve">Old Testament</t>
        </is>
      </c>
      <c r="D731" s="15">
        <v>23</v>
      </c>
      <c r="E731" s="15" t="inlineStr">
        <is>
          <t xml:space="preserve">Isaiah</t>
        </is>
      </c>
      <c r="F731" s="15">
        <v>48</v>
      </c>
      <c r="G731" s="15" t="inlineStr">
        <is>
          <t xml:space="preserve">v0.4</t>
        </is>
      </c>
      <c r="H731" s="15" t="inlineStr">
        <is>
          <t xml:space="preserve">Bible_Journey_Canon_Map_v0_4_Prophets_Exile.xlsx</t>
        </is>
      </c>
      <c r="I731" s="15" t="inlineStr">
        <is>
          <t xml:space="preserve">Chapter Map</t>
        </is>
      </c>
      <c r="J731" s="15" t="inlineStr">
        <is>
          <t xml:space="preserve">CRS-04-046</t>
        </is>
      </c>
      <c r="K731" s="15" t="inlineStr">
        <is>
          <t xml:space="preserve">RB-04-048</t>
        </is>
      </c>
      <c r="L731" s="15" t="inlineStr">
        <is>
          <t xml:space="preserve">Main Stream</t>
        </is>
      </c>
      <c r="M731" s="15" t="inlineStr">
        <is>
          <t xml:space="preserve">Not reviewed</t>
        </is>
      </c>
      <c r="N731" s="15" t="inlineStr">
        <is>
          <t xml:space="preserve">S2; S4; S10; S12</t>
        </is>
      </c>
      <c r="O731" s="15">
        <v>1</v>
      </c>
      <c r="P731" s="10" t="str">
        <f>IF(L731="MISSING","MISSING",IF(O731=1,"PASS","DUPLICATE"))</f>
        <v>PASS</v>
      </c>
    </row>
    <row r="732" ht="22" customHeight="1">
      <c r="A732" s="15" t="inlineStr">
        <is>
          <t xml:space="preserve">Isaiah 49</t>
        </is>
      </c>
      <c r="B732" s="15">
        <v>728</v>
      </c>
      <c r="C732" s="15" t="inlineStr">
        <is>
          <t xml:space="preserve">Old Testament</t>
        </is>
      </c>
      <c r="D732" s="15">
        <v>23</v>
      </c>
      <c r="E732" s="15" t="inlineStr">
        <is>
          <t xml:space="preserve">Isaiah</t>
        </is>
      </c>
      <c r="F732" s="15">
        <v>49</v>
      </c>
      <c r="G732" s="15" t="inlineStr">
        <is>
          <t xml:space="preserve">v0.4</t>
        </is>
      </c>
      <c r="H732" s="15" t="inlineStr">
        <is>
          <t xml:space="preserve">Bible_Journey_Canon_Map_v0_4_Prophets_Exile.xlsx</t>
        </is>
      </c>
      <c r="I732" s="15" t="inlineStr">
        <is>
          <t xml:space="preserve">Chapter Map</t>
        </is>
      </c>
      <c r="J732" s="15" t="inlineStr">
        <is>
          <t xml:space="preserve">CRS-04-047</t>
        </is>
      </c>
      <c r="K732" s="15" t="inlineStr">
        <is>
          <t xml:space="preserve">RB-04-049</t>
        </is>
      </c>
      <c r="L732" s="15" t="inlineStr">
        <is>
          <t xml:space="preserve">Main Stream</t>
        </is>
      </c>
      <c r="M732" s="15" t="inlineStr">
        <is>
          <t xml:space="preserve">Not reviewed</t>
        </is>
      </c>
      <c r="N732" s="15" t="inlineStr">
        <is>
          <t xml:space="preserve">S2; S4; S10; S12</t>
        </is>
      </c>
      <c r="O732" s="15">
        <v>1</v>
      </c>
      <c r="P732" s="10" t="str">
        <f>IF(L732="MISSING","MISSING",IF(O732=1,"PASS","DUPLICATE"))</f>
        <v>PASS</v>
      </c>
    </row>
    <row r="733" ht="22" customHeight="1">
      <c r="A733" s="15" t="inlineStr">
        <is>
          <t xml:space="preserve">Isaiah 50</t>
        </is>
      </c>
      <c r="B733" s="15">
        <v>729</v>
      </c>
      <c r="C733" s="15" t="inlineStr">
        <is>
          <t xml:space="preserve">Old Testament</t>
        </is>
      </c>
      <c r="D733" s="15">
        <v>23</v>
      </c>
      <c r="E733" s="15" t="inlineStr">
        <is>
          <t xml:space="preserve">Isaiah</t>
        </is>
      </c>
      <c r="F733" s="15">
        <v>50</v>
      </c>
      <c r="G733" s="15" t="inlineStr">
        <is>
          <t xml:space="preserve">v0.4</t>
        </is>
      </c>
      <c r="H733" s="15" t="inlineStr">
        <is>
          <t xml:space="preserve">Bible_Journey_Canon_Map_v0_4_Prophets_Exile.xlsx</t>
        </is>
      </c>
      <c r="I733" s="15" t="inlineStr">
        <is>
          <t xml:space="preserve">Chapter Map</t>
        </is>
      </c>
      <c r="J733" s="15" t="inlineStr">
        <is>
          <t xml:space="preserve">CRS-04-047</t>
        </is>
      </c>
      <c r="K733" s="15" t="inlineStr">
        <is>
          <t xml:space="preserve">RB-04-049</t>
        </is>
      </c>
      <c r="L733" s="15" t="inlineStr">
        <is>
          <t xml:space="preserve">Main Stream</t>
        </is>
      </c>
      <c r="M733" s="15" t="inlineStr">
        <is>
          <t xml:space="preserve">Not reviewed</t>
        </is>
      </c>
      <c r="N733" s="15" t="inlineStr">
        <is>
          <t xml:space="preserve">S2; S4; S10; S12</t>
        </is>
      </c>
      <c r="O733" s="15">
        <v>1</v>
      </c>
      <c r="P733" s="10" t="str">
        <f>IF(L733="MISSING","MISSING",IF(O733=1,"PASS","DUPLICATE"))</f>
        <v>PASS</v>
      </c>
    </row>
    <row r="734" ht="22" customHeight="1">
      <c r="A734" s="15" t="inlineStr">
        <is>
          <t xml:space="preserve">Isaiah 51</t>
        </is>
      </c>
      <c r="B734" s="15">
        <v>730</v>
      </c>
      <c r="C734" s="15" t="inlineStr">
        <is>
          <t xml:space="preserve">Old Testament</t>
        </is>
      </c>
      <c r="D734" s="15">
        <v>23</v>
      </c>
      <c r="E734" s="15" t="inlineStr">
        <is>
          <t xml:space="preserve">Isaiah</t>
        </is>
      </c>
      <c r="F734" s="15">
        <v>51</v>
      </c>
      <c r="G734" s="15" t="inlineStr">
        <is>
          <t xml:space="preserve">v0.4</t>
        </is>
      </c>
      <c r="H734" s="15" t="inlineStr">
        <is>
          <t xml:space="preserve">Bible_Journey_Canon_Map_v0_4_Prophets_Exile.xlsx</t>
        </is>
      </c>
      <c r="I734" s="15" t="inlineStr">
        <is>
          <t xml:space="preserve">Chapter Map</t>
        </is>
      </c>
      <c r="J734" s="15" t="inlineStr">
        <is>
          <t xml:space="preserve">CRS-04-047</t>
        </is>
      </c>
      <c r="K734" s="15" t="inlineStr">
        <is>
          <t xml:space="preserve">RB-04-049</t>
        </is>
      </c>
      <c r="L734" s="15" t="inlineStr">
        <is>
          <t xml:space="preserve">Main Stream</t>
        </is>
      </c>
      <c r="M734" s="15" t="inlineStr">
        <is>
          <t xml:space="preserve">Not reviewed</t>
        </is>
      </c>
      <c r="N734" s="15" t="inlineStr">
        <is>
          <t xml:space="preserve">S2; S4; S10; S12</t>
        </is>
      </c>
      <c r="O734" s="15">
        <v>1</v>
      </c>
      <c r="P734" s="10" t="str">
        <f>IF(L734="MISSING","MISSING",IF(O734=1,"PASS","DUPLICATE"))</f>
        <v>PASS</v>
      </c>
    </row>
    <row r="735" ht="22" customHeight="1">
      <c r="A735" s="15" t="inlineStr">
        <is>
          <t xml:space="preserve">Isaiah 52</t>
        </is>
      </c>
      <c r="B735" s="15">
        <v>731</v>
      </c>
      <c r="C735" s="15" t="inlineStr">
        <is>
          <t xml:space="preserve">Old Testament</t>
        </is>
      </c>
      <c r="D735" s="15">
        <v>23</v>
      </c>
      <c r="E735" s="15" t="inlineStr">
        <is>
          <t xml:space="preserve">Isaiah</t>
        </is>
      </c>
      <c r="F735" s="15">
        <v>52</v>
      </c>
      <c r="G735" s="15" t="inlineStr">
        <is>
          <t xml:space="preserve">v0.4</t>
        </is>
      </c>
      <c r="H735" s="15" t="inlineStr">
        <is>
          <t xml:space="preserve">Bible_Journey_Canon_Map_v0_4_Prophets_Exile.xlsx</t>
        </is>
      </c>
      <c r="I735" s="15" t="inlineStr">
        <is>
          <t xml:space="preserve">Chapter Map</t>
        </is>
      </c>
      <c r="J735" s="15" t="inlineStr">
        <is>
          <t xml:space="preserve">CRS-04-047</t>
        </is>
      </c>
      <c r="K735" s="15" t="inlineStr">
        <is>
          <t xml:space="preserve">RB-04-049</t>
        </is>
      </c>
      <c r="L735" s="15" t="inlineStr">
        <is>
          <t xml:space="preserve">Main Stream</t>
        </is>
      </c>
      <c r="M735" s="15" t="inlineStr">
        <is>
          <t xml:space="preserve">Not reviewed</t>
        </is>
      </c>
      <c r="N735" s="15" t="inlineStr">
        <is>
          <t xml:space="preserve">S2; S4; S10; S12</t>
        </is>
      </c>
      <c r="O735" s="15">
        <v>1</v>
      </c>
      <c r="P735" s="10" t="str">
        <f>IF(L735="MISSING","MISSING",IF(O735=1,"PASS","DUPLICATE"))</f>
        <v>PASS</v>
      </c>
    </row>
    <row r="736" ht="22" customHeight="1">
      <c r="A736" s="15" t="inlineStr">
        <is>
          <t xml:space="preserve">Isaiah 53</t>
        </is>
      </c>
      <c r="B736" s="15">
        <v>732</v>
      </c>
      <c r="C736" s="15" t="inlineStr">
        <is>
          <t xml:space="preserve">Old Testament</t>
        </is>
      </c>
      <c r="D736" s="15">
        <v>23</v>
      </c>
      <c r="E736" s="15" t="inlineStr">
        <is>
          <t xml:space="preserve">Isaiah</t>
        </is>
      </c>
      <c r="F736" s="15">
        <v>53</v>
      </c>
      <c r="G736" s="15" t="inlineStr">
        <is>
          <t xml:space="preserve">v0.4</t>
        </is>
      </c>
      <c r="H736" s="15" t="inlineStr">
        <is>
          <t xml:space="preserve">Bible_Journey_Canon_Map_v0_4_Prophets_Exile.xlsx</t>
        </is>
      </c>
      <c r="I736" s="15" t="inlineStr">
        <is>
          <t xml:space="preserve">Chapter Map</t>
        </is>
      </c>
      <c r="J736" s="15" t="inlineStr">
        <is>
          <t xml:space="preserve">CRS-04-047</t>
        </is>
      </c>
      <c r="K736" s="15" t="inlineStr">
        <is>
          <t xml:space="preserve">RB-04-049</t>
        </is>
      </c>
      <c r="L736" s="15" t="inlineStr">
        <is>
          <t xml:space="preserve">Main Stream</t>
        </is>
      </c>
      <c r="M736" s="15" t="inlineStr">
        <is>
          <t xml:space="preserve">Not reviewed</t>
        </is>
      </c>
      <c r="N736" s="15" t="inlineStr">
        <is>
          <t xml:space="preserve">S2; S4; S10; S12</t>
        </is>
      </c>
      <c r="O736" s="15">
        <v>1</v>
      </c>
      <c r="P736" s="10" t="str">
        <f>IF(L736="MISSING","MISSING",IF(O736=1,"PASS","DUPLICATE"))</f>
        <v>PASS</v>
      </c>
    </row>
    <row r="737" ht="22" customHeight="1">
      <c r="A737" s="15" t="inlineStr">
        <is>
          <t xml:space="preserve">Isaiah 54</t>
        </is>
      </c>
      <c r="B737" s="15">
        <v>733</v>
      </c>
      <c r="C737" s="15" t="inlineStr">
        <is>
          <t xml:space="preserve">Old Testament</t>
        </is>
      </c>
      <c r="D737" s="15">
        <v>23</v>
      </c>
      <c r="E737" s="15" t="inlineStr">
        <is>
          <t xml:space="preserve">Isaiah</t>
        </is>
      </c>
      <c r="F737" s="15">
        <v>54</v>
      </c>
      <c r="G737" s="15" t="inlineStr">
        <is>
          <t xml:space="preserve">v0.4</t>
        </is>
      </c>
      <c r="H737" s="15" t="inlineStr">
        <is>
          <t xml:space="preserve">Bible_Journey_Canon_Map_v0_4_Prophets_Exile.xlsx</t>
        </is>
      </c>
      <c r="I737" s="15" t="inlineStr">
        <is>
          <t xml:space="preserve">Chapter Map</t>
        </is>
      </c>
      <c r="J737" s="15" t="inlineStr">
        <is>
          <t xml:space="preserve">CRS-04-047</t>
        </is>
      </c>
      <c r="K737" s="15" t="inlineStr">
        <is>
          <t xml:space="preserve">RB-04-049</t>
        </is>
      </c>
      <c r="L737" s="15" t="inlineStr">
        <is>
          <t xml:space="preserve">Main Stream</t>
        </is>
      </c>
      <c r="M737" s="15" t="inlineStr">
        <is>
          <t xml:space="preserve">Not reviewed</t>
        </is>
      </c>
      <c r="N737" s="15" t="inlineStr">
        <is>
          <t xml:space="preserve">S2; S4; S10; S12</t>
        </is>
      </c>
      <c r="O737" s="15">
        <v>1</v>
      </c>
      <c r="P737" s="10" t="str">
        <f>IF(L737="MISSING","MISSING",IF(O737=1,"PASS","DUPLICATE"))</f>
        <v>PASS</v>
      </c>
    </row>
    <row r="738" ht="22" customHeight="1">
      <c r="A738" s="15" t="inlineStr">
        <is>
          <t xml:space="preserve">Isaiah 55</t>
        </is>
      </c>
      <c r="B738" s="15">
        <v>734</v>
      </c>
      <c r="C738" s="15" t="inlineStr">
        <is>
          <t xml:space="preserve">Old Testament</t>
        </is>
      </c>
      <c r="D738" s="15">
        <v>23</v>
      </c>
      <c r="E738" s="15" t="inlineStr">
        <is>
          <t xml:space="preserve">Isaiah</t>
        </is>
      </c>
      <c r="F738" s="15">
        <v>55</v>
      </c>
      <c r="G738" s="15" t="inlineStr">
        <is>
          <t xml:space="preserve">v0.4</t>
        </is>
      </c>
      <c r="H738" s="15" t="inlineStr">
        <is>
          <t xml:space="preserve">Bible_Journey_Canon_Map_v0_4_Prophets_Exile.xlsx</t>
        </is>
      </c>
      <c r="I738" s="15" t="inlineStr">
        <is>
          <t xml:space="preserve">Chapter Map</t>
        </is>
      </c>
      <c r="J738" s="15" t="inlineStr">
        <is>
          <t xml:space="preserve">CRS-04-047</t>
        </is>
      </c>
      <c r="K738" s="15" t="inlineStr">
        <is>
          <t xml:space="preserve">RB-04-049</t>
        </is>
      </c>
      <c r="L738" s="15" t="inlineStr">
        <is>
          <t xml:space="preserve">Main Stream</t>
        </is>
      </c>
      <c r="M738" s="15" t="inlineStr">
        <is>
          <t xml:space="preserve">Not reviewed</t>
        </is>
      </c>
      <c r="N738" s="15" t="inlineStr">
        <is>
          <t xml:space="preserve">S2; S4; S10; S12</t>
        </is>
      </c>
      <c r="O738" s="15">
        <v>1</v>
      </c>
      <c r="P738" s="10" t="str">
        <f>IF(L738="MISSING","MISSING",IF(O738=1,"PASS","DUPLICATE"))</f>
        <v>PASS</v>
      </c>
    </row>
    <row r="739" ht="22" customHeight="1">
      <c r="A739" s="15" t="inlineStr">
        <is>
          <t xml:space="preserve">Isaiah 56</t>
        </is>
      </c>
      <c r="B739" s="15">
        <v>735</v>
      </c>
      <c r="C739" s="15" t="inlineStr">
        <is>
          <t xml:space="preserve">Old Testament</t>
        </is>
      </c>
      <c r="D739" s="15">
        <v>23</v>
      </c>
      <c r="E739" s="15" t="inlineStr">
        <is>
          <t xml:space="preserve">Isaiah</t>
        </is>
      </c>
      <c r="F739" s="15">
        <v>56</v>
      </c>
      <c r="G739" s="15" t="inlineStr">
        <is>
          <t xml:space="preserve">v0.4</t>
        </is>
      </c>
      <c r="H739" s="15" t="inlineStr">
        <is>
          <t xml:space="preserve">Bible_Journey_Canon_Map_v0_4_Prophets_Exile.xlsx</t>
        </is>
      </c>
      <c r="I739" s="15" t="inlineStr">
        <is>
          <t xml:space="preserve">Chapter Map</t>
        </is>
      </c>
      <c r="J739" s="15" t="inlineStr">
        <is>
          <t xml:space="preserve">CRS-04-048</t>
        </is>
      </c>
      <c r="K739" s="15" t="inlineStr">
        <is>
          <t xml:space="preserve">RB-04-050</t>
        </is>
      </c>
      <c r="L739" s="15" t="inlineStr">
        <is>
          <t xml:space="preserve">Main Stream</t>
        </is>
      </c>
      <c r="M739" s="15" t="inlineStr">
        <is>
          <t xml:space="preserve">Not reviewed</t>
        </is>
      </c>
      <c r="N739" s="15" t="inlineStr">
        <is>
          <t xml:space="preserve">S2; S4; S7</t>
        </is>
      </c>
      <c r="O739" s="15">
        <v>1</v>
      </c>
      <c r="P739" s="10" t="str">
        <f>IF(L739="MISSING","MISSING",IF(O739=1,"PASS","DUPLICATE"))</f>
        <v>PASS</v>
      </c>
    </row>
    <row r="740" ht="22" customHeight="1">
      <c r="A740" s="15" t="inlineStr">
        <is>
          <t xml:space="preserve">Isaiah 57</t>
        </is>
      </c>
      <c r="B740" s="15">
        <v>736</v>
      </c>
      <c r="C740" s="15" t="inlineStr">
        <is>
          <t xml:space="preserve">Old Testament</t>
        </is>
      </c>
      <c r="D740" s="15">
        <v>23</v>
      </c>
      <c r="E740" s="15" t="inlineStr">
        <is>
          <t xml:space="preserve">Isaiah</t>
        </is>
      </c>
      <c r="F740" s="15">
        <v>57</v>
      </c>
      <c r="G740" s="15" t="inlineStr">
        <is>
          <t xml:space="preserve">v0.4</t>
        </is>
      </c>
      <c r="H740" s="15" t="inlineStr">
        <is>
          <t xml:space="preserve">Bible_Journey_Canon_Map_v0_4_Prophets_Exile.xlsx</t>
        </is>
      </c>
      <c r="I740" s="15" t="inlineStr">
        <is>
          <t xml:space="preserve">Chapter Map</t>
        </is>
      </c>
      <c r="J740" s="15" t="inlineStr">
        <is>
          <t xml:space="preserve">CRS-04-048</t>
        </is>
      </c>
      <c r="K740" s="15" t="inlineStr">
        <is>
          <t xml:space="preserve">RB-04-050</t>
        </is>
      </c>
      <c r="L740" s="15" t="inlineStr">
        <is>
          <t xml:space="preserve">Main Stream</t>
        </is>
      </c>
      <c r="M740" s="15" t="inlineStr">
        <is>
          <t xml:space="preserve">Not reviewed</t>
        </is>
      </c>
      <c r="N740" s="15" t="inlineStr">
        <is>
          <t xml:space="preserve">S2; S4; S7</t>
        </is>
      </c>
      <c r="O740" s="15">
        <v>1</v>
      </c>
      <c r="P740" s="10" t="str">
        <f>IF(L740="MISSING","MISSING",IF(O740=1,"PASS","DUPLICATE"))</f>
        <v>PASS</v>
      </c>
    </row>
    <row r="741" ht="22" customHeight="1">
      <c r="A741" s="15" t="inlineStr">
        <is>
          <t xml:space="preserve">Isaiah 58</t>
        </is>
      </c>
      <c r="B741" s="15">
        <v>737</v>
      </c>
      <c r="C741" s="15" t="inlineStr">
        <is>
          <t xml:space="preserve">Old Testament</t>
        </is>
      </c>
      <c r="D741" s="15">
        <v>23</v>
      </c>
      <c r="E741" s="15" t="inlineStr">
        <is>
          <t xml:space="preserve">Isaiah</t>
        </is>
      </c>
      <c r="F741" s="15">
        <v>58</v>
      </c>
      <c r="G741" s="15" t="inlineStr">
        <is>
          <t xml:space="preserve">v0.4</t>
        </is>
      </c>
      <c r="H741" s="15" t="inlineStr">
        <is>
          <t xml:space="preserve">Bible_Journey_Canon_Map_v0_4_Prophets_Exile.xlsx</t>
        </is>
      </c>
      <c r="I741" s="15" t="inlineStr">
        <is>
          <t xml:space="preserve">Chapter Map</t>
        </is>
      </c>
      <c r="J741" s="15" t="inlineStr">
        <is>
          <t xml:space="preserve">CRS-04-048</t>
        </is>
      </c>
      <c r="K741" s="15" t="inlineStr">
        <is>
          <t xml:space="preserve">RB-04-050</t>
        </is>
      </c>
      <c r="L741" s="15" t="inlineStr">
        <is>
          <t xml:space="preserve">Main Stream</t>
        </is>
      </c>
      <c r="M741" s="15" t="inlineStr">
        <is>
          <t xml:space="preserve">Not reviewed</t>
        </is>
      </c>
      <c r="N741" s="15" t="inlineStr">
        <is>
          <t xml:space="preserve">S2; S4; S7</t>
        </is>
      </c>
      <c r="O741" s="15">
        <v>1</v>
      </c>
      <c r="P741" s="10" t="str">
        <f>IF(L741="MISSING","MISSING",IF(O741=1,"PASS","DUPLICATE"))</f>
        <v>PASS</v>
      </c>
    </row>
    <row r="742" ht="22" customHeight="1">
      <c r="A742" s="15" t="inlineStr">
        <is>
          <t xml:space="preserve">Isaiah 59</t>
        </is>
      </c>
      <c r="B742" s="15">
        <v>738</v>
      </c>
      <c r="C742" s="15" t="inlineStr">
        <is>
          <t xml:space="preserve">Old Testament</t>
        </is>
      </c>
      <c r="D742" s="15">
        <v>23</v>
      </c>
      <c r="E742" s="15" t="inlineStr">
        <is>
          <t xml:space="preserve">Isaiah</t>
        </is>
      </c>
      <c r="F742" s="15">
        <v>59</v>
      </c>
      <c r="G742" s="15" t="inlineStr">
        <is>
          <t xml:space="preserve">v0.4</t>
        </is>
      </c>
      <c r="H742" s="15" t="inlineStr">
        <is>
          <t xml:space="preserve">Bible_Journey_Canon_Map_v0_4_Prophets_Exile.xlsx</t>
        </is>
      </c>
      <c r="I742" s="15" t="inlineStr">
        <is>
          <t xml:space="preserve">Chapter Map</t>
        </is>
      </c>
      <c r="J742" s="15" t="inlineStr">
        <is>
          <t xml:space="preserve">CRS-04-049</t>
        </is>
      </c>
      <c r="K742" s="15" t="inlineStr">
        <is>
          <t xml:space="preserve">RB-04-051</t>
        </is>
      </c>
      <c r="L742" s="15" t="inlineStr">
        <is>
          <t xml:space="preserve">Main Stream</t>
        </is>
      </c>
      <c r="M742" s="15" t="inlineStr">
        <is>
          <t xml:space="preserve">Not reviewed</t>
        </is>
      </c>
      <c r="N742" s="15" t="inlineStr">
        <is>
          <t xml:space="preserve">S2; S4; S7</t>
        </is>
      </c>
      <c r="O742" s="15">
        <v>1</v>
      </c>
      <c r="P742" s="10" t="str">
        <f>IF(L742="MISSING","MISSING",IF(O742=1,"PASS","DUPLICATE"))</f>
        <v>PASS</v>
      </c>
    </row>
    <row r="743" ht="22" customHeight="1">
      <c r="A743" s="15" t="inlineStr">
        <is>
          <t xml:space="preserve">Isaiah 60</t>
        </is>
      </c>
      <c r="B743" s="15">
        <v>739</v>
      </c>
      <c r="C743" s="15" t="inlineStr">
        <is>
          <t xml:space="preserve">Old Testament</t>
        </is>
      </c>
      <c r="D743" s="15">
        <v>23</v>
      </c>
      <c r="E743" s="15" t="inlineStr">
        <is>
          <t xml:space="preserve">Isaiah</t>
        </is>
      </c>
      <c r="F743" s="15">
        <v>60</v>
      </c>
      <c r="G743" s="15" t="inlineStr">
        <is>
          <t xml:space="preserve">v0.4</t>
        </is>
      </c>
      <c r="H743" s="15" t="inlineStr">
        <is>
          <t xml:space="preserve">Bible_Journey_Canon_Map_v0_4_Prophets_Exile.xlsx</t>
        </is>
      </c>
      <c r="I743" s="15" t="inlineStr">
        <is>
          <t xml:space="preserve">Chapter Map</t>
        </is>
      </c>
      <c r="J743" s="15" t="inlineStr">
        <is>
          <t xml:space="preserve">CRS-04-050</t>
        </is>
      </c>
      <c r="K743" s="15" t="inlineStr">
        <is>
          <t xml:space="preserve">RB-04-052</t>
        </is>
      </c>
      <c r="L743" s="15" t="inlineStr">
        <is>
          <t xml:space="preserve">Main Stream</t>
        </is>
      </c>
      <c r="M743" s="15" t="inlineStr">
        <is>
          <t xml:space="preserve">Not reviewed</t>
        </is>
      </c>
      <c r="N743" s="15" t="inlineStr">
        <is>
          <t xml:space="preserve">S2; S4; S7</t>
        </is>
      </c>
      <c r="O743" s="15">
        <v>1</v>
      </c>
      <c r="P743" s="10" t="str">
        <f>IF(L743="MISSING","MISSING",IF(O743=1,"PASS","DUPLICATE"))</f>
        <v>PASS</v>
      </c>
    </row>
    <row r="744" ht="22" customHeight="1">
      <c r="A744" s="15" t="inlineStr">
        <is>
          <t xml:space="preserve">Isaiah 61</t>
        </is>
      </c>
      <c r="B744" s="15">
        <v>740</v>
      </c>
      <c r="C744" s="15" t="inlineStr">
        <is>
          <t xml:space="preserve">Old Testament</t>
        </is>
      </c>
      <c r="D744" s="15">
        <v>23</v>
      </c>
      <c r="E744" s="15" t="inlineStr">
        <is>
          <t xml:space="preserve">Isaiah</t>
        </is>
      </c>
      <c r="F744" s="15">
        <v>61</v>
      </c>
      <c r="G744" s="15" t="inlineStr">
        <is>
          <t xml:space="preserve">v0.4</t>
        </is>
      </c>
      <c r="H744" s="15" t="inlineStr">
        <is>
          <t xml:space="preserve">Bible_Journey_Canon_Map_v0_4_Prophets_Exile.xlsx</t>
        </is>
      </c>
      <c r="I744" s="15" t="inlineStr">
        <is>
          <t xml:space="preserve">Chapter Map</t>
        </is>
      </c>
      <c r="J744" s="15" t="inlineStr">
        <is>
          <t xml:space="preserve">CRS-04-050</t>
        </is>
      </c>
      <c r="K744" s="15" t="inlineStr">
        <is>
          <t xml:space="preserve">RB-04-052</t>
        </is>
      </c>
      <c r="L744" s="15" t="inlineStr">
        <is>
          <t xml:space="preserve">Main Stream</t>
        </is>
      </c>
      <c r="M744" s="15" t="inlineStr">
        <is>
          <t xml:space="preserve">Not reviewed</t>
        </is>
      </c>
      <c r="N744" s="15" t="inlineStr">
        <is>
          <t xml:space="preserve">S2; S4; S7</t>
        </is>
      </c>
      <c r="O744" s="15">
        <v>1</v>
      </c>
      <c r="P744" s="10" t="str">
        <f>IF(L744="MISSING","MISSING",IF(O744=1,"PASS","DUPLICATE"))</f>
        <v>PASS</v>
      </c>
    </row>
    <row r="745" ht="22" customHeight="1">
      <c r="A745" s="15" t="inlineStr">
        <is>
          <t xml:space="preserve">Isaiah 62</t>
        </is>
      </c>
      <c r="B745" s="15">
        <v>741</v>
      </c>
      <c r="C745" s="15" t="inlineStr">
        <is>
          <t xml:space="preserve">Old Testament</t>
        </is>
      </c>
      <c r="D745" s="15">
        <v>23</v>
      </c>
      <c r="E745" s="15" t="inlineStr">
        <is>
          <t xml:space="preserve">Isaiah</t>
        </is>
      </c>
      <c r="F745" s="15">
        <v>62</v>
      </c>
      <c r="G745" s="15" t="inlineStr">
        <is>
          <t xml:space="preserve">v0.4</t>
        </is>
      </c>
      <c r="H745" s="15" t="inlineStr">
        <is>
          <t xml:space="preserve">Bible_Journey_Canon_Map_v0_4_Prophets_Exile.xlsx</t>
        </is>
      </c>
      <c r="I745" s="15" t="inlineStr">
        <is>
          <t xml:space="preserve">Chapter Map</t>
        </is>
      </c>
      <c r="J745" s="15" t="inlineStr">
        <is>
          <t xml:space="preserve">CRS-04-050</t>
        </is>
      </c>
      <c r="K745" s="15" t="inlineStr">
        <is>
          <t xml:space="preserve">RB-04-052</t>
        </is>
      </c>
      <c r="L745" s="15" t="inlineStr">
        <is>
          <t xml:space="preserve">Main Stream</t>
        </is>
      </c>
      <c r="M745" s="15" t="inlineStr">
        <is>
          <t xml:space="preserve">Not reviewed</t>
        </is>
      </c>
      <c r="N745" s="15" t="inlineStr">
        <is>
          <t xml:space="preserve">S2; S4; S7</t>
        </is>
      </c>
      <c r="O745" s="15">
        <v>1</v>
      </c>
      <c r="P745" s="10" t="str">
        <f>IF(L745="MISSING","MISSING",IF(O745=1,"PASS","DUPLICATE"))</f>
        <v>PASS</v>
      </c>
    </row>
    <row r="746" ht="22" customHeight="1">
      <c r="A746" s="15" t="inlineStr">
        <is>
          <t xml:space="preserve">Isaiah 63</t>
        </is>
      </c>
      <c r="B746" s="15">
        <v>742</v>
      </c>
      <c r="C746" s="15" t="inlineStr">
        <is>
          <t xml:space="preserve">Old Testament</t>
        </is>
      </c>
      <c r="D746" s="15">
        <v>23</v>
      </c>
      <c r="E746" s="15" t="inlineStr">
        <is>
          <t xml:space="preserve">Isaiah</t>
        </is>
      </c>
      <c r="F746" s="15">
        <v>63</v>
      </c>
      <c r="G746" s="15" t="inlineStr">
        <is>
          <t xml:space="preserve">v0.4</t>
        </is>
      </c>
      <c r="H746" s="15" t="inlineStr">
        <is>
          <t xml:space="preserve">Bible_Journey_Canon_Map_v0_4_Prophets_Exile.xlsx</t>
        </is>
      </c>
      <c r="I746" s="15" t="inlineStr">
        <is>
          <t xml:space="preserve">Chapter Map</t>
        </is>
      </c>
      <c r="J746" s="15" t="inlineStr">
        <is>
          <t xml:space="preserve">CRS-04-051</t>
        </is>
      </c>
      <c r="K746" s="15" t="inlineStr">
        <is>
          <t xml:space="preserve">RB-04-053</t>
        </is>
      </c>
      <c r="L746" s="15" t="inlineStr">
        <is>
          <t xml:space="preserve">Main Stream</t>
        </is>
      </c>
      <c r="M746" s="15" t="inlineStr">
        <is>
          <t xml:space="preserve">Not reviewed</t>
        </is>
      </c>
      <c r="N746" s="15" t="inlineStr">
        <is>
          <t xml:space="preserve">S2; S4; S7</t>
        </is>
      </c>
      <c r="O746" s="15">
        <v>1</v>
      </c>
      <c r="P746" s="10" t="str">
        <f>IF(L746="MISSING","MISSING",IF(O746=1,"PASS","DUPLICATE"))</f>
        <v>PASS</v>
      </c>
    </row>
    <row r="747" ht="22" customHeight="1">
      <c r="A747" s="15" t="inlineStr">
        <is>
          <t xml:space="preserve">Isaiah 64</t>
        </is>
      </c>
      <c r="B747" s="15">
        <v>743</v>
      </c>
      <c r="C747" s="15" t="inlineStr">
        <is>
          <t xml:space="preserve">Old Testament</t>
        </is>
      </c>
      <c r="D747" s="15">
        <v>23</v>
      </c>
      <c r="E747" s="15" t="inlineStr">
        <is>
          <t xml:space="preserve">Isaiah</t>
        </is>
      </c>
      <c r="F747" s="15">
        <v>64</v>
      </c>
      <c r="G747" s="15" t="inlineStr">
        <is>
          <t xml:space="preserve">v0.4</t>
        </is>
      </c>
      <c r="H747" s="15" t="inlineStr">
        <is>
          <t xml:space="preserve">Bible_Journey_Canon_Map_v0_4_Prophets_Exile.xlsx</t>
        </is>
      </c>
      <c r="I747" s="15" t="inlineStr">
        <is>
          <t xml:space="preserve">Chapter Map</t>
        </is>
      </c>
      <c r="J747" s="15" t="inlineStr">
        <is>
          <t xml:space="preserve">CRS-04-051</t>
        </is>
      </c>
      <c r="K747" s="15" t="inlineStr">
        <is>
          <t xml:space="preserve">RB-04-053</t>
        </is>
      </c>
      <c r="L747" s="15" t="inlineStr">
        <is>
          <t xml:space="preserve">Main Stream</t>
        </is>
      </c>
      <c r="M747" s="15" t="inlineStr">
        <is>
          <t xml:space="preserve">Not reviewed</t>
        </is>
      </c>
      <c r="N747" s="15" t="inlineStr">
        <is>
          <t xml:space="preserve">S2; S4; S7</t>
        </is>
      </c>
      <c r="O747" s="15">
        <v>1</v>
      </c>
      <c r="P747" s="10" t="str">
        <f>IF(L747="MISSING","MISSING",IF(O747=1,"PASS","DUPLICATE"))</f>
        <v>PASS</v>
      </c>
    </row>
    <row r="748" ht="22" customHeight="1">
      <c r="A748" s="15" t="inlineStr">
        <is>
          <t xml:space="preserve">Isaiah 65</t>
        </is>
      </c>
      <c r="B748" s="15">
        <v>744</v>
      </c>
      <c r="C748" s="15" t="inlineStr">
        <is>
          <t xml:space="preserve">Old Testament</t>
        </is>
      </c>
      <c r="D748" s="15">
        <v>23</v>
      </c>
      <c r="E748" s="15" t="inlineStr">
        <is>
          <t xml:space="preserve">Isaiah</t>
        </is>
      </c>
      <c r="F748" s="15">
        <v>65</v>
      </c>
      <c r="G748" s="15" t="inlineStr">
        <is>
          <t xml:space="preserve">v0.4</t>
        </is>
      </c>
      <c r="H748" s="15" t="inlineStr">
        <is>
          <t xml:space="preserve">Bible_Journey_Canon_Map_v0_4_Prophets_Exile.xlsx</t>
        </is>
      </c>
      <c r="I748" s="15" t="inlineStr">
        <is>
          <t xml:space="preserve">Chapter Map</t>
        </is>
      </c>
      <c r="J748" s="15" t="inlineStr">
        <is>
          <t xml:space="preserve">CRS-04-051</t>
        </is>
      </c>
      <c r="K748" s="15" t="inlineStr">
        <is>
          <t xml:space="preserve">RB-04-053</t>
        </is>
      </c>
      <c r="L748" s="15" t="inlineStr">
        <is>
          <t xml:space="preserve">Main Stream</t>
        </is>
      </c>
      <c r="M748" s="15" t="inlineStr">
        <is>
          <t xml:space="preserve">Not reviewed</t>
        </is>
      </c>
      <c r="N748" s="15" t="inlineStr">
        <is>
          <t xml:space="preserve">S2; S4; S7</t>
        </is>
      </c>
      <c r="O748" s="15">
        <v>1</v>
      </c>
      <c r="P748" s="10" t="str">
        <f>IF(L748="MISSING","MISSING",IF(O748=1,"PASS","DUPLICATE"))</f>
        <v>PASS</v>
      </c>
    </row>
    <row r="749" ht="22" customHeight="1">
      <c r="A749" s="15" t="inlineStr">
        <is>
          <t xml:space="preserve">Isaiah 66</t>
        </is>
      </c>
      <c r="B749" s="15">
        <v>745</v>
      </c>
      <c r="C749" s="15" t="inlineStr">
        <is>
          <t xml:space="preserve">Old Testament</t>
        </is>
      </c>
      <c r="D749" s="15">
        <v>23</v>
      </c>
      <c r="E749" s="15" t="inlineStr">
        <is>
          <t xml:space="preserve">Isaiah</t>
        </is>
      </c>
      <c r="F749" s="15">
        <v>66</v>
      </c>
      <c r="G749" s="15" t="inlineStr">
        <is>
          <t xml:space="preserve">v0.4</t>
        </is>
      </c>
      <c r="H749" s="15" t="inlineStr">
        <is>
          <t xml:space="preserve">Bible_Journey_Canon_Map_v0_4_Prophets_Exile.xlsx</t>
        </is>
      </c>
      <c r="I749" s="15" t="inlineStr">
        <is>
          <t xml:space="preserve">Chapter Map</t>
        </is>
      </c>
      <c r="J749" s="15" t="inlineStr">
        <is>
          <t xml:space="preserve">CRS-04-051</t>
        </is>
      </c>
      <c r="K749" s="15" t="inlineStr">
        <is>
          <t xml:space="preserve">RB-04-053</t>
        </is>
      </c>
      <c r="L749" s="15" t="inlineStr">
        <is>
          <t xml:space="preserve">Main Stream</t>
        </is>
      </c>
      <c r="M749" s="15" t="inlineStr">
        <is>
          <t xml:space="preserve">Not reviewed</t>
        </is>
      </c>
      <c r="N749" s="15" t="inlineStr">
        <is>
          <t xml:space="preserve">S2; S4; S7</t>
        </is>
      </c>
      <c r="O749" s="15">
        <v>1</v>
      </c>
      <c r="P749" s="10" t="str">
        <f>IF(L749="MISSING","MISSING",IF(O749=1,"PASS","DUPLICATE"))</f>
        <v>PASS</v>
      </c>
    </row>
    <row r="750" ht="22" customHeight="1">
      <c r="A750" s="15" t="inlineStr">
        <is>
          <t xml:space="preserve">Jeremiah 1</t>
        </is>
      </c>
      <c r="B750" s="15">
        <v>746</v>
      </c>
      <c r="C750" s="15" t="inlineStr">
        <is>
          <t xml:space="preserve">Old Testament</t>
        </is>
      </c>
      <c r="D750" s="15">
        <v>24</v>
      </c>
      <c r="E750" s="15" t="inlineStr">
        <is>
          <t xml:space="preserve">Jeremiah</t>
        </is>
      </c>
      <c r="F750" s="15">
        <v>1</v>
      </c>
      <c r="G750" s="15" t="inlineStr">
        <is>
          <t xml:space="preserve">v0.4</t>
        </is>
      </c>
      <c r="H750" s="15" t="inlineStr">
        <is>
          <t xml:space="preserve">Bible_Journey_Canon_Map_v0_4_Prophets_Exile.xlsx</t>
        </is>
      </c>
      <c r="I750" s="15" t="inlineStr">
        <is>
          <t xml:space="preserve">Chapter Map</t>
        </is>
      </c>
      <c r="J750" s="15" t="inlineStr">
        <is>
          <t xml:space="preserve">CRS-04-021</t>
        </is>
      </c>
      <c r="K750" s="15" t="inlineStr">
        <is>
          <t xml:space="preserve">RB-04-021</t>
        </is>
      </c>
      <c r="L750" s="15" t="inlineStr">
        <is>
          <t xml:space="preserve">Main Stream</t>
        </is>
      </c>
      <c r="M750" s="15" t="inlineStr">
        <is>
          <t xml:space="preserve">Not reviewed</t>
        </is>
      </c>
      <c r="N750" s="15" t="inlineStr">
        <is>
          <t xml:space="preserve">S1; S5</t>
        </is>
      </c>
      <c r="O750" s="15">
        <v>1</v>
      </c>
      <c r="P750" s="10" t="str">
        <f>IF(L750="MISSING","MISSING",IF(O750=1,"PASS","DUPLICATE"))</f>
        <v>PASS</v>
      </c>
    </row>
    <row r="751" ht="22" customHeight="1">
      <c r="A751" s="15" t="inlineStr">
        <is>
          <t xml:space="preserve">Jeremiah 2</t>
        </is>
      </c>
      <c r="B751" s="15">
        <v>747</v>
      </c>
      <c r="C751" s="15" t="inlineStr">
        <is>
          <t xml:space="preserve">Old Testament</t>
        </is>
      </c>
      <c r="D751" s="15">
        <v>24</v>
      </c>
      <c r="E751" s="15" t="inlineStr">
        <is>
          <t xml:space="preserve">Jeremiah</t>
        </is>
      </c>
      <c r="F751" s="15">
        <v>2</v>
      </c>
      <c r="G751" s="15" t="inlineStr">
        <is>
          <t xml:space="preserve">v0.4</t>
        </is>
      </c>
      <c r="H751" s="15" t="inlineStr">
        <is>
          <t xml:space="preserve">Bible_Journey_Canon_Map_v0_4_Prophets_Exile.xlsx</t>
        </is>
      </c>
      <c r="I751" s="15" t="inlineStr">
        <is>
          <t xml:space="preserve">Chapter Map</t>
        </is>
      </c>
      <c r="J751" s="15" t="inlineStr">
        <is>
          <t xml:space="preserve">CRS-04-022</t>
        </is>
      </c>
      <c r="K751" s="15" t="inlineStr">
        <is>
          <t xml:space="preserve">RB-04-022</t>
        </is>
      </c>
      <c r="L751" s="15" t="inlineStr">
        <is>
          <t xml:space="preserve">Main Stream</t>
        </is>
      </c>
      <c r="M751" s="15" t="inlineStr">
        <is>
          <t xml:space="preserve">Not reviewed</t>
        </is>
      </c>
      <c r="N751" s="15" t="inlineStr">
        <is>
          <t xml:space="preserve">S1; S5; S7</t>
        </is>
      </c>
      <c r="O751" s="15">
        <v>1</v>
      </c>
      <c r="P751" s="10" t="str">
        <f>IF(L751="MISSING","MISSING",IF(O751=1,"PASS","DUPLICATE"))</f>
        <v>PASS</v>
      </c>
    </row>
    <row r="752" ht="22" customHeight="1">
      <c r="A752" s="15" t="inlineStr">
        <is>
          <t xml:space="preserve">Jeremiah 3</t>
        </is>
      </c>
      <c r="B752" s="15">
        <v>748</v>
      </c>
      <c r="C752" s="15" t="inlineStr">
        <is>
          <t xml:space="preserve">Old Testament</t>
        </is>
      </c>
      <c r="D752" s="15">
        <v>24</v>
      </c>
      <c r="E752" s="15" t="inlineStr">
        <is>
          <t xml:space="preserve">Jeremiah</t>
        </is>
      </c>
      <c r="F752" s="15">
        <v>3</v>
      </c>
      <c r="G752" s="15" t="inlineStr">
        <is>
          <t xml:space="preserve">v0.4</t>
        </is>
      </c>
      <c r="H752" s="15" t="inlineStr">
        <is>
          <t xml:space="preserve">Bible_Journey_Canon_Map_v0_4_Prophets_Exile.xlsx</t>
        </is>
      </c>
      <c r="I752" s="15" t="inlineStr">
        <is>
          <t xml:space="preserve">Chapter Map</t>
        </is>
      </c>
      <c r="J752" s="15" t="inlineStr">
        <is>
          <t xml:space="preserve">CRS-04-022</t>
        </is>
      </c>
      <c r="K752" s="15" t="inlineStr">
        <is>
          <t xml:space="preserve">RB-04-022</t>
        </is>
      </c>
      <c r="L752" s="15" t="inlineStr">
        <is>
          <t xml:space="preserve">Main Stream</t>
        </is>
      </c>
      <c r="M752" s="15" t="inlineStr">
        <is>
          <t xml:space="preserve">Not reviewed</t>
        </is>
      </c>
      <c r="N752" s="15" t="inlineStr">
        <is>
          <t xml:space="preserve">S1; S5; S7</t>
        </is>
      </c>
      <c r="O752" s="15">
        <v>1</v>
      </c>
      <c r="P752" s="10" t="str">
        <f>IF(L752="MISSING","MISSING",IF(O752=1,"PASS","DUPLICATE"))</f>
        <v>PASS</v>
      </c>
    </row>
    <row r="753" ht="22" customHeight="1">
      <c r="A753" s="15" t="inlineStr">
        <is>
          <t xml:space="preserve">Jeremiah 4</t>
        </is>
      </c>
      <c r="B753" s="15">
        <v>749</v>
      </c>
      <c r="C753" s="15" t="inlineStr">
        <is>
          <t xml:space="preserve">Old Testament</t>
        </is>
      </c>
      <c r="D753" s="15">
        <v>24</v>
      </c>
      <c r="E753" s="15" t="inlineStr">
        <is>
          <t xml:space="preserve">Jeremiah</t>
        </is>
      </c>
      <c r="F753" s="15">
        <v>4</v>
      </c>
      <c r="G753" s="15" t="inlineStr">
        <is>
          <t xml:space="preserve">v0.4</t>
        </is>
      </c>
      <c r="H753" s="15" t="inlineStr">
        <is>
          <t xml:space="preserve">Bible_Journey_Canon_Map_v0_4_Prophets_Exile.xlsx</t>
        </is>
      </c>
      <c r="I753" s="15" t="inlineStr">
        <is>
          <t xml:space="preserve">Chapter Map</t>
        </is>
      </c>
      <c r="J753" s="15" t="inlineStr">
        <is>
          <t xml:space="preserve">CRS-04-022</t>
        </is>
      </c>
      <c r="K753" s="15" t="inlineStr">
        <is>
          <t xml:space="preserve">RB-04-022</t>
        </is>
      </c>
      <c r="L753" s="15" t="inlineStr">
        <is>
          <t xml:space="preserve">Main Stream</t>
        </is>
      </c>
      <c r="M753" s="15" t="inlineStr">
        <is>
          <t xml:space="preserve">Not reviewed</t>
        </is>
      </c>
      <c r="N753" s="15" t="inlineStr">
        <is>
          <t xml:space="preserve">S1; S5; S7</t>
        </is>
      </c>
      <c r="O753" s="15">
        <v>1</v>
      </c>
      <c r="P753" s="10" t="str">
        <f>IF(L753="MISSING","MISSING",IF(O753=1,"PASS","DUPLICATE"))</f>
        <v>PASS</v>
      </c>
    </row>
    <row r="754" ht="22" customHeight="1">
      <c r="A754" s="15" t="inlineStr">
        <is>
          <t xml:space="preserve">Jeremiah 5</t>
        </is>
      </c>
      <c r="B754" s="15">
        <v>750</v>
      </c>
      <c r="C754" s="15" t="inlineStr">
        <is>
          <t xml:space="preserve">Old Testament</t>
        </is>
      </c>
      <c r="D754" s="15">
        <v>24</v>
      </c>
      <c r="E754" s="15" t="inlineStr">
        <is>
          <t xml:space="preserve">Jeremiah</t>
        </is>
      </c>
      <c r="F754" s="15">
        <v>5</v>
      </c>
      <c r="G754" s="15" t="inlineStr">
        <is>
          <t xml:space="preserve">v0.4</t>
        </is>
      </c>
      <c r="H754" s="15" t="inlineStr">
        <is>
          <t xml:space="preserve">Bible_Journey_Canon_Map_v0_4_Prophets_Exile.xlsx</t>
        </is>
      </c>
      <c r="I754" s="15" t="inlineStr">
        <is>
          <t xml:space="preserve">Chapter Map</t>
        </is>
      </c>
      <c r="J754" s="15" t="inlineStr">
        <is>
          <t xml:space="preserve">CRS-04-022</t>
        </is>
      </c>
      <c r="K754" s="15" t="inlineStr">
        <is>
          <t xml:space="preserve">RB-04-022</t>
        </is>
      </c>
      <c r="L754" s="15" t="inlineStr">
        <is>
          <t xml:space="preserve">Main Stream</t>
        </is>
      </c>
      <c r="M754" s="15" t="inlineStr">
        <is>
          <t xml:space="preserve">Not reviewed</t>
        </is>
      </c>
      <c r="N754" s="15" t="inlineStr">
        <is>
          <t xml:space="preserve">S1; S5; S7</t>
        </is>
      </c>
      <c r="O754" s="15">
        <v>1</v>
      </c>
      <c r="P754" s="10" t="str">
        <f>IF(L754="MISSING","MISSING",IF(O754=1,"PASS","DUPLICATE"))</f>
        <v>PASS</v>
      </c>
    </row>
    <row r="755" ht="22" customHeight="1">
      <c r="A755" s="15" t="inlineStr">
        <is>
          <t xml:space="preserve">Jeremiah 6</t>
        </is>
      </c>
      <c r="B755" s="15">
        <v>751</v>
      </c>
      <c r="C755" s="15" t="inlineStr">
        <is>
          <t xml:space="preserve">Old Testament</t>
        </is>
      </c>
      <c r="D755" s="15">
        <v>24</v>
      </c>
      <c r="E755" s="15" t="inlineStr">
        <is>
          <t xml:space="preserve">Jeremiah</t>
        </is>
      </c>
      <c r="F755" s="15">
        <v>6</v>
      </c>
      <c r="G755" s="15" t="inlineStr">
        <is>
          <t xml:space="preserve">v0.4</t>
        </is>
      </c>
      <c r="H755" s="15" t="inlineStr">
        <is>
          <t xml:space="preserve">Bible_Journey_Canon_Map_v0_4_Prophets_Exile.xlsx</t>
        </is>
      </c>
      <c r="I755" s="15" t="inlineStr">
        <is>
          <t xml:space="preserve">Chapter Map</t>
        </is>
      </c>
      <c r="J755" s="15" t="inlineStr">
        <is>
          <t xml:space="preserve">CRS-04-022</t>
        </is>
      </c>
      <c r="K755" s="15" t="inlineStr">
        <is>
          <t xml:space="preserve">RB-04-022</t>
        </is>
      </c>
      <c r="L755" s="15" t="inlineStr">
        <is>
          <t xml:space="preserve">Main Stream</t>
        </is>
      </c>
      <c r="M755" s="15" t="inlineStr">
        <is>
          <t xml:space="preserve">Not reviewed</t>
        </is>
      </c>
      <c r="N755" s="15" t="inlineStr">
        <is>
          <t xml:space="preserve">S1; S5; S7</t>
        </is>
      </c>
      <c r="O755" s="15">
        <v>1</v>
      </c>
      <c r="P755" s="10" t="str">
        <f>IF(L755="MISSING","MISSING",IF(O755=1,"PASS","DUPLICATE"))</f>
        <v>PASS</v>
      </c>
    </row>
    <row r="756" ht="22" customHeight="1">
      <c r="A756" s="15" t="inlineStr">
        <is>
          <t xml:space="preserve">Jeremiah 7</t>
        </is>
      </c>
      <c r="B756" s="15">
        <v>752</v>
      </c>
      <c r="C756" s="15" t="inlineStr">
        <is>
          <t xml:space="preserve">Old Testament</t>
        </is>
      </c>
      <c r="D756" s="15">
        <v>24</v>
      </c>
      <c r="E756" s="15" t="inlineStr">
        <is>
          <t xml:space="preserve">Jeremiah</t>
        </is>
      </c>
      <c r="F756" s="15">
        <v>7</v>
      </c>
      <c r="G756" s="15" t="inlineStr">
        <is>
          <t xml:space="preserve">v0.4</t>
        </is>
      </c>
      <c r="H756" s="15" t="inlineStr">
        <is>
          <t xml:space="preserve">Bible_Journey_Canon_Map_v0_4_Prophets_Exile.xlsx</t>
        </is>
      </c>
      <c r="I756" s="15" t="inlineStr">
        <is>
          <t xml:space="preserve">Chapter Map</t>
        </is>
      </c>
      <c r="J756" s="15" t="inlineStr">
        <is>
          <t xml:space="preserve">CRS-04-024</t>
        </is>
      </c>
      <c r="K756" s="15" t="inlineStr">
        <is>
          <t xml:space="preserve">RB-04-024</t>
        </is>
      </c>
      <c r="L756" s="15" t="inlineStr">
        <is>
          <t xml:space="preserve">Main Stream</t>
        </is>
      </c>
      <c r="M756" s="15" t="inlineStr">
        <is>
          <t xml:space="preserve">Not reviewed</t>
        </is>
      </c>
      <c r="N756" s="15" t="inlineStr">
        <is>
          <t xml:space="preserve">S5; S6; S7</t>
        </is>
      </c>
      <c r="O756" s="15">
        <v>1</v>
      </c>
      <c r="P756" s="10" t="str">
        <f>IF(L756="MISSING","MISSING",IF(O756=1,"PASS","DUPLICATE"))</f>
        <v>PASS</v>
      </c>
    </row>
    <row r="757" ht="22" customHeight="1">
      <c r="A757" s="15" t="inlineStr">
        <is>
          <t xml:space="preserve">Jeremiah 8</t>
        </is>
      </c>
      <c r="B757" s="15">
        <v>753</v>
      </c>
      <c r="C757" s="15" t="inlineStr">
        <is>
          <t xml:space="preserve">Old Testament</t>
        </is>
      </c>
      <c r="D757" s="15">
        <v>24</v>
      </c>
      <c r="E757" s="15" t="inlineStr">
        <is>
          <t xml:space="preserve">Jeremiah</t>
        </is>
      </c>
      <c r="F757" s="15">
        <v>8</v>
      </c>
      <c r="G757" s="15" t="inlineStr">
        <is>
          <t xml:space="preserve">v0.4</t>
        </is>
      </c>
      <c r="H757" s="15" t="inlineStr">
        <is>
          <t xml:space="preserve">Bible_Journey_Canon_Map_v0_4_Prophets_Exile.xlsx</t>
        </is>
      </c>
      <c r="I757" s="15" t="inlineStr">
        <is>
          <t xml:space="preserve">Chapter Map</t>
        </is>
      </c>
      <c r="J757" s="15" t="inlineStr">
        <is>
          <t xml:space="preserve">CRS-04-024</t>
        </is>
      </c>
      <c r="K757" s="15" t="inlineStr">
        <is>
          <t xml:space="preserve">RB-04-024</t>
        </is>
      </c>
      <c r="L757" s="15" t="inlineStr">
        <is>
          <t xml:space="preserve">Main Stream</t>
        </is>
      </c>
      <c r="M757" s="15" t="inlineStr">
        <is>
          <t xml:space="preserve">Not reviewed</t>
        </is>
      </c>
      <c r="N757" s="15" t="inlineStr">
        <is>
          <t xml:space="preserve">S5; S6; S7</t>
        </is>
      </c>
      <c r="O757" s="15">
        <v>1</v>
      </c>
      <c r="P757" s="10" t="str">
        <f>IF(L757="MISSING","MISSING",IF(O757=1,"PASS","DUPLICATE"))</f>
        <v>PASS</v>
      </c>
    </row>
    <row r="758" ht="22" customHeight="1">
      <c r="A758" s="15" t="inlineStr">
        <is>
          <t xml:space="preserve">Jeremiah 9</t>
        </is>
      </c>
      <c r="B758" s="15">
        <v>754</v>
      </c>
      <c r="C758" s="15" t="inlineStr">
        <is>
          <t xml:space="preserve">Old Testament</t>
        </is>
      </c>
      <c r="D758" s="15">
        <v>24</v>
      </c>
      <c r="E758" s="15" t="inlineStr">
        <is>
          <t xml:space="preserve">Jeremiah</t>
        </is>
      </c>
      <c r="F758" s="15">
        <v>9</v>
      </c>
      <c r="G758" s="15" t="inlineStr">
        <is>
          <t xml:space="preserve">v0.4</t>
        </is>
      </c>
      <c r="H758" s="15" t="inlineStr">
        <is>
          <t xml:space="preserve">Bible_Journey_Canon_Map_v0_4_Prophets_Exile.xlsx</t>
        </is>
      </c>
      <c r="I758" s="15" t="inlineStr">
        <is>
          <t xml:space="preserve">Chapter Map</t>
        </is>
      </c>
      <c r="J758" s="15" t="inlineStr">
        <is>
          <t xml:space="preserve">CRS-04-024</t>
        </is>
      </c>
      <c r="K758" s="15" t="inlineStr">
        <is>
          <t xml:space="preserve">RB-04-024</t>
        </is>
      </c>
      <c r="L758" s="15" t="inlineStr">
        <is>
          <t xml:space="preserve">Main Stream</t>
        </is>
      </c>
      <c r="M758" s="15" t="inlineStr">
        <is>
          <t xml:space="preserve">Not reviewed</t>
        </is>
      </c>
      <c r="N758" s="15" t="inlineStr">
        <is>
          <t xml:space="preserve">S5; S6; S7</t>
        </is>
      </c>
      <c r="O758" s="15">
        <v>1</v>
      </c>
      <c r="P758" s="10" t="str">
        <f>IF(L758="MISSING","MISSING",IF(O758=1,"PASS","DUPLICATE"))</f>
        <v>PASS</v>
      </c>
    </row>
    <row r="759" ht="22" customHeight="1">
      <c r="A759" s="15" t="inlineStr">
        <is>
          <t xml:space="preserve">Jeremiah 10</t>
        </is>
      </c>
      <c r="B759" s="15">
        <v>755</v>
      </c>
      <c r="C759" s="15" t="inlineStr">
        <is>
          <t xml:space="preserve">Old Testament</t>
        </is>
      </c>
      <c r="D759" s="15">
        <v>24</v>
      </c>
      <c r="E759" s="15" t="inlineStr">
        <is>
          <t xml:space="preserve">Jeremiah</t>
        </is>
      </c>
      <c r="F759" s="15">
        <v>10</v>
      </c>
      <c r="G759" s="15" t="inlineStr">
        <is>
          <t xml:space="preserve">v0.4</t>
        </is>
      </c>
      <c r="H759" s="15" t="inlineStr">
        <is>
          <t xml:space="preserve">Bible_Journey_Canon_Map_v0_4_Prophets_Exile.xlsx</t>
        </is>
      </c>
      <c r="I759" s="15" t="inlineStr">
        <is>
          <t xml:space="preserve">Chapter Map</t>
        </is>
      </c>
      <c r="J759" s="15" t="inlineStr">
        <is>
          <t xml:space="preserve">CRS-04-024</t>
        </is>
      </c>
      <c r="K759" s="15" t="inlineStr">
        <is>
          <t xml:space="preserve">RB-04-024</t>
        </is>
      </c>
      <c r="L759" s="15" t="inlineStr">
        <is>
          <t xml:space="preserve">Main Stream</t>
        </is>
      </c>
      <c r="M759" s="15" t="inlineStr">
        <is>
          <t xml:space="preserve">Not reviewed</t>
        </is>
      </c>
      <c r="N759" s="15" t="inlineStr">
        <is>
          <t xml:space="preserve">S5; S6; S7</t>
        </is>
      </c>
      <c r="O759" s="15">
        <v>1</v>
      </c>
      <c r="P759" s="10" t="str">
        <f>IF(L759="MISSING","MISSING",IF(O759=1,"PASS","DUPLICATE"))</f>
        <v>PASS</v>
      </c>
    </row>
    <row r="760" ht="22" customHeight="1">
      <c r="A760" s="15" t="inlineStr">
        <is>
          <t xml:space="preserve">Jeremiah 11</t>
        </is>
      </c>
      <c r="B760" s="15">
        <v>756</v>
      </c>
      <c r="C760" s="15" t="inlineStr">
        <is>
          <t xml:space="preserve">Old Testament</t>
        </is>
      </c>
      <c r="D760" s="15">
        <v>24</v>
      </c>
      <c r="E760" s="15" t="inlineStr">
        <is>
          <t xml:space="preserve">Jeremiah</t>
        </is>
      </c>
      <c r="F760" s="15">
        <v>11</v>
      </c>
      <c r="G760" s="15" t="inlineStr">
        <is>
          <t xml:space="preserve">v0.4</t>
        </is>
      </c>
      <c r="H760" s="15" t="inlineStr">
        <is>
          <t xml:space="preserve">Bible_Journey_Canon_Map_v0_4_Prophets_Exile.xlsx</t>
        </is>
      </c>
      <c r="I760" s="15" t="inlineStr">
        <is>
          <t xml:space="preserve">Chapter Map</t>
        </is>
      </c>
      <c r="J760" s="15" t="inlineStr">
        <is>
          <t xml:space="preserve">CRS-04-025</t>
        </is>
      </c>
      <c r="K760" s="15" t="inlineStr">
        <is>
          <t xml:space="preserve">RB-04-025</t>
        </is>
      </c>
      <c r="L760" s="15" t="inlineStr">
        <is>
          <t xml:space="preserve">Main Stream</t>
        </is>
      </c>
      <c r="M760" s="15" t="inlineStr">
        <is>
          <t xml:space="preserve">Not reviewed</t>
        </is>
      </c>
      <c r="N760" s="15" t="inlineStr">
        <is>
          <t xml:space="preserve">S5; S6; S7</t>
        </is>
      </c>
      <c r="O760" s="15">
        <v>1</v>
      </c>
      <c r="P760" s="10" t="str">
        <f>IF(L760="MISSING","MISSING",IF(O760=1,"PASS","DUPLICATE"))</f>
        <v>PASS</v>
      </c>
    </row>
    <row r="761" ht="22" customHeight="1">
      <c r="A761" s="15" t="inlineStr">
        <is>
          <t xml:space="preserve">Jeremiah 12</t>
        </is>
      </c>
      <c r="B761" s="15">
        <v>757</v>
      </c>
      <c r="C761" s="15" t="inlineStr">
        <is>
          <t xml:space="preserve">Old Testament</t>
        </is>
      </c>
      <c r="D761" s="15">
        <v>24</v>
      </c>
      <c r="E761" s="15" t="inlineStr">
        <is>
          <t xml:space="preserve">Jeremiah</t>
        </is>
      </c>
      <c r="F761" s="15">
        <v>12</v>
      </c>
      <c r="G761" s="15" t="inlineStr">
        <is>
          <t xml:space="preserve">v0.4</t>
        </is>
      </c>
      <c r="H761" s="15" t="inlineStr">
        <is>
          <t xml:space="preserve">Bible_Journey_Canon_Map_v0_4_Prophets_Exile.xlsx</t>
        </is>
      </c>
      <c r="I761" s="15" t="inlineStr">
        <is>
          <t xml:space="preserve">Chapter Map</t>
        </is>
      </c>
      <c r="J761" s="15" t="inlineStr">
        <is>
          <t xml:space="preserve">CRS-04-025</t>
        </is>
      </c>
      <c r="K761" s="15" t="inlineStr">
        <is>
          <t xml:space="preserve">RB-04-025</t>
        </is>
      </c>
      <c r="L761" s="15" t="inlineStr">
        <is>
          <t xml:space="preserve">Main Stream</t>
        </is>
      </c>
      <c r="M761" s="15" t="inlineStr">
        <is>
          <t xml:space="preserve">Not reviewed</t>
        </is>
      </c>
      <c r="N761" s="15" t="inlineStr">
        <is>
          <t xml:space="preserve">S5; S6; S7</t>
        </is>
      </c>
      <c r="O761" s="15">
        <v>1</v>
      </c>
      <c r="P761" s="10" t="str">
        <f>IF(L761="MISSING","MISSING",IF(O761=1,"PASS","DUPLICATE"))</f>
        <v>PASS</v>
      </c>
    </row>
    <row r="762" ht="22" customHeight="1">
      <c r="A762" s="15" t="inlineStr">
        <is>
          <t xml:space="preserve">Jeremiah 13</t>
        </is>
      </c>
      <c r="B762" s="15">
        <v>758</v>
      </c>
      <c r="C762" s="15" t="inlineStr">
        <is>
          <t xml:space="preserve">Old Testament</t>
        </is>
      </c>
      <c r="D762" s="15">
        <v>24</v>
      </c>
      <c r="E762" s="15" t="inlineStr">
        <is>
          <t xml:space="preserve">Jeremiah</t>
        </is>
      </c>
      <c r="F762" s="15">
        <v>13</v>
      </c>
      <c r="G762" s="15" t="inlineStr">
        <is>
          <t xml:space="preserve">v0.4</t>
        </is>
      </c>
      <c r="H762" s="15" t="inlineStr">
        <is>
          <t xml:space="preserve">Bible_Journey_Canon_Map_v0_4_Prophets_Exile.xlsx</t>
        </is>
      </c>
      <c r="I762" s="15" t="inlineStr">
        <is>
          <t xml:space="preserve">Chapter Map</t>
        </is>
      </c>
      <c r="J762" s="15" t="inlineStr">
        <is>
          <t xml:space="preserve">CRS-04-025</t>
        </is>
      </c>
      <c r="K762" s="15" t="inlineStr">
        <is>
          <t xml:space="preserve">RB-04-025</t>
        </is>
      </c>
      <c r="L762" s="15" t="inlineStr">
        <is>
          <t xml:space="preserve">Main Stream</t>
        </is>
      </c>
      <c r="M762" s="15" t="inlineStr">
        <is>
          <t xml:space="preserve">Not reviewed</t>
        </is>
      </c>
      <c r="N762" s="15" t="inlineStr">
        <is>
          <t xml:space="preserve">S5; S6; S7</t>
        </is>
      </c>
      <c r="O762" s="15">
        <v>1</v>
      </c>
      <c r="P762" s="10" t="str">
        <f>IF(L762="MISSING","MISSING",IF(O762=1,"PASS","DUPLICATE"))</f>
        <v>PASS</v>
      </c>
    </row>
    <row r="763" ht="22" customHeight="1">
      <c r="A763" s="15" t="inlineStr">
        <is>
          <t xml:space="preserve">Jeremiah 14</t>
        </is>
      </c>
      <c r="B763" s="15">
        <v>759</v>
      </c>
      <c r="C763" s="15" t="inlineStr">
        <is>
          <t xml:space="preserve">Old Testament</t>
        </is>
      </c>
      <c r="D763" s="15">
        <v>24</v>
      </c>
      <c r="E763" s="15" t="inlineStr">
        <is>
          <t xml:space="preserve">Jeremiah</t>
        </is>
      </c>
      <c r="F763" s="15">
        <v>14</v>
      </c>
      <c r="G763" s="15" t="inlineStr">
        <is>
          <t xml:space="preserve">v0.4</t>
        </is>
      </c>
      <c r="H763" s="15" t="inlineStr">
        <is>
          <t xml:space="preserve">Bible_Journey_Canon_Map_v0_4_Prophets_Exile.xlsx</t>
        </is>
      </c>
      <c r="I763" s="15" t="inlineStr">
        <is>
          <t xml:space="preserve">Chapter Map</t>
        </is>
      </c>
      <c r="J763" s="15" t="inlineStr">
        <is>
          <t xml:space="preserve">CRS-04-025</t>
        </is>
      </c>
      <c r="K763" s="15" t="inlineStr">
        <is>
          <t xml:space="preserve">RB-04-025</t>
        </is>
      </c>
      <c r="L763" s="15" t="inlineStr">
        <is>
          <t xml:space="preserve">Main Stream</t>
        </is>
      </c>
      <c r="M763" s="15" t="inlineStr">
        <is>
          <t xml:space="preserve">Not reviewed</t>
        </is>
      </c>
      <c r="N763" s="15" t="inlineStr">
        <is>
          <t xml:space="preserve">S5; S6; S7</t>
        </is>
      </c>
      <c r="O763" s="15">
        <v>1</v>
      </c>
      <c r="P763" s="10" t="str">
        <f>IF(L763="MISSING","MISSING",IF(O763=1,"PASS","DUPLICATE"))</f>
        <v>PASS</v>
      </c>
    </row>
    <row r="764" ht="22" customHeight="1">
      <c r="A764" s="15" t="inlineStr">
        <is>
          <t xml:space="preserve">Jeremiah 15</t>
        </is>
      </c>
      <c r="B764" s="15">
        <v>760</v>
      </c>
      <c r="C764" s="15" t="inlineStr">
        <is>
          <t xml:space="preserve">Old Testament</t>
        </is>
      </c>
      <c r="D764" s="15">
        <v>24</v>
      </c>
      <c r="E764" s="15" t="inlineStr">
        <is>
          <t xml:space="preserve">Jeremiah</t>
        </is>
      </c>
      <c r="F764" s="15">
        <v>15</v>
      </c>
      <c r="G764" s="15" t="inlineStr">
        <is>
          <t xml:space="preserve">v0.4</t>
        </is>
      </c>
      <c r="H764" s="15" t="inlineStr">
        <is>
          <t xml:space="preserve">Bible_Journey_Canon_Map_v0_4_Prophets_Exile.xlsx</t>
        </is>
      </c>
      <c r="I764" s="15" t="inlineStr">
        <is>
          <t xml:space="preserve">Chapter Map</t>
        </is>
      </c>
      <c r="J764" s="15" t="inlineStr">
        <is>
          <t xml:space="preserve">CRS-04-025</t>
        </is>
      </c>
      <c r="K764" s="15" t="inlineStr">
        <is>
          <t xml:space="preserve">RB-04-025</t>
        </is>
      </c>
      <c r="L764" s="15" t="inlineStr">
        <is>
          <t xml:space="preserve">Main Stream</t>
        </is>
      </c>
      <c r="M764" s="15" t="inlineStr">
        <is>
          <t xml:space="preserve">Not reviewed</t>
        </is>
      </c>
      <c r="N764" s="15" t="inlineStr">
        <is>
          <t xml:space="preserve">S5; S6; S7</t>
        </is>
      </c>
      <c r="O764" s="15">
        <v>1</v>
      </c>
      <c r="P764" s="10" t="str">
        <f>IF(L764="MISSING","MISSING",IF(O764=1,"PASS","DUPLICATE"))</f>
        <v>PASS</v>
      </c>
    </row>
    <row r="765" ht="22" customHeight="1">
      <c r="A765" s="15" t="inlineStr">
        <is>
          <t xml:space="preserve">Jeremiah 16</t>
        </is>
      </c>
      <c r="B765" s="15">
        <v>761</v>
      </c>
      <c r="C765" s="15" t="inlineStr">
        <is>
          <t xml:space="preserve">Old Testament</t>
        </is>
      </c>
      <c r="D765" s="15">
        <v>24</v>
      </c>
      <c r="E765" s="15" t="inlineStr">
        <is>
          <t xml:space="preserve">Jeremiah</t>
        </is>
      </c>
      <c r="F765" s="15">
        <v>16</v>
      </c>
      <c r="G765" s="15" t="inlineStr">
        <is>
          <t xml:space="preserve">v0.4</t>
        </is>
      </c>
      <c r="H765" s="15" t="inlineStr">
        <is>
          <t xml:space="preserve">Bible_Journey_Canon_Map_v0_4_Prophets_Exile.xlsx</t>
        </is>
      </c>
      <c r="I765" s="15" t="inlineStr">
        <is>
          <t xml:space="preserve">Chapter Map</t>
        </is>
      </c>
      <c r="J765" s="15" t="inlineStr">
        <is>
          <t xml:space="preserve">CRS-04-025</t>
        </is>
      </c>
      <c r="K765" s="15" t="inlineStr">
        <is>
          <t xml:space="preserve">RB-04-025</t>
        </is>
      </c>
      <c r="L765" s="15" t="inlineStr">
        <is>
          <t xml:space="preserve">Main Stream</t>
        </is>
      </c>
      <c r="M765" s="15" t="inlineStr">
        <is>
          <t xml:space="preserve">Not reviewed</t>
        </is>
      </c>
      <c r="N765" s="15" t="inlineStr">
        <is>
          <t xml:space="preserve">S5; S6; S7</t>
        </is>
      </c>
      <c r="O765" s="15">
        <v>1</v>
      </c>
      <c r="P765" s="10" t="str">
        <f>IF(L765="MISSING","MISSING",IF(O765=1,"PASS","DUPLICATE"))</f>
        <v>PASS</v>
      </c>
    </row>
    <row r="766" ht="22" customHeight="1">
      <c r="A766" s="15" t="inlineStr">
        <is>
          <t xml:space="preserve">Jeremiah 17</t>
        </is>
      </c>
      <c r="B766" s="15">
        <v>762</v>
      </c>
      <c r="C766" s="15" t="inlineStr">
        <is>
          <t xml:space="preserve">Old Testament</t>
        </is>
      </c>
      <c r="D766" s="15">
        <v>24</v>
      </c>
      <c r="E766" s="15" t="inlineStr">
        <is>
          <t xml:space="preserve">Jeremiah</t>
        </is>
      </c>
      <c r="F766" s="15">
        <v>17</v>
      </c>
      <c r="G766" s="15" t="inlineStr">
        <is>
          <t xml:space="preserve">v0.4</t>
        </is>
      </c>
      <c r="H766" s="15" t="inlineStr">
        <is>
          <t xml:space="preserve">Bible_Journey_Canon_Map_v0_4_Prophets_Exile.xlsx</t>
        </is>
      </c>
      <c r="I766" s="15" t="inlineStr">
        <is>
          <t xml:space="preserve">Chapter Map</t>
        </is>
      </c>
      <c r="J766" s="15" t="inlineStr">
        <is>
          <t xml:space="preserve">CRS-04-025</t>
        </is>
      </c>
      <c r="K766" s="15" t="inlineStr">
        <is>
          <t xml:space="preserve">RB-04-025</t>
        </is>
      </c>
      <c r="L766" s="15" t="inlineStr">
        <is>
          <t xml:space="preserve">Main Stream</t>
        </is>
      </c>
      <c r="M766" s="15" t="inlineStr">
        <is>
          <t xml:space="preserve">Not reviewed</t>
        </is>
      </c>
      <c r="N766" s="15" t="inlineStr">
        <is>
          <t xml:space="preserve">S5; S6; S7</t>
        </is>
      </c>
      <c r="O766" s="15">
        <v>1</v>
      </c>
      <c r="P766" s="10" t="str">
        <f>IF(L766="MISSING","MISSING",IF(O766=1,"PASS","DUPLICATE"))</f>
        <v>PASS</v>
      </c>
    </row>
    <row r="767" ht="22" customHeight="1">
      <c r="A767" s="15" t="inlineStr">
        <is>
          <t xml:space="preserve">Jeremiah 18</t>
        </is>
      </c>
      <c r="B767" s="15">
        <v>763</v>
      </c>
      <c r="C767" s="15" t="inlineStr">
        <is>
          <t xml:space="preserve">Old Testament</t>
        </is>
      </c>
      <c r="D767" s="15">
        <v>24</v>
      </c>
      <c r="E767" s="15" t="inlineStr">
        <is>
          <t xml:space="preserve">Jeremiah</t>
        </is>
      </c>
      <c r="F767" s="15">
        <v>18</v>
      </c>
      <c r="G767" s="15" t="inlineStr">
        <is>
          <t xml:space="preserve">v0.4</t>
        </is>
      </c>
      <c r="H767" s="15" t="inlineStr">
        <is>
          <t xml:space="preserve">Bible_Journey_Canon_Map_v0_4_Prophets_Exile.xlsx</t>
        </is>
      </c>
      <c r="I767" s="15" t="inlineStr">
        <is>
          <t xml:space="preserve">Chapter Map</t>
        </is>
      </c>
      <c r="J767" s="15" t="inlineStr">
        <is>
          <t xml:space="preserve">CRS-04-025</t>
        </is>
      </c>
      <c r="K767" s="15" t="inlineStr">
        <is>
          <t xml:space="preserve">RB-04-025</t>
        </is>
      </c>
      <c r="L767" s="15" t="inlineStr">
        <is>
          <t xml:space="preserve">Main Stream</t>
        </is>
      </c>
      <c r="M767" s="15" t="inlineStr">
        <is>
          <t xml:space="preserve">Not reviewed</t>
        </is>
      </c>
      <c r="N767" s="15" t="inlineStr">
        <is>
          <t xml:space="preserve">S5; S6; S7</t>
        </is>
      </c>
      <c r="O767" s="15">
        <v>1</v>
      </c>
      <c r="P767" s="10" t="str">
        <f>IF(L767="MISSING","MISSING",IF(O767=1,"PASS","DUPLICATE"))</f>
        <v>PASS</v>
      </c>
    </row>
    <row r="768" ht="22" customHeight="1">
      <c r="A768" s="15" t="inlineStr">
        <is>
          <t xml:space="preserve">Jeremiah 19</t>
        </is>
      </c>
      <c r="B768" s="15">
        <v>764</v>
      </c>
      <c r="C768" s="15" t="inlineStr">
        <is>
          <t xml:space="preserve">Old Testament</t>
        </is>
      </c>
      <c r="D768" s="15">
        <v>24</v>
      </c>
      <c r="E768" s="15" t="inlineStr">
        <is>
          <t xml:space="preserve">Jeremiah</t>
        </is>
      </c>
      <c r="F768" s="15">
        <v>19</v>
      </c>
      <c r="G768" s="15" t="inlineStr">
        <is>
          <t xml:space="preserve">v0.4</t>
        </is>
      </c>
      <c r="H768" s="15" t="inlineStr">
        <is>
          <t xml:space="preserve">Bible_Journey_Canon_Map_v0_4_Prophets_Exile.xlsx</t>
        </is>
      </c>
      <c r="I768" s="15" t="inlineStr">
        <is>
          <t xml:space="preserve">Chapter Map</t>
        </is>
      </c>
      <c r="J768" s="15" t="inlineStr">
        <is>
          <t xml:space="preserve">CRS-04-025</t>
        </is>
      </c>
      <c r="K768" s="15" t="inlineStr">
        <is>
          <t xml:space="preserve">RB-04-025</t>
        </is>
      </c>
      <c r="L768" s="15" t="inlineStr">
        <is>
          <t xml:space="preserve">Main Stream</t>
        </is>
      </c>
      <c r="M768" s="15" t="inlineStr">
        <is>
          <t xml:space="preserve">Not reviewed</t>
        </is>
      </c>
      <c r="N768" s="15" t="inlineStr">
        <is>
          <t xml:space="preserve">S5; S6; S7</t>
        </is>
      </c>
      <c r="O768" s="15">
        <v>1</v>
      </c>
      <c r="P768" s="10" t="str">
        <f>IF(L768="MISSING","MISSING",IF(O768=1,"PASS","DUPLICATE"))</f>
        <v>PASS</v>
      </c>
    </row>
    <row r="769" ht="22" customHeight="1">
      <c r="A769" s="15" t="inlineStr">
        <is>
          <t xml:space="preserve">Jeremiah 20</t>
        </is>
      </c>
      <c r="B769" s="15">
        <v>765</v>
      </c>
      <c r="C769" s="15" t="inlineStr">
        <is>
          <t xml:space="preserve">Old Testament</t>
        </is>
      </c>
      <c r="D769" s="15">
        <v>24</v>
      </c>
      <c r="E769" s="15" t="inlineStr">
        <is>
          <t xml:space="preserve">Jeremiah</t>
        </is>
      </c>
      <c r="F769" s="15">
        <v>20</v>
      </c>
      <c r="G769" s="15" t="inlineStr">
        <is>
          <t xml:space="preserve">v0.4</t>
        </is>
      </c>
      <c r="H769" s="15" t="inlineStr">
        <is>
          <t xml:space="preserve">Bible_Journey_Canon_Map_v0_4_Prophets_Exile.xlsx</t>
        </is>
      </c>
      <c r="I769" s="15" t="inlineStr">
        <is>
          <t xml:space="preserve">Chapter Map</t>
        </is>
      </c>
      <c r="J769" s="15" t="inlineStr">
        <is>
          <t xml:space="preserve">CRS-04-025</t>
        </is>
      </c>
      <c r="K769" s="15" t="inlineStr">
        <is>
          <t xml:space="preserve">RB-04-025</t>
        </is>
      </c>
      <c r="L769" s="15" t="inlineStr">
        <is>
          <t xml:space="preserve">Main Stream</t>
        </is>
      </c>
      <c r="M769" s="15" t="inlineStr">
        <is>
          <t xml:space="preserve">Not reviewed</t>
        </is>
      </c>
      <c r="N769" s="15" t="inlineStr">
        <is>
          <t xml:space="preserve">S5; S6; S7</t>
        </is>
      </c>
      <c r="O769" s="15">
        <v>1</v>
      </c>
      <c r="P769" s="10" t="str">
        <f>IF(L769="MISSING","MISSING",IF(O769=1,"PASS","DUPLICATE"))</f>
        <v>PASS</v>
      </c>
    </row>
    <row r="770" ht="22" customHeight="1">
      <c r="A770" s="15" t="inlineStr">
        <is>
          <t xml:space="preserve">Jeremiah 21</t>
        </is>
      </c>
      <c r="B770" s="15">
        <v>766</v>
      </c>
      <c r="C770" s="15" t="inlineStr">
        <is>
          <t xml:space="preserve">Old Testament</t>
        </is>
      </c>
      <c r="D770" s="15">
        <v>24</v>
      </c>
      <c r="E770" s="15" t="inlineStr">
        <is>
          <t xml:space="preserve">Jeremiah</t>
        </is>
      </c>
      <c r="F770" s="15">
        <v>21</v>
      </c>
      <c r="G770" s="15" t="inlineStr">
        <is>
          <t xml:space="preserve">v0.4</t>
        </is>
      </c>
      <c r="H770" s="15" t="inlineStr">
        <is>
          <t xml:space="preserve">Bible_Journey_Canon_Map_v0_4_Prophets_Exile.xlsx</t>
        </is>
      </c>
      <c r="I770" s="15" t="inlineStr">
        <is>
          <t xml:space="preserve">Chapter Map</t>
        </is>
      </c>
      <c r="J770" s="15" t="inlineStr">
        <is>
          <t xml:space="preserve">CRS-04-030</t>
        </is>
      </c>
      <c r="K770" s="15" t="inlineStr">
        <is>
          <t xml:space="preserve">RB-04-032</t>
        </is>
      </c>
      <c r="L770" s="15" t="inlineStr">
        <is>
          <t xml:space="preserve">Main Stream</t>
        </is>
      </c>
      <c r="M770" s="15" t="inlineStr">
        <is>
          <t xml:space="preserve">Not reviewed</t>
        </is>
      </c>
      <c r="N770" s="15" t="inlineStr">
        <is>
          <t xml:space="preserve">S1; S5</t>
        </is>
      </c>
      <c r="O770" s="15">
        <v>1</v>
      </c>
      <c r="P770" s="10" t="str">
        <f>IF(L770="MISSING","MISSING",IF(O770=1,"PASS","DUPLICATE"))</f>
        <v>PASS</v>
      </c>
    </row>
    <row r="771" ht="22" customHeight="1">
      <c r="A771" s="15" t="inlineStr">
        <is>
          <t xml:space="preserve">Jeremiah 22</t>
        </is>
      </c>
      <c r="B771" s="15">
        <v>767</v>
      </c>
      <c r="C771" s="15" t="inlineStr">
        <is>
          <t xml:space="preserve">Old Testament</t>
        </is>
      </c>
      <c r="D771" s="15">
        <v>24</v>
      </c>
      <c r="E771" s="15" t="inlineStr">
        <is>
          <t xml:space="preserve">Jeremiah</t>
        </is>
      </c>
      <c r="F771" s="15">
        <v>22</v>
      </c>
      <c r="G771" s="15" t="inlineStr">
        <is>
          <t xml:space="preserve">v0.4</t>
        </is>
      </c>
      <c r="H771" s="15" t="inlineStr">
        <is>
          <t xml:space="preserve">Bible_Journey_Canon_Map_v0_4_Prophets_Exile.xlsx</t>
        </is>
      </c>
      <c r="I771" s="15" t="inlineStr">
        <is>
          <t xml:space="preserve">Chapter Map</t>
        </is>
      </c>
      <c r="J771" s="15" t="inlineStr">
        <is>
          <t xml:space="preserve">CRS-04-026</t>
        </is>
      </c>
      <c r="K771" s="15" t="inlineStr">
        <is>
          <t xml:space="preserve">RB-04-026</t>
        </is>
      </c>
      <c r="L771" s="15" t="inlineStr">
        <is>
          <t xml:space="preserve">Main Stream</t>
        </is>
      </c>
      <c r="M771" s="15" t="inlineStr">
        <is>
          <t xml:space="preserve">Not reviewed</t>
        </is>
      </c>
      <c r="N771" s="15" t="inlineStr">
        <is>
          <t xml:space="preserve">S1; S5; S6; S7</t>
        </is>
      </c>
      <c r="O771" s="15">
        <v>1</v>
      </c>
      <c r="P771" s="10" t="str">
        <f>IF(L771="MISSING","MISSING",IF(O771=1,"PASS","DUPLICATE"))</f>
        <v>PASS</v>
      </c>
    </row>
    <row r="772" ht="22" customHeight="1">
      <c r="A772" s="15" t="inlineStr">
        <is>
          <t xml:space="preserve">Jeremiah 23</t>
        </is>
      </c>
      <c r="B772" s="15">
        <v>768</v>
      </c>
      <c r="C772" s="15" t="inlineStr">
        <is>
          <t xml:space="preserve">Old Testament</t>
        </is>
      </c>
      <c r="D772" s="15">
        <v>24</v>
      </c>
      <c r="E772" s="15" t="inlineStr">
        <is>
          <t xml:space="preserve">Jeremiah</t>
        </is>
      </c>
      <c r="F772" s="15">
        <v>23</v>
      </c>
      <c r="G772" s="15" t="inlineStr">
        <is>
          <t xml:space="preserve">v0.4</t>
        </is>
      </c>
      <c r="H772" s="15" t="inlineStr">
        <is>
          <t xml:space="preserve">Bible_Journey_Canon_Map_v0_4_Prophets_Exile.xlsx</t>
        </is>
      </c>
      <c r="I772" s="15" t="inlineStr">
        <is>
          <t xml:space="preserve">Chapter Map</t>
        </is>
      </c>
      <c r="J772" s="15" t="inlineStr">
        <is>
          <t xml:space="preserve">CRS-04-031</t>
        </is>
      </c>
      <c r="K772" s="15" t="inlineStr">
        <is>
          <t xml:space="preserve">RB-04-033</t>
        </is>
      </c>
      <c r="L772" s="15" t="inlineStr">
        <is>
          <t xml:space="preserve">Main Stream</t>
        </is>
      </c>
      <c r="M772" s="15" t="inlineStr">
        <is>
          <t xml:space="preserve">Not reviewed</t>
        </is>
      </c>
      <c r="N772" s="15" t="inlineStr">
        <is>
          <t xml:space="preserve">S5; S6; S7</t>
        </is>
      </c>
      <c r="O772" s="15">
        <v>1</v>
      </c>
      <c r="P772" s="10" t="str">
        <f>IF(L772="MISSING","MISSING",IF(O772=1,"PASS","DUPLICATE"))</f>
        <v>PASS</v>
      </c>
    </row>
    <row r="773" ht="22" customHeight="1">
      <c r="A773" s="15" t="inlineStr">
        <is>
          <t xml:space="preserve">Jeremiah 24</t>
        </is>
      </c>
      <c r="B773" s="15">
        <v>769</v>
      </c>
      <c r="C773" s="15" t="inlineStr">
        <is>
          <t xml:space="preserve">Old Testament</t>
        </is>
      </c>
      <c r="D773" s="15">
        <v>24</v>
      </c>
      <c r="E773" s="15" t="inlineStr">
        <is>
          <t xml:space="preserve">Jeremiah</t>
        </is>
      </c>
      <c r="F773" s="15">
        <v>24</v>
      </c>
      <c r="G773" s="15" t="inlineStr">
        <is>
          <t xml:space="preserve">v0.4</t>
        </is>
      </c>
      <c r="H773" s="15" t="inlineStr">
        <is>
          <t xml:space="preserve">Bible_Journey_Canon_Map_v0_4_Prophets_Exile.xlsx</t>
        </is>
      </c>
      <c r="I773" s="15" t="inlineStr">
        <is>
          <t xml:space="preserve">Chapter Map</t>
        </is>
      </c>
      <c r="J773" s="15" t="inlineStr">
        <is>
          <t xml:space="preserve">CRS-04-032</t>
        </is>
      </c>
      <c r="K773" s="15" t="inlineStr">
        <is>
          <t xml:space="preserve">RB-04-034</t>
        </is>
      </c>
      <c r="L773" s="15" t="inlineStr">
        <is>
          <t xml:space="preserve">Main Stream</t>
        </is>
      </c>
      <c r="M773" s="15" t="inlineStr">
        <is>
          <t xml:space="preserve">Not reviewed</t>
        </is>
      </c>
      <c r="N773" s="15" t="inlineStr">
        <is>
          <t xml:space="preserve">S1; S5</t>
        </is>
      </c>
      <c r="O773" s="15">
        <v>1</v>
      </c>
      <c r="P773" s="10" t="str">
        <f>IF(L773="MISSING","MISSING",IF(O773=1,"PASS","DUPLICATE"))</f>
        <v>PASS</v>
      </c>
    </row>
    <row r="774" ht="22" customHeight="1">
      <c r="A774" s="15" t="inlineStr">
        <is>
          <t xml:space="preserve">Jeremiah 25</t>
        </is>
      </c>
      <c r="B774" s="15">
        <v>770</v>
      </c>
      <c r="C774" s="15" t="inlineStr">
        <is>
          <t xml:space="preserve">Old Testament</t>
        </is>
      </c>
      <c r="D774" s="15">
        <v>24</v>
      </c>
      <c r="E774" s="15" t="inlineStr">
        <is>
          <t xml:space="preserve">Jeremiah</t>
        </is>
      </c>
      <c r="F774" s="15">
        <v>25</v>
      </c>
      <c r="G774" s="15" t="inlineStr">
        <is>
          <t xml:space="preserve">v0.4</t>
        </is>
      </c>
      <c r="H774" s="15" t="inlineStr">
        <is>
          <t xml:space="preserve">Bible_Journey_Canon_Map_v0_4_Prophets_Exile.xlsx</t>
        </is>
      </c>
      <c r="I774" s="15" t="inlineStr">
        <is>
          <t xml:space="preserve">Chapter Map</t>
        </is>
      </c>
      <c r="J774" s="15" t="inlineStr">
        <is>
          <t xml:space="preserve">CRS-04-028</t>
        </is>
      </c>
      <c r="K774" s="15" t="inlineStr">
        <is>
          <t xml:space="preserve">RB-04-028</t>
        </is>
      </c>
      <c r="L774" s="15" t="inlineStr">
        <is>
          <t xml:space="preserve">Main Stream</t>
        </is>
      </c>
      <c r="M774" s="15" t="inlineStr">
        <is>
          <t xml:space="preserve">Not reviewed</t>
        </is>
      </c>
      <c r="N774" s="15" t="inlineStr">
        <is>
          <t xml:space="preserve">S1; S5; S6</t>
        </is>
      </c>
      <c r="O774" s="15">
        <v>1</v>
      </c>
      <c r="P774" s="10" t="str">
        <f>IF(L774="MISSING","MISSING",IF(O774=1,"PASS","DUPLICATE"))</f>
        <v>PASS</v>
      </c>
    </row>
    <row r="775" ht="22" customHeight="1">
      <c r="A775" s="15" t="inlineStr">
        <is>
          <t xml:space="preserve">Jeremiah 26</t>
        </is>
      </c>
      <c r="B775" s="15">
        <v>771</v>
      </c>
      <c r="C775" s="15" t="inlineStr">
        <is>
          <t xml:space="preserve">Old Testament</t>
        </is>
      </c>
      <c r="D775" s="15">
        <v>24</v>
      </c>
      <c r="E775" s="15" t="inlineStr">
        <is>
          <t xml:space="preserve">Jeremiah</t>
        </is>
      </c>
      <c r="F775" s="15">
        <v>26</v>
      </c>
      <c r="G775" s="15" t="inlineStr">
        <is>
          <t xml:space="preserve">v0.4</t>
        </is>
      </c>
      <c r="H775" s="15" t="inlineStr">
        <is>
          <t xml:space="preserve">Bible_Journey_Canon_Map_v0_4_Prophets_Exile.xlsx</t>
        </is>
      </c>
      <c r="I775" s="15" t="inlineStr">
        <is>
          <t xml:space="preserve">Chapter Map</t>
        </is>
      </c>
      <c r="J775" s="15" t="inlineStr">
        <is>
          <t xml:space="preserve">CRS-04-023</t>
        </is>
      </c>
      <c r="K775" s="15" t="inlineStr">
        <is>
          <t xml:space="preserve">RB-04-023</t>
        </is>
      </c>
      <c r="L775" s="15" t="inlineStr">
        <is>
          <t xml:space="preserve">Main Stream</t>
        </is>
      </c>
      <c r="M775" s="15" t="inlineStr">
        <is>
          <t xml:space="preserve">Not reviewed</t>
        </is>
      </c>
      <c r="N775" s="15" t="inlineStr">
        <is>
          <t xml:space="preserve">S1; S5; S6</t>
        </is>
      </c>
      <c r="O775" s="15">
        <v>1</v>
      </c>
      <c r="P775" s="10" t="str">
        <f>IF(L775="MISSING","MISSING",IF(O775=1,"PASS","DUPLICATE"))</f>
        <v>PASS</v>
      </c>
    </row>
    <row r="776" ht="22" customHeight="1">
      <c r="A776" s="15" t="inlineStr">
        <is>
          <t xml:space="preserve">Jeremiah 27</t>
        </is>
      </c>
      <c r="B776" s="15">
        <v>772</v>
      </c>
      <c r="C776" s="15" t="inlineStr">
        <is>
          <t xml:space="preserve">Old Testament</t>
        </is>
      </c>
      <c r="D776" s="15">
        <v>24</v>
      </c>
      <c r="E776" s="15" t="inlineStr">
        <is>
          <t xml:space="preserve">Jeremiah</t>
        </is>
      </c>
      <c r="F776" s="15">
        <v>27</v>
      </c>
      <c r="G776" s="15" t="inlineStr">
        <is>
          <t xml:space="preserve">v0.4</t>
        </is>
      </c>
      <c r="H776" s="15" t="inlineStr">
        <is>
          <t xml:space="preserve">Bible_Journey_Canon_Map_v0_4_Prophets_Exile.xlsx</t>
        </is>
      </c>
      <c r="I776" s="15" t="inlineStr">
        <is>
          <t xml:space="preserve">Chapter Map</t>
        </is>
      </c>
      <c r="J776" s="15" t="inlineStr">
        <is>
          <t xml:space="preserve">CRS-04-033</t>
        </is>
      </c>
      <c r="K776" s="15" t="inlineStr">
        <is>
          <t xml:space="preserve">RB-04-035</t>
        </is>
      </c>
      <c r="L776" s="15" t="inlineStr">
        <is>
          <t xml:space="preserve">Main Stream</t>
        </is>
      </c>
      <c r="M776" s="15" t="inlineStr">
        <is>
          <t xml:space="preserve">Not reviewed</t>
        </is>
      </c>
      <c r="N776" s="15" t="inlineStr">
        <is>
          <t xml:space="preserve">S1; S5</t>
        </is>
      </c>
      <c r="O776" s="15">
        <v>1</v>
      </c>
      <c r="P776" s="10" t="str">
        <f>IF(L776="MISSING","MISSING",IF(O776=1,"PASS","DUPLICATE"))</f>
        <v>PASS</v>
      </c>
    </row>
    <row r="777" ht="22" customHeight="1">
      <c r="A777" s="15" t="inlineStr">
        <is>
          <t xml:space="preserve">Jeremiah 28</t>
        </is>
      </c>
      <c r="B777" s="15">
        <v>773</v>
      </c>
      <c r="C777" s="15" t="inlineStr">
        <is>
          <t xml:space="preserve">Old Testament</t>
        </is>
      </c>
      <c r="D777" s="15">
        <v>24</v>
      </c>
      <c r="E777" s="15" t="inlineStr">
        <is>
          <t xml:space="preserve">Jeremiah</t>
        </is>
      </c>
      <c r="F777" s="15">
        <v>28</v>
      </c>
      <c r="G777" s="15" t="inlineStr">
        <is>
          <t xml:space="preserve">v0.4</t>
        </is>
      </c>
      <c r="H777" s="15" t="inlineStr">
        <is>
          <t xml:space="preserve">Bible_Journey_Canon_Map_v0_4_Prophets_Exile.xlsx</t>
        </is>
      </c>
      <c r="I777" s="15" t="inlineStr">
        <is>
          <t xml:space="preserve">Chapter Map</t>
        </is>
      </c>
      <c r="J777" s="15" t="inlineStr">
        <is>
          <t xml:space="preserve">CRS-04-034</t>
        </is>
      </c>
      <c r="K777" s="15" t="inlineStr">
        <is>
          <t xml:space="preserve">RB-04-036</t>
        </is>
      </c>
      <c r="L777" s="15" t="inlineStr">
        <is>
          <t xml:space="preserve">Main Stream</t>
        </is>
      </c>
      <c r="M777" s="15" t="inlineStr">
        <is>
          <t xml:space="preserve">Not reviewed</t>
        </is>
      </c>
      <c r="N777" s="15" t="inlineStr">
        <is>
          <t xml:space="preserve">S1; S5</t>
        </is>
      </c>
      <c r="O777" s="15">
        <v>1</v>
      </c>
      <c r="P777" s="10" t="str">
        <f>IF(L777="MISSING","MISSING",IF(O777=1,"PASS","DUPLICATE"))</f>
        <v>PASS</v>
      </c>
    </row>
    <row r="778" ht="22" customHeight="1">
      <c r="A778" s="15" t="inlineStr">
        <is>
          <t xml:space="preserve">Jeremiah 29</t>
        </is>
      </c>
      <c r="B778" s="15">
        <v>774</v>
      </c>
      <c r="C778" s="15" t="inlineStr">
        <is>
          <t xml:space="preserve">Old Testament</t>
        </is>
      </c>
      <c r="D778" s="15">
        <v>24</v>
      </c>
      <c r="E778" s="15" t="inlineStr">
        <is>
          <t xml:space="preserve">Jeremiah</t>
        </is>
      </c>
      <c r="F778" s="15">
        <v>29</v>
      </c>
      <c r="G778" s="15" t="inlineStr">
        <is>
          <t xml:space="preserve">v0.4</t>
        </is>
      </c>
      <c r="H778" s="15" t="inlineStr">
        <is>
          <t xml:space="preserve">Bible_Journey_Canon_Map_v0_4_Prophets_Exile.xlsx</t>
        </is>
      </c>
      <c r="I778" s="15" t="inlineStr">
        <is>
          <t xml:space="preserve">Chapter Map</t>
        </is>
      </c>
      <c r="J778" s="15" t="inlineStr">
        <is>
          <t xml:space="preserve">CRS-04-035</t>
        </is>
      </c>
      <c r="K778" s="15" t="inlineStr">
        <is>
          <t xml:space="preserve">RB-04-037</t>
        </is>
      </c>
      <c r="L778" s="15" t="inlineStr">
        <is>
          <t xml:space="preserve">Main Stream</t>
        </is>
      </c>
      <c r="M778" s="15" t="inlineStr">
        <is>
          <t xml:space="preserve">Not reviewed</t>
        </is>
      </c>
      <c r="N778" s="15" t="inlineStr">
        <is>
          <t xml:space="preserve">S1; S5</t>
        </is>
      </c>
      <c r="O778" s="15">
        <v>1</v>
      </c>
      <c r="P778" s="10" t="str">
        <f>IF(L778="MISSING","MISSING",IF(O778=1,"PASS","DUPLICATE"))</f>
        <v>PASS</v>
      </c>
    </row>
    <row r="779" ht="22" customHeight="1">
      <c r="A779" s="15" t="inlineStr">
        <is>
          <t xml:space="preserve">Jeremiah 30</t>
        </is>
      </c>
      <c r="B779" s="15">
        <v>775</v>
      </c>
      <c r="C779" s="15" t="inlineStr">
        <is>
          <t xml:space="preserve">Old Testament</t>
        </is>
      </c>
      <c r="D779" s="15">
        <v>24</v>
      </c>
      <c r="E779" s="15" t="inlineStr">
        <is>
          <t xml:space="preserve">Jeremiah</t>
        </is>
      </c>
      <c r="F779" s="15">
        <v>30</v>
      </c>
      <c r="G779" s="15" t="inlineStr">
        <is>
          <t xml:space="preserve">v0.4</t>
        </is>
      </c>
      <c r="H779" s="15" t="inlineStr">
        <is>
          <t xml:space="preserve">Bible_Journey_Canon_Map_v0_4_Prophets_Exile.xlsx</t>
        </is>
      </c>
      <c r="I779" s="15" t="inlineStr">
        <is>
          <t xml:space="preserve">Chapter Map</t>
        </is>
      </c>
      <c r="J779" s="15" t="inlineStr">
        <is>
          <t xml:space="preserve">CRS-04-036</t>
        </is>
      </c>
      <c r="K779" s="15" t="inlineStr">
        <is>
          <t xml:space="preserve">RB-04-038</t>
        </is>
      </c>
      <c r="L779" s="15" t="inlineStr">
        <is>
          <t xml:space="preserve">Main Stream</t>
        </is>
      </c>
      <c r="M779" s="15" t="inlineStr">
        <is>
          <t xml:space="preserve">Not reviewed</t>
        </is>
      </c>
      <c r="N779" s="15" t="inlineStr">
        <is>
          <t xml:space="preserve">S5; S6; S7</t>
        </is>
      </c>
      <c r="O779" s="15">
        <v>1</v>
      </c>
      <c r="P779" s="10" t="str">
        <f>IF(L779="MISSING","MISSING",IF(O779=1,"PASS","DUPLICATE"))</f>
        <v>PASS</v>
      </c>
    </row>
    <row r="780" ht="22" customHeight="1">
      <c r="A780" s="15" t="inlineStr">
        <is>
          <t xml:space="preserve">Jeremiah 31</t>
        </is>
      </c>
      <c r="B780" s="15">
        <v>776</v>
      </c>
      <c r="C780" s="15" t="inlineStr">
        <is>
          <t xml:space="preserve">Old Testament</t>
        </is>
      </c>
      <c r="D780" s="15">
        <v>24</v>
      </c>
      <c r="E780" s="15" t="inlineStr">
        <is>
          <t xml:space="preserve">Jeremiah</t>
        </is>
      </c>
      <c r="F780" s="15">
        <v>31</v>
      </c>
      <c r="G780" s="15" t="inlineStr">
        <is>
          <t xml:space="preserve">v0.4</t>
        </is>
      </c>
      <c r="H780" s="15" t="inlineStr">
        <is>
          <t xml:space="preserve">Bible_Journey_Canon_Map_v0_4_Prophets_Exile.xlsx</t>
        </is>
      </c>
      <c r="I780" s="15" t="inlineStr">
        <is>
          <t xml:space="preserve">Chapter Map</t>
        </is>
      </c>
      <c r="J780" s="15" t="inlineStr">
        <is>
          <t xml:space="preserve">CRS-04-036</t>
        </is>
      </c>
      <c r="K780" s="15" t="inlineStr">
        <is>
          <t xml:space="preserve">RB-04-038</t>
        </is>
      </c>
      <c r="L780" s="15" t="inlineStr">
        <is>
          <t xml:space="preserve">Main Stream</t>
        </is>
      </c>
      <c r="M780" s="15" t="inlineStr">
        <is>
          <t xml:space="preserve">Not reviewed</t>
        </is>
      </c>
      <c r="N780" s="15" t="inlineStr">
        <is>
          <t xml:space="preserve">S5; S6; S7</t>
        </is>
      </c>
      <c r="O780" s="15">
        <v>1</v>
      </c>
      <c r="P780" s="10" t="str">
        <f>IF(L780="MISSING","MISSING",IF(O780=1,"PASS","DUPLICATE"))</f>
        <v>PASS</v>
      </c>
    </row>
    <row r="781" ht="22" customHeight="1">
      <c r="A781" s="15" t="inlineStr">
        <is>
          <t xml:space="preserve">Jeremiah 32</t>
        </is>
      </c>
      <c r="B781" s="15">
        <v>777</v>
      </c>
      <c r="C781" s="15" t="inlineStr">
        <is>
          <t xml:space="preserve">Old Testament</t>
        </is>
      </c>
      <c r="D781" s="15">
        <v>24</v>
      </c>
      <c r="E781" s="15" t="inlineStr">
        <is>
          <t xml:space="preserve">Jeremiah</t>
        </is>
      </c>
      <c r="F781" s="15">
        <v>32</v>
      </c>
      <c r="G781" s="15" t="inlineStr">
        <is>
          <t xml:space="preserve">v0.4</t>
        </is>
      </c>
      <c r="H781" s="15" t="inlineStr">
        <is>
          <t xml:space="preserve">Bible_Journey_Canon_Map_v0_4_Prophets_Exile.xlsx</t>
        </is>
      </c>
      <c r="I781" s="15" t="inlineStr">
        <is>
          <t xml:space="preserve">Chapter Map</t>
        </is>
      </c>
      <c r="J781" s="15" t="inlineStr">
        <is>
          <t xml:space="preserve">CRS-04-037</t>
        </is>
      </c>
      <c r="K781" s="15" t="inlineStr">
        <is>
          <t xml:space="preserve">RB-04-039</t>
        </is>
      </c>
      <c r="L781" s="15" t="inlineStr">
        <is>
          <t xml:space="preserve">Main Stream</t>
        </is>
      </c>
      <c r="M781" s="15" t="inlineStr">
        <is>
          <t xml:space="preserve">Not reviewed</t>
        </is>
      </c>
      <c r="N781" s="15" t="inlineStr">
        <is>
          <t xml:space="preserve">S1; S5</t>
        </is>
      </c>
      <c r="O781" s="15">
        <v>1</v>
      </c>
      <c r="P781" s="10" t="str">
        <f>IF(L781="MISSING","MISSING",IF(O781=1,"PASS","DUPLICATE"))</f>
        <v>PASS</v>
      </c>
    </row>
    <row r="782" ht="22" customHeight="1">
      <c r="A782" s="15" t="inlineStr">
        <is>
          <t xml:space="preserve">Jeremiah 33</t>
        </is>
      </c>
      <c r="B782" s="15">
        <v>778</v>
      </c>
      <c r="C782" s="15" t="inlineStr">
        <is>
          <t xml:space="preserve">Old Testament</t>
        </is>
      </c>
      <c r="D782" s="15">
        <v>24</v>
      </c>
      <c r="E782" s="15" t="inlineStr">
        <is>
          <t xml:space="preserve">Jeremiah</t>
        </is>
      </c>
      <c r="F782" s="15">
        <v>33</v>
      </c>
      <c r="G782" s="15" t="inlineStr">
        <is>
          <t xml:space="preserve">v0.4</t>
        </is>
      </c>
      <c r="H782" s="15" t="inlineStr">
        <is>
          <t xml:space="preserve">Bible_Journey_Canon_Map_v0_4_Prophets_Exile.xlsx</t>
        </is>
      </c>
      <c r="I782" s="15" t="inlineStr">
        <is>
          <t xml:space="preserve">Chapter Map</t>
        </is>
      </c>
      <c r="J782" s="15" t="inlineStr">
        <is>
          <t xml:space="preserve">CRS-04-037</t>
        </is>
      </c>
      <c r="K782" s="15" t="inlineStr">
        <is>
          <t xml:space="preserve">RB-04-039</t>
        </is>
      </c>
      <c r="L782" s="15" t="inlineStr">
        <is>
          <t xml:space="preserve">Main Stream</t>
        </is>
      </c>
      <c r="M782" s="15" t="inlineStr">
        <is>
          <t xml:space="preserve">Not reviewed</t>
        </is>
      </c>
      <c r="N782" s="15" t="inlineStr">
        <is>
          <t xml:space="preserve">S1; S5</t>
        </is>
      </c>
      <c r="O782" s="15">
        <v>1</v>
      </c>
      <c r="P782" s="10" t="str">
        <f>IF(L782="MISSING","MISSING",IF(O782=1,"PASS","DUPLICATE"))</f>
        <v>PASS</v>
      </c>
    </row>
    <row r="783" ht="22" customHeight="1">
      <c r="A783" s="15" t="inlineStr">
        <is>
          <t xml:space="preserve">Jeremiah 34</t>
        </is>
      </c>
      <c r="B783" s="15">
        <v>779</v>
      </c>
      <c r="C783" s="15" t="inlineStr">
        <is>
          <t xml:space="preserve">Old Testament</t>
        </is>
      </c>
      <c r="D783" s="15">
        <v>24</v>
      </c>
      <c r="E783" s="15" t="inlineStr">
        <is>
          <t xml:space="preserve">Jeremiah</t>
        </is>
      </c>
      <c r="F783" s="15">
        <v>34</v>
      </c>
      <c r="G783" s="15" t="inlineStr">
        <is>
          <t xml:space="preserve">v0.4</t>
        </is>
      </c>
      <c r="H783" s="15" t="inlineStr">
        <is>
          <t xml:space="preserve">Bible_Journey_Canon_Map_v0_4_Prophets_Exile.xlsx</t>
        </is>
      </c>
      <c r="I783" s="15" t="inlineStr">
        <is>
          <t xml:space="preserve">Chapter Map</t>
        </is>
      </c>
      <c r="J783" s="15" t="inlineStr">
        <is>
          <t xml:space="preserve">CRS-04-038</t>
        </is>
      </c>
      <c r="K783" s="15" t="inlineStr">
        <is>
          <t xml:space="preserve">RB-04-040</t>
        </is>
      </c>
      <c r="L783" s="15" t="inlineStr">
        <is>
          <t xml:space="preserve">Main Stream</t>
        </is>
      </c>
      <c r="M783" s="15" t="inlineStr">
        <is>
          <t xml:space="preserve">Not reviewed</t>
        </is>
      </c>
      <c r="N783" s="15" t="inlineStr">
        <is>
          <t xml:space="preserve">S1; S5; S7</t>
        </is>
      </c>
      <c r="O783" s="15">
        <v>1</v>
      </c>
      <c r="P783" s="10" t="str">
        <f>IF(L783="MISSING","MISSING",IF(O783=1,"PASS","DUPLICATE"))</f>
        <v>PASS</v>
      </c>
    </row>
    <row r="784" ht="22" customHeight="1">
      <c r="A784" s="15" t="inlineStr">
        <is>
          <t xml:space="preserve">Jeremiah 35</t>
        </is>
      </c>
      <c r="B784" s="15">
        <v>780</v>
      </c>
      <c r="C784" s="15" t="inlineStr">
        <is>
          <t xml:space="preserve">Old Testament</t>
        </is>
      </c>
      <c r="D784" s="15">
        <v>24</v>
      </c>
      <c r="E784" s="15" t="inlineStr">
        <is>
          <t xml:space="preserve">Jeremiah</t>
        </is>
      </c>
      <c r="F784" s="15">
        <v>35</v>
      </c>
      <c r="G784" s="15" t="inlineStr">
        <is>
          <t xml:space="preserve">v0.4</t>
        </is>
      </c>
      <c r="H784" s="15" t="inlineStr">
        <is>
          <t xml:space="preserve">Bible_Journey_Canon_Map_v0_4_Prophets_Exile.xlsx</t>
        </is>
      </c>
      <c r="I784" s="15" t="inlineStr">
        <is>
          <t xml:space="preserve">Chapter Map</t>
        </is>
      </c>
      <c r="J784" s="15" t="inlineStr">
        <is>
          <t xml:space="preserve">CRS-04-027</t>
        </is>
      </c>
      <c r="K784" s="15" t="inlineStr">
        <is>
          <t xml:space="preserve">RB-04-027</t>
        </is>
      </c>
      <c r="L784" s="15" t="inlineStr">
        <is>
          <t xml:space="preserve">Main Stream</t>
        </is>
      </c>
      <c r="M784" s="15" t="inlineStr">
        <is>
          <t xml:space="preserve">Not reviewed</t>
        </is>
      </c>
      <c r="N784" s="15" t="inlineStr">
        <is>
          <t xml:space="preserve">S1; S5</t>
        </is>
      </c>
      <c r="O784" s="15">
        <v>1</v>
      </c>
      <c r="P784" s="10" t="str">
        <f>IF(L784="MISSING","MISSING",IF(O784=1,"PASS","DUPLICATE"))</f>
        <v>PASS</v>
      </c>
    </row>
    <row r="785" ht="22" customHeight="1">
      <c r="A785" s="15" t="inlineStr">
        <is>
          <t xml:space="preserve">Jeremiah 36</t>
        </is>
      </c>
      <c r="B785" s="15">
        <v>781</v>
      </c>
      <c r="C785" s="15" t="inlineStr">
        <is>
          <t xml:space="preserve">Old Testament</t>
        </is>
      </c>
      <c r="D785" s="15">
        <v>24</v>
      </c>
      <c r="E785" s="15" t="inlineStr">
        <is>
          <t xml:space="preserve">Jeremiah</t>
        </is>
      </c>
      <c r="F785" s="15">
        <v>36</v>
      </c>
      <c r="G785" s="15" t="inlineStr">
        <is>
          <t xml:space="preserve">v0.4</t>
        </is>
      </c>
      <c r="H785" s="15" t="inlineStr">
        <is>
          <t xml:space="preserve">Bible_Journey_Canon_Map_v0_4_Prophets_Exile.xlsx</t>
        </is>
      </c>
      <c r="I785" s="15" t="inlineStr">
        <is>
          <t xml:space="preserve">Chapter Map</t>
        </is>
      </c>
      <c r="J785" s="15" t="inlineStr">
        <is>
          <t xml:space="preserve">CRS-04-028</t>
        </is>
      </c>
      <c r="K785" s="15" t="inlineStr">
        <is>
          <t xml:space="preserve">RB-04-029</t>
        </is>
      </c>
      <c r="L785" s="15" t="inlineStr">
        <is>
          <t xml:space="preserve">Main Stream</t>
        </is>
      </c>
      <c r="M785" s="15" t="inlineStr">
        <is>
          <t xml:space="preserve">Not reviewed</t>
        </is>
      </c>
      <c r="N785" s="15" t="inlineStr">
        <is>
          <t xml:space="preserve">S1; S5; S6</t>
        </is>
      </c>
      <c r="O785" s="15">
        <v>1</v>
      </c>
      <c r="P785" s="10" t="str">
        <f>IF(L785="MISSING","MISSING",IF(O785=1,"PASS","DUPLICATE"))</f>
        <v>PASS</v>
      </c>
    </row>
    <row r="786" ht="22" customHeight="1">
      <c r="A786" s="15" t="inlineStr">
        <is>
          <t xml:space="preserve">Jeremiah 37</t>
        </is>
      </c>
      <c r="B786" s="15">
        <v>782</v>
      </c>
      <c r="C786" s="15" t="inlineStr">
        <is>
          <t xml:space="preserve">Old Testament</t>
        </is>
      </c>
      <c r="D786" s="15">
        <v>24</v>
      </c>
      <c r="E786" s="15" t="inlineStr">
        <is>
          <t xml:space="preserve">Jeremiah</t>
        </is>
      </c>
      <c r="F786" s="15">
        <v>37</v>
      </c>
      <c r="G786" s="15" t="inlineStr">
        <is>
          <t xml:space="preserve">v0.4</t>
        </is>
      </c>
      <c r="H786" s="15" t="inlineStr">
        <is>
          <t xml:space="preserve">Bible_Journey_Canon_Map_v0_4_Prophets_Exile.xlsx</t>
        </is>
      </c>
      <c r="I786" s="15" t="inlineStr">
        <is>
          <t xml:space="preserve">Chapter Map</t>
        </is>
      </c>
      <c r="J786" s="15" t="inlineStr">
        <is>
          <t xml:space="preserve">CRS-04-039</t>
        </is>
      </c>
      <c r="K786" s="15" t="inlineStr">
        <is>
          <t xml:space="preserve">RB-04-041</t>
        </is>
      </c>
      <c r="L786" s="15" t="inlineStr">
        <is>
          <t xml:space="preserve">Main Stream</t>
        </is>
      </c>
      <c r="M786" s="15" t="inlineStr">
        <is>
          <t xml:space="preserve">Not reviewed</t>
        </is>
      </c>
      <c r="N786" s="15" t="inlineStr">
        <is>
          <t xml:space="preserve">S1; S5</t>
        </is>
      </c>
      <c r="O786" s="15">
        <v>1</v>
      </c>
      <c r="P786" s="10" t="str">
        <f>IF(L786="MISSING","MISSING",IF(O786=1,"PASS","DUPLICATE"))</f>
        <v>PASS</v>
      </c>
    </row>
    <row r="787" ht="22" customHeight="1">
      <c r="A787" s="15" t="inlineStr">
        <is>
          <t xml:space="preserve">Jeremiah 38</t>
        </is>
      </c>
      <c r="B787" s="15">
        <v>783</v>
      </c>
      <c r="C787" s="15" t="inlineStr">
        <is>
          <t xml:space="preserve">Old Testament</t>
        </is>
      </c>
      <c r="D787" s="15">
        <v>24</v>
      </c>
      <c r="E787" s="15" t="inlineStr">
        <is>
          <t xml:space="preserve">Jeremiah</t>
        </is>
      </c>
      <c r="F787" s="15">
        <v>38</v>
      </c>
      <c r="G787" s="15" t="inlineStr">
        <is>
          <t xml:space="preserve">v0.4</t>
        </is>
      </c>
      <c r="H787" s="15" t="inlineStr">
        <is>
          <t xml:space="preserve">Bible_Journey_Canon_Map_v0_4_Prophets_Exile.xlsx</t>
        </is>
      </c>
      <c r="I787" s="15" t="inlineStr">
        <is>
          <t xml:space="preserve">Chapter Map</t>
        </is>
      </c>
      <c r="J787" s="15" t="inlineStr">
        <is>
          <t xml:space="preserve">CRS-04-039</t>
        </is>
      </c>
      <c r="K787" s="15" t="inlineStr">
        <is>
          <t xml:space="preserve">RB-04-041</t>
        </is>
      </c>
      <c r="L787" s="15" t="inlineStr">
        <is>
          <t xml:space="preserve">Main Stream</t>
        </is>
      </c>
      <c r="M787" s="15" t="inlineStr">
        <is>
          <t xml:space="preserve">Not reviewed</t>
        </is>
      </c>
      <c r="N787" s="15" t="inlineStr">
        <is>
          <t xml:space="preserve">S1; S5</t>
        </is>
      </c>
      <c r="O787" s="15">
        <v>1</v>
      </c>
      <c r="P787" s="10" t="str">
        <f>IF(L787="MISSING","MISSING",IF(O787=1,"PASS","DUPLICATE"))</f>
        <v>PASS</v>
      </c>
    </row>
    <row r="788" ht="22" customHeight="1">
      <c r="A788" s="15" t="inlineStr">
        <is>
          <t xml:space="preserve">Jeremiah 39</t>
        </is>
      </c>
      <c r="B788" s="15">
        <v>784</v>
      </c>
      <c r="C788" s="15" t="inlineStr">
        <is>
          <t xml:space="preserve">Old Testament</t>
        </is>
      </c>
      <c r="D788" s="15">
        <v>24</v>
      </c>
      <c r="E788" s="15" t="inlineStr">
        <is>
          <t xml:space="preserve">Jeremiah</t>
        </is>
      </c>
      <c r="F788" s="15">
        <v>39</v>
      </c>
      <c r="G788" s="15" t="inlineStr">
        <is>
          <t xml:space="preserve">v0.4</t>
        </is>
      </c>
      <c r="H788" s="15" t="inlineStr">
        <is>
          <t xml:space="preserve">Bible_Journey_Canon_Map_v0_4_Prophets_Exile.xlsx</t>
        </is>
      </c>
      <c r="I788" s="15" t="inlineStr">
        <is>
          <t xml:space="preserve">Chapter Map</t>
        </is>
      </c>
      <c r="J788" s="15" t="inlineStr">
        <is>
          <t xml:space="preserve">CRS-04-039</t>
        </is>
      </c>
      <c r="K788" s="15" t="inlineStr">
        <is>
          <t xml:space="preserve">RB-04-041</t>
        </is>
      </c>
      <c r="L788" s="15" t="inlineStr">
        <is>
          <t xml:space="preserve">Main Stream</t>
        </is>
      </c>
      <c r="M788" s="15" t="inlineStr">
        <is>
          <t xml:space="preserve">Not reviewed</t>
        </is>
      </c>
      <c r="N788" s="15" t="inlineStr">
        <is>
          <t xml:space="preserve">S1; S5</t>
        </is>
      </c>
      <c r="O788" s="15">
        <v>1</v>
      </c>
      <c r="P788" s="10" t="str">
        <f>IF(L788="MISSING","MISSING",IF(O788=1,"PASS","DUPLICATE"))</f>
        <v>PASS</v>
      </c>
    </row>
    <row r="789" ht="22" customHeight="1">
      <c r="A789" s="15" t="inlineStr">
        <is>
          <t xml:space="preserve">Jeremiah 40</t>
        </is>
      </c>
      <c r="B789" s="15">
        <v>785</v>
      </c>
      <c r="C789" s="15" t="inlineStr">
        <is>
          <t xml:space="preserve">Old Testament</t>
        </is>
      </c>
      <c r="D789" s="15">
        <v>24</v>
      </c>
      <c r="E789" s="15" t="inlineStr">
        <is>
          <t xml:space="preserve">Jeremiah</t>
        </is>
      </c>
      <c r="F789" s="15">
        <v>40</v>
      </c>
      <c r="G789" s="15" t="inlineStr">
        <is>
          <t xml:space="preserve">v0.4</t>
        </is>
      </c>
      <c r="H789" s="15" t="inlineStr">
        <is>
          <t xml:space="preserve">Bible_Journey_Canon_Map_v0_4_Prophets_Exile.xlsx</t>
        </is>
      </c>
      <c r="I789" s="15" t="inlineStr">
        <is>
          <t xml:space="preserve">Chapter Map</t>
        </is>
      </c>
      <c r="J789" s="15" t="inlineStr">
        <is>
          <t xml:space="preserve">CRS-04-040</t>
        </is>
      </c>
      <c r="K789" s="15" t="inlineStr">
        <is>
          <t xml:space="preserve">RB-04-042</t>
        </is>
      </c>
      <c r="L789" s="15" t="inlineStr">
        <is>
          <t xml:space="preserve">Main Stream</t>
        </is>
      </c>
      <c r="M789" s="15" t="inlineStr">
        <is>
          <t xml:space="preserve">Not reviewed</t>
        </is>
      </c>
      <c r="N789" s="15" t="inlineStr">
        <is>
          <t xml:space="preserve">S1; S5</t>
        </is>
      </c>
      <c r="O789" s="15">
        <v>1</v>
      </c>
      <c r="P789" s="10" t="str">
        <f>IF(L789="MISSING","MISSING",IF(O789=1,"PASS","DUPLICATE"))</f>
        <v>PASS</v>
      </c>
    </row>
    <row r="790" ht="22" customHeight="1">
      <c r="A790" s="15" t="inlineStr">
        <is>
          <t xml:space="preserve">Jeremiah 41</t>
        </is>
      </c>
      <c r="B790" s="15">
        <v>786</v>
      </c>
      <c r="C790" s="15" t="inlineStr">
        <is>
          <t xml:space="preserve">Old Testament</t>
        </is>
      </c>
      <c r="D790" s="15">
        <v>24</v>
      </c>
      <c r="E790" s="15" t="inlineStr">
        <is>
          <t xml:space="preserve">Jeremiah</t>
        </is>
      </c>
      <c r="F790" s="15">
        <v>41</v>
      </c>
      <c r="G790" s="15" t="inlineStr">
        <is>
          <t xml:space="preserve">v0.4</t>
        </is>
      </c>
      <c r="H790" s="15" t="inlineStr">
        <is>
          <t xml:space="preserve">Bible_Journey_Canon_Map_v0_4_Prophets_Exile.xlsx</t>
        </is>
      </c>
      <c r="I790" s="15" t="inlineStr">
        <is>
          <t xml:space="preserve">Chapter Map</t>
        </is>
      </c>
      <c r="J790" s="15" t="inlineStr">
        <is>
          <t xml:space="preserve">CRS-04-040</t>
        </is>
      </c>
      <c r="K790" s="15" t="inlineStr">
        <is>
          <t xml:space="preserve">RB-04-042</t>
        </is>
      </c>
      <c r="L790" s="15" t="inlineStr">
        <is>
          <t xml:space="preserve">Main Stream</t>
        </is>
      </c>
      <c r="M790" s="15" t="inlineStr">
        <is>
          <t xml:space="preserve">Not reviewed</t>
        </is>
      </c>
      <c r="N790" s="15" t="inlineStr">
        <is>
          <t xml:space="preserve">S1; S5</t>
        </is>
      </c>
      <c r="O790" s="15">
        <v>1</v>
      </c>
      <c r="P790" s="10" t="str">
        <f>IF(L790="MISSING","MISSING",IF(O790=1,"PASS","DUPLICATE"))</f>
        <v>PASS</v>
      </c>
    </row>
    <row r="791" ht="22" customHeight="1">
      <c r="A791" s="15" t="inlineStr">
        <is>
          <t xml:space="preserve">Jeremiah 42</t>
        </is>
      </c>
      <c r="B791" s="15">
        <v>787</v>
      </c>
      <c r="C791" s="15" t="inlineStr">
        <is>
          <t xml:space="preserve">Old Testament</t>
        </is>
      </c>
      <c r="D791" s="15">
        <v>24</v>
      </c>
      <c r="E791" s="15" t="inlineStr">
        <is>
          <t xml:space="preserve">Jeremiah</t>
        </is>
      </c>
      <c r="F791" s="15">
        <v>42</v>
      </c>
      <c r="G791" s="15" t="inlineStr">
        <is>
          <t xml:space="preserve">v0.4</t>
        </is>
      </c>
      <c r="H791" s="15" t="inlineStr">
        <is>
          <t xml:space="preserve">Bible_Journey_Canon_Map_v0_4_Prophets_Exile.xlsx</t>
        </is>
      </c>
      <c r="I791" s="15" t="inlineStr">
        <is>
          <t xml:space="preserve">Chapter Map</t>
        </is>
      </c>
      <c r="J791" s="15" t="inlineStr">
        <is>
          <t xml:space="preserve">CRS-04-041</t>
        </is>
      </c>
      <c r="K791" s="15" t="inlineStr">
        <is>
          <t xml:space="preserve">RB-04-043</t>
        </is>
      </c>
      <c r="L791" s="15" t="inlineStr">
        <is>
          <t xml:space="preserve">Main Stream</t>
        </is>
      </c>
      <c r="M791" s="15" t="inlineStr">
        <is>
          <t xml:space="preserve">Not reviewed</t>
        </is>
      </c>
      <c r="N791" s="15" t="inlineStr">
        <is>
          <t xml:space="preserve">S1; S5</t>
        </is>
      </c>
      <c r="O791" s="15">
        <v>1</v>
      </c>
      <c r="P791" s="10" t="str">
        <f>IF(L791="MISSING","MISSING",IF(O791=1,"PASS","DUPLICATE"))</f>
        <v>PASS</v>
      </c>
    </row>
    <row r="792" ht="22" customHeight="1">
      <c r="A792" s="15" t="inlineStr">
        <is>
          <t xml:space="preserve">Jeremiah 43</t>
        </is>
      </c>
      <c r="B792" s="15">
        <v>788</v>
      </c>
      <c r="C792" s="15" t="inlineStr">
        <is>
          <t xml:space="preserve">Old Testament</t>
        </is>
      </c>
      <c r="D792" s="15">
        <v>24</v>
      </c>
      <c r="E792" s="15" t="inlineStr">
        <is>
          <t xml:space="preserve">Jeremiah</t>
        </is>
      </c>
      <c r="F792" s="15">
        <v>43</v>
      </c>
      <c r="G792" s="15" t="inlineStr">
        <is>
          <t xml:space="preserve">v0.4</t>
        </is>
      </c>
      <c r="H792" s="15" t="inlineStr">
        <is>
          <t xml:space="preserve">Bible_Journey_Canon_Map_v0_4_Prophets_Exile.xlsx</t>
        </is>
      </c>
      <c r="I792" s="15" t="inlineStr">
        <is>
          <t xml:space="preserve">Chapter Map</t>
        </is>
      </c>
      <c r="J792" s="15" t="inlineStr">
        <is>
          <t xml:space="preserve">CRS-04-041</t>
        </is>
      </c>
      <c r="K792" s="15" t="inlineStr">
        <is>
          <t xml:space="preserve">RB-04-043</t>
        </is>
      </c>
      <c r="L792" s="15" t="inlineStr">
        <is>
          <t xml:space="preserve">Main Stream</t>
        </is>
      </c>
      <c r="M792" s="15" t="inlineStr">
        <is>
          <t xml:space="preserve">Not reviewed</t>
        </is>
      </c>
      <c r="N792" s="15" t="inlineStr">
        <is>
          <t xml:space="preserve">S1; S5</t>
        </is>
      </c>
      <c r="O792" s="15">
        <v>1</v>
      </c>
      <c r="P792" s="10" t="str">
        <f>IF(L792="MISSING","MISSING",IF(O792=1,"PASS","DUPLICATE"))</f>
        <v>PASS</v>
      </c>
    </row>
    <row r="793" ht="22" customHeight="1">
      <c r="A793" s="15" t="inlineStr">
        <is>
          <t xml:space="preserve">Jeremiah 44</t>
        </is>
      </c>
      <c r="B793" s="15">
        <v>789</v>
      </c>
      <c r="C793" s="15" t="inlineStr">
        <is>
          <t xml:space="preserve">Old Testament</t>
        </is>
      </c>
      <c r="D793" s="15">
        <v>24</v>
      </c>
      <c r="E793" s="15" t="inlineStr">
        <is>
          <t xml:space="preserve">Jeremiah</t>
        </is>
      </c>
      <c r="F793" s="15">
        <v>44</v>
      </c>
      <c r="G793" s="15" t="inlineStr">
        <is>
          <t xml:space="preserve">v0.4</t>
        </is>
      </c>
      <c r="H793" s="15" t="inlineStr">
        <is>
          <t xml:space="preserve">Bible_Journey_Canon_Map_v0_4_Prophets_Exile.xlsx</t>
        </is>
      </c>
      <c r="I793" s="15" t="inlineStr">
        <is>
          <t xml:space="preserve">Chapter Map</t>
        </is>
      </c>
      <c r="J793" s="15" t="inlineStr">
        <is>
          <t xml:space="preserve">CRS-04-041</t>
        </is>
      </c>
      <c r="K793" s="15" t="inlineStr">
        <is>
          <t xml:space="preserve">RB-04-043</t>
        </is>
      </c>
      <c r="L793" s="15" t="inlineStr">
        <is>
          <t xml:space="preserve">Main Stream</t>
        </is>
      </c>
      <c r="M793" s="15" t="inlineStr">
        <is>
          <t xml:space="preserve">Not reviewed</t>
        </is>
      </c>
      <c r="N793" s="15" t="inlineStr">
        <is>
          <t xml:space="preserve">S1; S5</t>
        </is>
      </c>
      <c r="O793" s="15">
        <v>1</v>
      </c>
      <c r="P793" s="10" t="str">
        <f>IF(L793="MISSING","MISSING",IF(O793=1,"PASS","DUPLICATE"))</f>
        <v>PASS</v>
      </c>
    </row>
    <row r="794" ht="22" customHeight="1">
      <c r="A794" s="15" t="inlineStr">
        <is>
          <t xml:space="preserve">Jeremiah 45</t>
        </is>
      </c>
      <c r="B794" s="15">
        <v>790</v>
      </c>
      <c r="C794" s="15" t="inlineStr">
        <is>
          <t xml:space="preserve">Old Testament</t>
        </is>
      </c>
      <c r="D794" s="15">
        <v>24</v>
      </c>
      <c r="E794" s="15" t="inlineStr">
        <is>
          <t xml:space="preserve">Jeremiah</t>
        </is>
      </c>
      <c r="F794" s="15">
        <v>45</v>
      </c>
      <c r="G794" s="15" t="inlineStr">
        <is>
          <t xml:space="preserve">v0.4</t>
        </is>
      </c>
      <c r="H794" s="15" t="inlineStr">
        <is>
          <t xml:space="preserve">Bible_Journey_Canon_Map_v0_4_Prophets_Exile.xlsx</t>
        </is>
      </c>
      <c r="I794" s="15" t="inlineStr">
        <is>
          <t xml:space="preserve">Chapter Map</t>
        </is>
      </c>
      <c r="J794" s="15" t="inlineStr">
        <is>
          <t xml:space="preserve">CRS-04-028</t>
        </is>
      </c>
      <c r="K794" s="15" t="inlineStr">
        <is>
          <t xml:space="preserve">RB-04-030</t>
        </is>
      </c>
      <c r="L794" s="15" t="inlineStr">
        <is>
          <t xml:space="preserve">Main Stream</t>
        </is>
      </c>
      <c r="M794" s="15" t="inlineStr">
        <is>
          <t xml:space="preserve">Not reviewed</t>
        </is>
      </c>
      <c r="N794" s="15" t="inlineStr">
        <is>
          <t xml:space="preserve">S1; S5; S6</t>
        </is>
      </c>
      <c r="O794" s="15">
        <v>1</v>
      </c>
      <c r="P794" s="10" t="str">
        <f>IF(L794="MISSING","MISSING",IF(O794=1,"PASS","DUPLICATE"))</f>
        <v>PASS</v>
      </c>
    </row>
    <row r="795" ht="22" customHeight="1">
      <c r="A795" s="15" t="inlineStr">
        <is>
          <t xml:space="preserve">Jeremiah 46</t>
        </is>
      </c>
      <c r="B795" s="15">
        <v>791</v>
      </c>
      <c r="C795" s="15" t="inlineStr">
        <is>
          <t xml:space="preserve">Old Testament</t>
        </is>
      </c>
      <c r="D795" s="15">
        <v>24</v>
      </c>
      <c r="E795" s="15" t="inlineStr">
        <is>
          <t xml:space="preserve">Jeremiah</t>
        </is>
      </c>
      <c r="F795" s="15">
        <v>46</v>
      </c>
      <c r="G795" s="15" t="inlineStr">
        <is>
          <t xml:space="preserve">v0.4</t>
        </is>
      </c>
      <c r="H795" s="15" t="inlineStr">
        <is>
          <t xml:space="preserve">Bible_Journey_Canon_Map_v0_4_Prophets_Exile.xlsx</t>
        </is>
      </c>
      <c r="I795" s="15" t="inlineStr">
        <is>
          <t xml:space="preserve">Chapter Map</t>
        </is>
      </c>
      <c r="J795" s="15" t="inlineStr">
        <is>
          <t xml:space="preserve">CRS-04-029</t>
        </is>
      </c>
      <c r="K795" s="15" t="inlineStr">
        <is>
          <t xml:space="preserve">RB-04-031</t>
        </is>
      </c>
      <c r="L795" s="15" t="inlineStr">
        <is>
          <t xml:space="preserve">Main Stream</t>
        </is>
      </c>
      <c r="M795" s="15" t="inlineStr">
        <is>
          <t xml:space="preserve">Not reviewed</t>
        </is>
      </c>
      <c r="N795" s="15" t="inlineStr">
        <is>
          <t xml:space="preserve">S5; S6; S7</t>
        </is>
      </c>
      <c r="O795" s="15">
        <v>1</v>
      </c>
      <c r="P795" s="10" t="str">
        <f>IF(L795="MISSING","MISSING",IF(O795=1,"PASS","DUPLICATE"))</f>
        <v>PASS</v>
      </c>
    </row>
    <row r="796" ht="22" customHeight="1">
      <c r="A796" s="15" t="inlineStr">
        <is>
          <t xml:space="preserve">Jeremiah 47</t>
        </is>
      </c>
      <c r="B796" s="15">
        <v>792</v>
      </c>
      <c r="C796" s="15" t="inlineStr">
        <is>
          <t xml:space="preserve">Old Testament</t>
        </is>
      </c>
      <c r="D796" s="15">
        <v>24</v>
      </c>
      <c r="E796" s="15" t="inlineStr">
        <is>
          <t xml:space="preserve">Jeremiah</t>
        </is>
      </c>
      <c r="F796" s="15">
        <v>47</v>
      </c>
      <c r="G796" s="15" t="inlineStr">
        <is>
          <t xml:space="preserve">v0.4</t>
        </is>
      </c>
      <c r="H796" s="15" t="inlineStr">
        <is>
          <t xml:space="preserve">Bible_Journey_Canon_Map_v0_4_Prophets_Exile.xlsx</t>
        </is>
      </c>
      <c r="I796" s="15" t="inlineStr">
        <is>
          <t xml:space="preserve">Chapter Map</t>
        </is>
      </c>
      <c r="J796" s="15" t="inlineStr">
        <is>
          <t xml:space="preserve">CRS-04-029</t>
        </is>
      </c>
      <c r="K796" s="15" t="inlineStr">
        <is>
          <t xml:space="preserve">RB-04-031</t>
        </is>
      </c>
      <c r="L796" s="15" t="inlineStr">
        <is>
          <t xml:space="preserve">Main Stream</t>
        </is>
      </c>
      <c r="M796" s="15" t="inlineStr">
        <is>
          <t xml:space="preserve">Not reviewed</t>
        </is>
      </c>
      <c r="N796" s="15" t="inlineStr">
        <is>
          <t xml:space="preserve">S5; S6; S7</t>
        </is>
      </c>
      <c r="O796" s="15">
        <v>1</v>
      </c>
      <c r="P796" s="10" t="str">
        <f>IF(L796="MISSING","MISSING",IF(O796=1,"PASS","DUPLICATE"))</f>
        <v>PASS</v>
      </c>
    </row>
    <row r="797" ht="22" customHeight="1">
      <c r="A797" s="15" t="inlineStr">
        <is>
          <t xml:space="preserve">Jeremiah 48</t>
        </is>
      </c>
      <c r="B797" s="15">
        <v>793</v>
      </c>
      <c r="C797" s="15" t="inlineStr">
        <is>
          <t xml:space="preserve">Old Testament</t>
        </is>
      </c>
      <c r="D797" s="15">
        <v>24</v>
      </c>
      <c r="E797" s="15" t="inlineStr">
        <is>
          <t xml:space="preserve">Jeremiah</t>
        </is>
      </c>
      <c r="F797" s="15">
        <v>48</v>
      </c>
      <c r="G797" s="15" t="inlineStr">
        <is>
          <t xml:space="preserve">v0.4</t>
        </is>
      </c>
      <c r="H797" s="15" t="inlineStr">
        <is>
          <t xml:space="preserve">Bible_Journey_Canon_Map_v0_4_Prophets_Exile.xlsx</t>
        </is>
      </c>
      <c r="I797" s="15" t="inlineStr">
        <is>
          <t xml:space="preserve">Chapter Map</t>
        </is>
      </c>
      <c r="J797" s="15" t="inlineStr">
        <is>
          <t xml:space="preserve">CRS-04-029</t>
        </is>
      </c>
      <c r="K797" s="15" t="inlineStr">
        <is>
          <t xml:space="preserve">RB-04-031</t>
        </is>
      </c>
      <c r="L797" s="15" t="inlineStr">
        <is>
          <t xml:space="preserve">Main Stream</t>
        </is>
      </c>
      <c r="M797" s="15" t="inlineStr">
        <is>
          <t xml:space="preserve">Not reviewed</t>
        </is>
      </c>
      <c r="N797" s="15" t="inlineStr">
        <is>
          <t xml:space="preserve">S5; S6; S7</t>
        </is>
      </c>
      <c r="O797" s="15">
        <v>1</v>
      </c>
      <c r="P797" s="10" t="str">
        <f>IF(L797="MISSING","MISSING",IF(O797=1,"PASS","DUPLICATE"))</f>
        <v>PASS</v>
      </c>
    </row>
    <row r="798" ht="22" customHeight="1">
      <c r="A798" s="15" t="inlineStr">
        <is>
          <t xml:space="preserve">Jeremiah 49</t>
        </is>
      </c>
      <c r="B798" s="15">
        <v>794</v>
      </c>
      <c r="C798" s="15" t="inlineStr">
        <is>
          <t xml:space="preserve">Old Testament</t>
        </is>
      </c>
      <c r="D798" s="15">
        <v>24</v>
      </c>
      <c r="E798" s="15" t="inlineStr">
        <is>
          <t xml:space="preserve">Jeremiah</t>
        </is>
      </c>
      <c r="F798" s="15">
        <v>49</v>
      </c>
      <c r="G798" s="15" t="inlineStr">
        <is>
          <t xml:space="preserve">v0.4</t>
        </is>
      </c>
      <c r="H798" s="15" t="inlineStr">
        <is>
          <t xml:space="preserve">Bible_Journey_Canon_Map_v0_4_Prophets_Exile.xlsx</t>
        </is>
      </c>
      <c r="I798" s="15" t="inlineStr">
        <is>
          <t xml:space="preserve">Chapter Map</t>
        </is>
      </c>
      <c r="J798" s="15" t="inlineStr">
        <is>
          <t xml:space="preserve">CRS-04-029</t>
        </is>
      </c>
      <c r="K798" s="15" t="inlineStr">
        <is>
          <t xml:space="preserve">RB-04-031</t>
        </is>
      </c>
      <c r="L798" s="15" t="inlineStr">
        <is>
          <t xml:space="preserve">Main Stream</t>
        </is>
      </c>
      <c r="M798" s="15" t="inlineStr">
        <is>
          <t xml:space="preserve">Not reviewed</t>
        </is>
      </c>
      <c r="N798" s="15" t="inlineStr">
        <is>
          <t xml:space="preserve">S5; S6; S7</t>
        </is>
      </c>
      <c r="O798" s="15">
        <v>1</v>
      </c>
      <c r="P798" s="10" t="str">
        <f>IF(L798="MISSING","MISSING",IF(O798=1,"PASS","DUPLICATE"))</f>
        <v>PASS</v>
      </c>
    </row>
    <row r="799" ht="22" customHeight="1">
      <c r="A799" s="15" t="inlineStr">
        <is>
          <t xml:space="preserve">Jeremiah 50</t>
        </is>
      </c>
      <c r="B799" s="15">
        <v>795</v>
      </c>
      <c r="C799" s="15" t="inlineStr">
        <is>
          <t xml:space="preserve">Old Testament</t>
        </is>
      </c>
      <c r="D799" s="15">
        <v>24</v>
      </c>
      <c r="E799" s="15" t="inlineStr">
        <is>
          <t xml:space="preserve">Jeremiah</t>
        </is>
      </c>
      <c r="F799" s="15">
        <v>50</v>
      </c>
      <c r="G799" s="15" t="inlineStr">
        <is>
          <t xml:space="preserve">v0.4</t>
        </is>
      </c>
      <c r="H799" s="15" t="inlineStr">
        <is>
          <t xml:space="preserve">Bible_Journey_Canon_Map_v0_4_Prophets_Exile.xlsx</t>
        </is>
      </c>
      <c r="I799" s="15" t="inlineStr">
        <is>
          <t xml:space="preserve">Chapter Map</t>
        </is>
      </c>
      <c r="J799" s="15" t="inlineStr">
        <is>
          <t xml:space="preserve">CRS-04-029</t>
        </is>
      </c>
      <c r="K799" s="15" t="inlineStr">
        <is>
          <t xml:space="preserve">RB-04-031</t>
        </is>
      </c>
      <c r="L799" s="15" t="inlineStr">
        <is>
          <t xml:space="preserve">Main Stream</t>
        </is>
      </c>
      <c r="M799" s="15" t="inlineStr">
        <is>
          <t xml:space="preserve">Not reviewed</t>
        </is>
      </c>
      <c r="N799" s="15" t="inlineStr">
        <is>
          <t xml:space="preserve">S5; S6; S7</t>
        </is>
      </c>
      <c r="O799" s="15">
        <v>1</v>
      </c>
      <c r="P799" s="10" t="str">
        <f>IF(L799="MISSING","MISSING",IF(O799=1,"PASS","DUPLICATE"))</f>
        <v>PASS</v>
      </c>
    </row>
    <row r="800" ht="22" customHeight="1">
      <c r="A800" s="15" t="inlineStr">
        <is>
          <t xml:space="preserve">Jeremiah 51</t>
        </is>
      </c>
      <c r="B800" s="15">
        <v>796</v>
      </c>
      <c r="C800" s="15" t="inlineStr">
        <is>
          <t xml:space="preserve">Old Testament</t>
        </is>
      </c>
      <c r="D800" s="15">
        <v>24</v>
      </c>
      <c r="E800" s="15" t="inlineStr">
        <is>
          <t xml:space="preserve">Jeremiah</t>
        </is>
      </c>
      <c r="F800" s="15">
        <v>51</v>
      </c>
      <c r="G800" s="15" t="inlineStr">
        <is>
          <t xml:space="preserve">v0.4</t>
        </is>
      </c>
      <c r="H800" s="15" t="inlineStr">
        <is>
          <t xml:space="preserve">Bible_Journey_Canon_Map_v0_4_Prophets_Exile.xlsx</t>
        </is>
      </c>
      <c r="I800" s="15" t="inlineStr">
        <is>
          <t xml:space="preserve">Chapter Map</t>
        </is>
      </c>
      <c r="J800" s="15" t="inlineStr">
        <is>
          <t xml:space="preserve">CRS-04-029</t>
        </is>
      </c>
      <c r="K800" s="15" t="inlineStr">
        <is>
          <t xml:space="preserve">RB-04-031</t>
        </is>
      </c>
      <c r="L800" s="15" t="inlineStr">
        <is>
          <t xml:space="preserve">Main Stream</t>
        </is>
      </c>
      <c r="M800" s="15" t="inlineStr">
        <is>
          <t xml:space="preserve">Not reviewed</t>
        </is>
      </c>
      <c r="N800" s="15" t="inlineStr">
        <is>
          <t xml:space="preserve">S5; S6; S7</t>
        </is>
      </c>
      <c r="O800" s="15">
        <v>1</v>
      </c>
      <c r="P800" s="10" t="str">
        <f>IF(L800="MISSING","MISSING",IF(O800=1,"PASS","DUPLICATE"))</f>
        <v>PASS</v>
      </c>
    </row>
    <row r="801" ht="22" customHeight="1">
      <c r="A801" s="15" t="inlineStr">
        <is>
          <t xml:space="preserve">Jeremiah 52</t>
        </is>
      </c>
      <c r="B801" s="15">
        <v>797</v>
      </c>
      <c r="C801" s="15" t="inlineStr">
        <is>
          <t xml:space="preserve">Old Testament</t>
        </is>
      </c>
      <c r="D801" s="15">
        <v>24</v>
      </c>
      <c r="E801" s="15" t="inlineStr">
        <is>
          <t xml:space="preserve">Jeremiah</t>
        </is>
      </c>
      <c r="F801" s="15">
        <v>52</v>
      </c>
      <c r="G801" s="15" t="inlineStr">
        <is>
          <t xml:space="preserve">v0.4</t>
        </is>
      </c>
      <c r="H801" s="15" t="inlineStr">
        <is>
          <t xml:space="preserve">Bible_Journey_Canon_Map_v0_4_Prophets_Exile.xlsx</t>
        </is>
      </c>
      <c r="I801" s="15" t="inlineStr">
        <is>
          <t xml:space="preserve">Chapter Map</t>
        </is>
      </c>
      <c r="J801" s="15" t="inlineStr">
        <is>
          <t xml:space="preserve">CRS-04-042</t>
        </is>
      </c>
      <c r="K801" s="15" t="inlineStr">
        <is>
          <t xml:space="preserve">RB-04-044</t>
        </is>
      </c>
      <c r="L801" s="15" t="inlineStr">
        <is>
          <t xml:space="preserve">Main Stream</t>
        </is>
      </c>
      <c r="M801" s="15" t="inlineStr">
        <is>
          <t xml:space="preserve">Not reviewed</t>
        </is>
      </c>
      <c r="N801" s="15" t="inlineStr">
        <is>
          <t xml:space="preserve">S1; S5; S6</t>
        </is>
      </c>
      <c r="O801" s="15">
        <v>1</v>
      </c>
      <c r="P801" s="10" t="str">
        <f>IF(L801="MISSING","MISSING",IF(O801=1,"PASS","DUPLICATE"))</f>
        <v>PASS</v>
      </c>
    </row>
    <row r="802" ht="22" customHeight="1">
      <c r="A802" s="15" t="inlineStr">
        <is>
          <t xml:space="preserve">Lamentations 1</t>
        </is>
      </c>
      <c r="B802" s="15">
        <v>798</v>
      </c>
      <c r="C802" s="15" t="inlineStr">
        <is>
          <t xml:space="preserve">Old Testament</t>
        </is>
      </c>
      <c r="D802" s="15">
        <v>25</v>
      </c>
      <c r="E802" s="15" t="inlineStr">
        <is>
          <t xml:space="preserve">Lamentations</t>
        </is>
      </c>
      <c r="F802" s="15">
        <v>1</v>
      </c>
      <c r="G802" s="15" t="inlineStr">
        <is>
          <t xml:space="preserve">v0.4</t>
        </is>
      </c>
      <c r="H802" s="15" t="inlineStr">
        <is>
          <t xml:space="preserve">Bible_Journey_Canon_Map_v0_4_Prophets_Exile.xlsx</t>
        </is>
      </c>
      <c r="I802" s="15" t="inlineStr">
        <is>
          <t xml:space="preserve">Chapter Map</t>
        </is>
      </c>
      <c r="J802" s="15" t="inlineStr">
        <is>
          <t xml:space="preserve">CRS-04-043</t>
        </is>
      </c>
      <c r="K802" s="15" t="inlineStr">
        <is>
          <t xml:space="preserve">RB-04-045</t>
        </is>
      </c>
      <c r="L802" s="15" t="inlineStr">
        <is>
          <t xml:space="preserve">Main Stream</t>
        </is>
      </c>
      <c r="M802" s="15" t="inlineStr">
        <is>
          <t xml:space="preserve">Not reviewed</t>
        </is>
      </c>
      <c r="N802" s="15" t="inlineStr">
        <is>
          <t xml:space="preserve">S5; S7</t>
        </is>
      </c>
      <c r="O802" s="15">
        <v>1</v>
      </c>
      <c r="P802" s="10" t="str">
        <f>IF(L802="MISSING","MISSING",IF(O802=1,"PASS","DUPLICATE"))</f>
        <v>PASS</v>
      </c>
    </row>
    <row r="803" ht="22" customHeight="1">
      <c r="A803" s="15" t="inlineStr">
        <is>
          <t xml:space="preserve">Lamentations 2</t>
        </is>
      </c>
      <c r="B803" s="15">
        <v>799</v>
      </c>
      <c r="C803" s="15" t="inlineStr">
        <is>
          <t xml:space="preserve">Old Testament</t>
        </is>
      </c>
      <c r="D803" s="15">
        <v>25</v>
      </c>
      <c r="E803" s="15" t="inlineStr">
        <is>
          <t xml:space="preserve">Lamentations</t>
        </is>
      </c>
      <c r="F803" s="15">
        <v>2</v>
      </c>
      <c r="G803" s="15" t="inlineStr">
        <is>
          <t xml:space="preserve">v0.4</t>
        </is>
      </c>
      <c r="H803" s="15" t="inlineStr">
        <is>
          <t xml:space="preserve">Bible_Journey_Canon_Map_v0_4_Prophets_Exile.xlsx</t>
        </is>
      </c>
      <c r="I803" s="15" t="inlineStr">
        <is>
          <t xml:space="preserve">Chapter Map</t>
        </is>
      </c>
      <c r="J803" s="15" t="inlineStr">
        <is>
          <t xml:space="preserve">CRS-04-043</t>
        </is>
      </c>
      <c r="K803" s="15" t="inlineStr">
        <is>
          <t xml:space="preserve">RB-04-045</t>
        </is>
      </c>
      <c r="L803" s="15" t="inlineStr">
        <is>
          <t xml:space="preserve">Main Stream</t>
        </is>
      </c>
      <c r="M803" s="15" t="inlineStr">
        <is>
          <t xml:space="preserve">Not reviewed</t>
        </is>
      </c>
      <c r="N803" s="15" t="inlineStr">
        <is>
          <t xml:space="preserve">S5; S7</t>
        </is>
      </c>
      <c r="O803" s="15">
        <v>1</v>
      </c>
      <c r="P803" s="10" t="str">
        <f>IF(L803="MISSING","MISSING",IF(O803=1,"PASS","DUPLICATE"))</f>
        <v>PASS</v>
      </c>
    </row>
    <row r="804" ht="22" customHeight="1">
      <c r="A804" s="15" t="inlineStr">
        <is>
          <t xml:space="preserve">Lamentations 3</t>
        </is>
      </c>
      <c r="B804" s="15">
        <v>800</v>
      </c>
      <c r="C804" s="15" t="inlineStr">
        <is>
          <t xml:space="preserve">Old Testament</t>
        </is>
      </c>
      <c r="D804" s="15">
        <v>25</v>
      </c>
      <c r="E804" s="15" t="inlineStr">
        <is>
          <t xml:space="preserve">Lamentations</t>
        </is>
      </c>
      <c r="F804" s="15">
        <v>3</v>
      </c>
      <c r="G804" s="15" t="inlineStr">
        <is>
          <t xml:space="preserve">v0.4</t>
        </is>
      </c>
      <c r="H804" s="15" t="inlineStr">
        <is>
          <t xml:space="preserve">Bible_Journey_Canon_Map_v0_4_Prophets_Exile.xlsx</t>
        </is>
      </c>
      <c r="I804" s="15" t="inlineStr">
        <is>
          <t xml:space="preserve">Chapter Map</t>
        </is>
      </c>
      <c r="J804" s="15" t="inlineStr">
        <is>
          <t xml:space="preserve">CRS-04-044</t>
        </is>
      </c>
      <c r="K804" s="15" t="inlineStr">
        <is>
          <t xml:space="preserve">RB-04-046</t>
        </is>
      </c>
      <c r="L804" s="15" t="inlineStr">
        <is>
          <t xml:space="preserve">Main Stream</t>
        </is>
      </c>
      <c r="M804" s="15" t="inlineStr">
        <is>
          <t xml:space="preserve">Not reviewed</t>
        </is>
      </c>
      <c r="N804" s="15" t="inlineStr">
        <is>
          <t xml:space="preserve">S5; S7</t>
        </is>
      </c>
      <c r="O804" s="15">
        <v>1</v>
      </c>
      <c r="P804" s="10" t="str">
        <f>IF(L804="MISSING","MISSING",IF(O804=1,"PASS","DUPLICATE"))</f>
        <v>PASS</v>
      </c>
    </row>
    <row r="805" ht="22" customHeight="1">
      <c r="A805" s="15" t="inlineStr">
        <is>
          <t xml:space="preserve">Lamentations 4</t>
        </is>
      </c>
      <c r="B805" s="15">
        <v>801</v>
      </c>
      <c r="C805" s="15" t="inlineStr">
        <is>
          <t xml:space="preserve">Old Testament</t>
        </is>
      </c>
      <c r="D805" s="15">
        <v>25</v>
      </c>
      <c r="E805" s="15" t="inlineStr">
        <is>
          <t xml:space="preserve">Lamentations</t>
        </is>
      </c>
      <c r="F805" s="15">
        <v>4</v>
      </c>
      <c r="G805" s="15" t="inlineStr">
        <is>
          <t xml:space="preserve">v0.4</t>
        </is>
      </c>
      <c r="H805" s="15" t="inlineStr">
        <is>
          <t xml:space="preserve">Bible_Journey_Canon_Map_v0_4_Prophets_Exile.xlsx</t>
        </is>
      </c>
      <c r="I805" s="15" t="inlineStr">
        <is>
          <t xml:space="preserve">Chapter Map</t>
        </is>
      </c>
      <c r="J805" s="15" t="inlineStr">
        <is>
          <t xml:space="preserve">CRS-04-045</t>
        </is>
      </c>
      <c r="K805" s="15" t="inlineStr">
        <is>
          <t xml:space="preserve">RB-04-047</t>
        </is>
      </c>
      <c r="L805" s="15" t="inlineStr">
        <is>
          <t xml:space="preserve">Main Stream</t>
        </is>
      </c>
      <c r="M805" s="15" t="inlineStr">
        <is>
          <t xml:space="preserve">Not reviewed</t>
        </is>
      </c>
      <c r="N805" s="15" t="inlineStr">
        <is>
          <t xml:space="preserve">S5; S7</t>
        </is>
      </c>
      <c r="O805" s="15">
        <v>1</v>
      </c>
      <c r="P805" s="10" t="str">
        <f>IF(L805="MISSING","MISSING",IF(O805=1,"PASS","DUPLICATE"))</f>
        <v>PASS</v>
      </c>
    </row>
    <row r="806" ht="22" customHeight="1">
      <c r="A806" s="15" t="inlineStr">
        <is>
          <t xml:space="preserve">Lamentations 5</t>
        </is>
      </c>
      <c r="B806" s="15">
        <v>802</v>
      </c>
      <c r="C806" s="15" t="inlineStr">
        <is>
          <t xml:space="preserve">Old Testament</t>
        </is>
      </c>
      <c r="D806" s="15">
        <v>25</v>
      </c>
      <c r="E806" s="15" t="inlineStr">
        <is>
          <t xml:space="preserve">Lamentations</t>
        </is>
      </c>
      <c r="F806" s="15">
        <v>5</v>
      </c>
      <c r="G806" s="15" t="inlineStr">
        <is>
          <t xml:space="preserve">v0.4</t>
        </is>
      </c>
      <c r="H806" s="15" t="inlineStr">
        <is>
          <t xml:space="preserve">Bible_Journey_Canon_Map_v0_4_Prophets_Exile.xlsx</t>
        </is>
      </c>
      <c r="I806" s="15" t="inlineStr">
        <is>
          <t xml:space="preserve">Chapter Map</t>
        </is>
      </c>
      <c r="J806" s="15" t="inlineStr">
        <is>
          <t xml:space="preserve">CRS-04-045</t>
        </is>
      </c>
      <c r="K806" s="15" t="inlineStr">
        <is>
          <t xml:space="preserve">RB-04-047</t>
        </is>
      </c>
      <c r="L806" s="15" t="inlineStr">
        <is>
          <t xml:space="preserve">Main Stream</t>
        </is>
      </c>
      <c r="M806" s="15" t="inlineStr">
        <is>
          <t xml:space="preserve">Not reviewed</t>
        </is>
      </c>
      <c r="N806" s="15" t="inlineStr">
        <is>
          <t xml:space="preserve">S5; S7</t>
        </is>
      </c>
      <c r="O806" s="15">
        <v>1</v>
      </c>
      <c r="P806" s="10" t="str">
        <f>IF(L806="MISSING","MISSING",IF(O806=1,"PASS","DUPLICATE"))</f>
        <v>PASS</v>
      </c>
    </row>
    <row r="807" ht="22" customHeight="1">
      <c r="A807" s="15" t="inlineStr">
        <is>
          <t xml:space="preserve">Ezekiel 1</t>
        </is>
      </c>
      <c r="B807" s="15">
        <v>803</v>
      </c>
      <c r="C807" s="15" t="inlineStr">
        <is>
          <t xml:space="preserve">Old Testament</t>
        </is>
      </c>
      <c r="D807" s="15">
        <v>26</v>
      </c>
      <c r="E807" s="15" t="inlineStr">
        <is>
          <t xml:space="preserve">Ezekiel</t>
        </is>
      </c>
      <c r="F807" s="15">
        <v>1</v>
      </c>
      <c r="G807" s="15" t="inlineStr">
        <is>
          <t xml:space="preserve">v0.5</t>
        </is>
      </c>
      <c r="H807" s="15" t="inlineStr">
        <is>
          <t xml:space="preserve">Bible_Journey_Canon_Map_v0_5_Exile_Return_Persia.xlsx</t>
        </is>
      </c>
      <c r="I807" s="15" t="inlineStr">
        <is>
          <t xml:space="preserve">Coverage Audit</t>
        </is>
      </c>
      <c r="J807" s="15" t="inlineStr">
        <is>
          <t xml:space="preserve">CRS-05-004</t>
        </is>
      </c>
      <c r="K807" s="15" t="inlineStr">
        <is>
          <t xml:space="preserve">BLK-05-004</t>
        </is>
      </c>
      <c r="L807" s="15" t="inlineStr">
        <is>
          <t xml:space="preserve">Covered</t>
        </is>
      </c>
      <c r="M807" s="15" t="inlineStr">
        <is>
          <t xml:space="preserve">Single reading block</t>
        </is>
      </c>
      <c r="N807" s="15"/>
      <c r="O807" s="15">
        <v>1</v>
      </c>
      <c r="P807" s="10" t="str">
        <f>IF(L807="MISSING","MISSING",IF(O807=1,"PASS","DUPLICATE"))</f>
        <v>PASS</v>
      </c>
    </row>
    <row r="808" ht="22" customHeight="1">
      <c r="A808" s="15" t="inlineStr">
        <is>
          <t xml:space="preserve">Ezekiel 2</t>
        </is>
      </c>
      <c r="B808" s="15">
        <v>804</v>
      </c>
      <c r="C808" s="15" t="inlineStr">
        <is>
          <t xml:space="preserve">Old Testament</t>
        </is>
      </c>
      <c r="D808" s="15">
        <v>26</v>
      </c>
      <c r="E808" s="15" t="inlineStr">
        <is>
          <t xml:space="preserve">Ezekiel</t>
        </is>
      </c>
      <c r="F808" s="15">
        <v>2</v>
      </c>
      <c r="G808" s="15" t="inlineStr">
        <is>
          <t xml:space="preserve">v0.5</t>
        </is>
      </c>
      <c r="H808" s="15" t="inlineStr">
        <is>
          <t xml:space="preserve">Bible_Journey_Canon_Map_v0_5_Exile_Return_Persia.xlsx</t>
        </is>
      </c>
      <c r="I808" s="15" t="inlineStr">
        <is>
          <t xml:space="preserve">Coverage Audit</t>
        </is>
      </c>
      <c r="J808" s="15" t="inlineStr">
        <is>
          <t xml:space="preserve">CRS-05-004</t>
        </is>
      </c>
      <c r="K808" s="15" t="inlineStr">
        <is>
          <t xml:space="preserve">BLK-05-004</t>
        </is>
      </c>
      <c r="L808" s="15" t="inlineStr">
        <is>
          <t xml:space="preserve">Covered</t>
        </is>
      </c>
      <c r="M808" s="15" t="inlineStr">
        <is>
          <t xml:space="preserve">Single reading block</t>
        </is>
      </c>
      <c r="N808" s="15"/>
      <c r="O808" s="15">
        <v>1</v>
      </c>
      <c r="P808" s="10" t="str">
        <f>IF(L808="MISSING","MISSING",IF(O808=1,"PASS","DUPLICATE"))</f>
        <v>PASS</v>
      </c>
    </row>
    <row r="809" ht="22" customHeight="1">
      <c r="A809" s="15" t="inlineStr">
        <is>
          <t xml:space="preserve">Ezekiel 3</t>
        </is>
      </c>
      <c r="B809" s="15">
        <v>805</v>
      </c>
      <c r="C809" s="15" t="inlineStr">
        <is>
          <t xml:space="preserve">Old Testament</t>
        </is>
      </c>
      <c r="D809" s="15">
        <v>26</v>
      </c>
      <c r="E809" s="15" t="inlineStr">
        <is>
          <t xml:space="preserve">Ezekiel</t>
        </is>
      </c>
      <c r="F809" s="15">
        <v>3</v>
      </c>
      <c r="G809" s="15" t="inlineStr">
        <is>
          <t xml:space="preserve">v0.5</t>
        </is>
      </c>
      <c r="H809" s="15" t="inlineStr">
        <is>
          <t xml:space="preserve">Bible_Journey_Canon_Map_v0_5_Exile_Return_Persia.xlsx</t>
        </is>
      </c>
      <c r="I809" s="15" t="inlineStr">
        <is>
          <t xml:space="preserve">Coverage Audit</t>
        </is>
      </c>
      <c r="J809" s="15" t="inlineStr">
        <is>
          <t xml:space="preserve">CRS-05-004</t>
        </is>
      </c>
      <c r="K809" s="15" t="inlineStr">
        <is>
          <t xml:space="preserve">BLK-05-004, BLK-05-005</t>
        </is>
      </c>
      <c r="L809" s="15" t="inlineStr">
        <is>
          <t xml:space="preserve">Covered</t>
        </is>
      </c>
      <c r="M809" s="15" t="inlineStr">
        <is>
          <t xml:space="preserve">Split across reading blocks</t>
        </is>
      </c>
      <c r="N809" s="15"/>
      <c r="O809" s="15">
        <v>1</v>
      </c>
      <c r="P809" s="10" t="str">
        <f>IF(L809="MISSING","MISSING",IF(O809=1,"PASS","DUPLICATE"))</f>
        <v>PASS</v>
      </c>
    </row>
    <row r="810" ht="22" customHeight="1">
      <c r="A810" s="15" t="inlineStr">
        <is>
          <t xml:space="preserve">Ezekiel 4</t>
        </is>
      </c>
      <c r="B810" s="15">
        <v>806</v>
      </c>
      <c r="C810" s="15" t="inlineStr">
        <is>
          <t xml:space="preserve">Old Testament</t>
        </is>
      </c>
      <c r="D810" s="15">
        <v>26</v>
      </c>
      <c r="E810" s="15" t="inlineStr">
        <is>
          <t xml:space="preserve">Ezekiel</t>
        </is>
      </c>
      <c r="F810" s="15">
        <v>4</v>
      </c>
      <c r="G810" s="15" t="inlineStr">
        <is>
          <t xml:space="preserve">v0.5</t>
        </is>
      </c>
      <c r="H810" s="15" t="inlineStr">
        <is>
          <t xml:space="preserve">Bible_Journey_Canon_Map_v0_5_Exile_Return_Persia.xlsx</t>
        </is>
      </c>
      <c r="I810" s="15" t="inlineStr">
        <is>
          <t xml:space="preserve">Coverage Audit</t>
        </is>
      </c>
      <c r="J810" s="15" t="inlineStr">
        <is>
          <t xml:space="preserve">CRS-05-005</t>
        </is>
      </c>
      <c r="K810" s="15" t="inlineStr">
        <is>
          <t xml:space="preserve">BLK-05-005</t>
        </is>
      </c>
      <c r="L810" s="15" t="inlineStr">
        <is>
          <t xml:space="preserve">Covered</t>
        </is>
      </c>
      <c r="M810" s="15" t="inlineStr">
        <is>
          <t xml:space="preserve">Single reading block</t>
        </is>
      </c>
      <c r="N810" s="15"/>
      <c r="O810" s="15">
        <v>1</v>
      </c>
      <c r="P810" s="10" t="str">
        <f>IF(L810="MISSING","MISSING",IF(O810=1,"PASS","DUPLICATE"))</f>
        <v>PASS</v>
      </c>
    </row>
    <row r="811" ht="22" customHeight="1">
      <c r="A811" s="15" t="inlineStr">
        <is>
          <t xml:space="preserve">Ezekiel 5</t>
        </is>
      </c>
      <c r="B811" s="15">
        <v>807</v>
      </c>
      <c r="C811" s="15" t="inlineStr">
        <is>
          <t xml:space="preserve">Old Testament</t>
        </is>
      </c>
      <c r="D811" s="15">
        <v>26</v>
      </c>
      <c r="E811" s="15" t="inlineStr">
        <is>
          <t xml:space="preserve">Ezekiel</t>
        </is>
      </c>
      <c r="F811" s="15">
        <v>5</v>
      </c>
      <c r="G811" s="15" t="inlineStr">
        <is>
          <t xml:space="preserve">v0.5</t>
        </is>
      </c>
      <c r="H811" s="15" t="inlineStr">
        <is>
          <t xml:space="preserve">Bible_Journey_Canon_Map_v0_5_Exile_Return_Persia.xlsx</t>
        </is>
      </c>
      <c r="I811" s="15" t="inlineStr">
        <is>
          <t xml:space="preserve">Coverage Audit</t>
        </is>
      </c>
      <c r="J811" s="15" t="inlineStr">
        <is>
          <t xml:space="preserve">CRS-05-005</t>
        </is>
      </c>
      <c r="K811" s="15" t="inlineStr">
        <is>
          <t xml:space="preserve">BLK-05-005</t>
        </is>
      </c>
      <c r="L811" s="15" t="inlineStr">
        <is>
          <t xml:space="preserve">Covered</t>
        </is>
      </c>
      <c r="M811" s="15" t="inlineStr">
        <is>
          <t xml:space="preserve">Single reading block</t>
        </is>
      </c>
      <c r="N811" s="15"/>
      <c r="O811" s="15">
        <v>1</v>
      </c>
      <c r="P811" s="10" t="str">
        <f>IF(L811="MISSING","MISSING",IF(O811=1,"PASS","DUPLICATE"))</f>
        <v>PASS</v>
      </c>
    </row>
    <row r="812" ht="22" customHeight="1">
      <c r="A812" s="15" t="inlineStr">
        <is>
          <t xml:space="preserve">Ezekiel 6</t>
        </is>
      </c>
      <c r="B812" s="15">
        <v>808</v>
      </c>
      <c r="C812" s="15" t="inlineStr">
        <is>
          <t xml:space="preserve">Old Testament</t>
        </is>
      </c>
      <c r="D812" s="15">
        <v>26</v>
      </c>
      <c r="E812" s="15" t="inlineStr">
        <is>
          <t xml:space="preserve">Ezekiel</t>
        </is>
      </c>
      <c r="F812" s="15">
        <v>6</v>
      </c>
      <c r="G812" s="15" t="inlineStr">
        <is>
          <t xml:space="preserve">v0.5</t>
        </is>
      </c>
      <c r="H812" s="15" t="inlineStr">
        <is>
          <t xml:space="preserve">Bible_Journey_Canon_Map_v0_5_Exile_Return_Persia.xlsx</t>
        </is>
      </c>
      <c r="I812" s="15" t="inlineStr">
        <is>
          <t xml:space="preserve">Coverage Audit</t>
        </is>
      </c>
      <c r="J812" s="15" t="inlineStr">
        <is>
          <t xml:space="preserve">CRS-05-005</t>
        </is>
      </c>
      <c r="K812" s="15" t="inlineStr">
        <is>
          <t xml:space="preserve">BLK-05-005</t>
        </is>
      </c>
      <c r="L812" s="15" t="inlineStr">
        <is>
          <t xml:space="preserve">Covered</t>
        </is>
      </c>
      <c r="M812" s="15" t="inlineStr">
        <is>
          <t xml:space="preserve">Single reading block</t>
        </is>
      </c>
      <c r="N812" s="15"/>
      <c r="O812" s="15">
        <v>1</v>
      </c>
      <c r="P812" s="10" t="str">
        <f>IF(L812="MISSING","MISSING",IF(O812=1,"PASS","DUPLICATE"))</f>
        <v>PASS</v>
      </c>
    </row>
    <row r="813" ht="22" customHeight="1">
      <c r="A813" s="15" t="inlineStr">
        <is>
          <t xml:space="preserve">Ezekiel 7</t>
        </is>
      </c>
      <c r="B813" s="15">
        <v>809</v>
      </c>
      <c r="C813" s="15" t="inlineStr">
        <is>
          <t xml:space="preserve">Old Testament</t>
        </is>
      </c>
      <c r="D813" s="15">
        <v>26</v>
      </c>
      <c r="E813" s="15" t="inlineStr">
        <is>
          <t xml:space="preserve">Ezekiel</t>
        </is>
      </c>
      <c r="F813" s="15">
        <v>7</v>
      </c>
      <c r="G813" s="15" t="inlineStr">
        <is>
          <t xml:space="preserve">v0.5</t>
        </is>
      </c>
      <c r="H813" s="15" t="inlineStr">
        <is>
          <t xml:space="preserve">Bible_Journey_Canon_Map_v0_5_Exile_Return_Persia.xlsx</t>
        </is>
      </c>
      <c r="I813" s="15" t="inlineStr">
        <is>
          <t xml:space="preserve">Coverage Audit</t>
        </is>
      </c>
      <c r="J813" s="15" t="inlineStr">
        <is>
          <t xml:space="preserve">CRS-05-005</t>
        </is>
      </c>
      <c r="K813" s="15" t="inlineStr">
        <is>
          <t xml:space="preserve">BLK-05-005</t>
        </is>
      </c>
      <c r="L813" s="15" t="inlineStr">
        <is>
          <t xml:space="preserve">Covered</t>
        </is>
      </c>
      <c r="M813" s="15" t="inlineStr">
        <is>
          <t xml:space="preserve">Single reading block</t>
        </is>
      </c>
      <c r="N813" s="15"/>
      <c r="O813" s="15">
        <v>1</v>
      </c>
      <c r="P813" s="10" t="str">
        <f>IF(L813="MISSING","MISSING",IF(O813=1,"PASS","DUPLICATE"))</f>
        <v>PASS</v>
      </c>
    </row>
    <row r="814" ht="22" customHeight="1">
      <c r="A814" s="15" t="inlineStr">
        <is>
          <t xml:space="preserve">Ezekiel 8</t>
        </is>
      </c>
      <c r="B814" s="15">
        <v>810</v>
      </c>
      <c r="C814" s="15" t="inlineStr">
        <is>
          <t xml:space="preserve">Old Testament</t>
        </is>
      </c>
      <c r="D814" s="15">
        <v>26</v>
      </c>
      <c r="E814" s="15" t="inlineStr">
        <is>
          <t xml:space="preserve">Ezekiel</t>
        </is>
      </c>
      <c r="F814" s="15">
        <v>8</v>
      </c>
      <c r="G814" s="15" t="inlineStr">
        <is>
          <t xml:space="preserve">v0.5</t>
        </is>
      </c>
      <c r="H814" s="15" t="inlineStr">
        <is>
          <t xml:space="preserve">Bible_Journey_Canon_Map_v0_5_Exile_Return_Persia.xlsx</t>
        </is>
      </c>
      <c r="I814" s="15" t="inlineStr">
        <is>
          <t xml:space="preserve">Coverage Audit</t>
        </is>
      </c>
      <c r="J814" s="15" t="inlineStr">
        <is>
          <t xml:space="preserve">CRS-05-006</t>
        </is>
      </c>
      <c r="K814" s="15" t="inlineStr">
        <is>
          <t xml:space="preserve">BLK-05-006</t>
        </is>
      </c>
      <c r="L814" s="15" t="inlineStr">
        <is>
          <t xml:space="preserve">Covered</t>
        </is>
      </c>
      <c r="M814" s="15" t="inlineStr">
        <is>
          <t xml:space="preserve">Single reading block</t>
        </is>
      </c>
      <c r="N814" s="15"/>
      <c r="O814" s="15">
        <v>1</v>
      </c>
      <c r="P814" s="10" t="str">
        <f>IF(L814="MISSING","MISSING",IF(O814=1,"PASS","DUPLICATE"))</f>
        <v>PASS</v>
      </c>
    </row>
    <row r="815" ht="22" customHeight="1">
      <c r="A815" s="15" t="inlineStr">
        <is>
          <t xml:space="preserve">Ezekiel 9</t>
        </is>
      </c>
      <c r="B815" s="15">
        <v>811</v>
      </c>
      <c r="C815" s="15" t="inlineStr">
        <is>
          <t xml:space="preserve">Old Testament</t>
        </is>
      </c>
      <c r="D815" s="15">
        <v>26</v>
      </c>
      <c r="E815" s="15" t="inlineStr">
        <is>
          <t xml:space="preserve">Ezekiel</t>
        </is>
      </c>
      <c r="F815" s="15">
        <v>9</v>
      </c>
      <c r="G815" s="15" t="inlineStr">
        <is>
          <t xml:space="preserve">v0.5</t>
        </is>
      </c>
      <c r="H815" s="15" t="inlineStr">
        <is>
          <t xml:space="preserve">Bible_Journey_Canon_Map_v0_5_Exile_Return_Persia.xlsx</t>
        </is>
      </c>
      <c r="I815" s="15" t="inlineStr">
        <is>
          <t xml:space="preserve">Coverage Audit</t>
        </is>
      </c>
      <c r="J815" s="15" t="inlineStr">
        <is>
          <t xml:space="preserve">CRS-05-006</t>
        </is>
      </c>
      <c r="K815" s="15" t="inlineStr">
        <is>
          <t xml:space="preserve">BLK-05-006</t>
        </is>
      </c>
      <c r="L815" s="15" t="inlineStr">
        <is>
          <t xml:space="preserve">Covered</t>
        </is>
      </c>
      <c r="M815" s="15" t="inlineStr">
        <is>
          <t xml:space="preserve">Single reading block</t>
        </is>
      </c>
      <c r="N815" s="15"/>
      <c r="O815" s="15">
        <v>1</v>
      </c>
      <c r="P815" s="10" t="str">
        <f>IF(L815="MISSING","MISSING",IF(O815=1,"PASS","DUPLICATE"))</f>
        <v>PASS</v>
      </c>
    </row>
    <row r="816" ht="22" customHeight="1">
      <c r="A816" s="15" t="inlineStr">
        <is>
          <t xml:space="preserve">Ezekiel 10</t>
        </is>
      </c>
      <c r="B816" s="15">
        <v>812</v>
      </c>
      <c r="C816" s="15" t="inlineStr">
        <is>
          <t xml:space="preserve">Old Testament</t>
        </is>
      </c>
      <c r="D816" s="15">
        <v>26</v>
      </c>
      <c r="E816" s="15" t="inlineStr">
        <is>
          <t xml:space="preserve">Ezekiel</t>
        </is>
      </c>
      <c r="F816" s="15">
        <v>10</v>
      </c>
      <c r="G816" s="15" t="inlineStr">
        <is>
          <t xml:space="preserve">v0.5</t>
        </is>
      </c>
      <c r="H816" s="15" t="inlineStr">
        <is>
          <t xml:space="preserve">Bible_Journey_Canon_Map_v0_5_Exile_Return_Persia.xlsx</t>
        </is>
      </c>
      <c r="I816" s="15" t="inlineStr">
        <is>
          <t xml:space="preserve">Coverage Audit</t>
        </is>
      </c>
      <c r="J816" s="15" t="inlineStr">
        <is>
          <t xml:space="preserve">CRS-05-006</t>
        </is>
      </c>
      <c r="K816" s="15" t="inlineStr">
        <is>
          <t xml:space="preserve">BLK-05-006</t>
        </is>
      </c>
      <c r="L816" s="15" t="inlineStr">
        <is>
          <t xml:space="preserve">Covered</t>
        </is>
      </c>
      <c r="M816" s="15" t="inlineStr">
        <is>
          <t xml:space="preserve">Single reading block</t>
        </is>
      </c>
      <c r="N816" s="15"/>
      <c r="O816" s="15">
        <v>1</v>
      </c>
      <c r="P816" s="10" t="str">
        <f>IF(L816="MISSING","MISSING",IF(O816=1,"PASS","DUPLICATE"))</f>
        <v>PASS</v>
      </c>
    </row>
    <row r="817" ht="22" customHeight="1">
      <c r="A817" s="15" t="inlineStr">
        <is>
          <t xml:space="preserve">Ezekiel 11</t>
        </is>
      </c>
      <c r="B817" s="15">
        <v>813</v>
      </c>
      <c r="C817" s="15" t="inlineStr">
        <is>
          <t xml:space="preserve">Old Testament</t>
        </is>
      </c>
      <c r="D817" s="15">
        <v>26</v>
      </c>
      <c r="E817" s="15" t="inlineStr">
        <is>
          <t xml:space="preserve">Ezekiel</t>
        </is>
      </c>
      <c r="F817" s="15">
        <v>11</v>
      </c>
      <c r="G817" s="15" t="inlineStr">
        <is>
          <t xml:space="preserve">v0.5</t>
        </is>
      </c>
      <c r="H817" s="15" t="inlineStr">
        <is>
          <t xml:space="preserve">Bible_Journey_Canon_Map_v0_5_Exile_Return_Persia.xlsx</t>
        </is>
      </c>
      <c r="I817" s="15" t="inlineStr">
        <is>
          <t xml:space="preserve">Coverage Audit</t>
        </is>
      </c>
      <c r="J817" s="15" t="inlineStr">
        <is>
          <t xml:space="preserve">CRS-05-006</t>
        </is>
      </c>
      <c r="K817" s="15" t="inlineStr">
        <is>
          <t xml:space="preserve">BLK-05-006</t>
        </is>
      </c>
      <c r="L817" s="15" t="inlineStr">
        <is>
          <t xml:space="preserve">Covered</t>
        </is>
      </c>
      <c r="M817" s="15" t="inlineStr">
        <is>
          <t xml:space="preserve">Single reading block</t>
        </is>
      </c>
      <c r="N817" s="15"/>
      <c r="O817" s="15">
        <v>1</v>
      </c>
      <c r="P817" s="10" t="str">
        <f>IF(L817="MISSING","MISSING",IF(O817=1,"PASS","DUPLICATE"))</f>
        <v>PASS</v>
      </c>
    </row>
    <row r="818" ht="22" customHeight="1">
      <c r="A818" s="15" t="inlineStr">
        <is>
          <t xml:space="preserve">Ezekiel 12</t>
        </is>
      </c>
      <c r="B818" s="15">
        <v>814</v>
      </c>
      <c r="C818" s="15" t="inlineStr">
        <is>
          <t xml:space="preserve">Old Testament</t>
        </is>
      </c>
      <c r="D818" s="15">
        <v>26</v>
      </c>
      <c r="E818" s="15" t="inlineStr">
        <is>
          <t xml:space="preserve">Ezekiel</t>
        </is>
      </c>
      <c r="F818" s="15">
        <v>12</v>
      </c>
      <c r="G818" s="15" t="inlineStr">
        <is>
          <t xml:space="preserve">v0.5</t>
        </is>
      </c>
      <c r="H818" s="15" t="inlineStr">
        <is>
          <t xml:space="preserve">Bible_Journey_Canon_Map_v0_5_Exile_Return_Persia.xlsx</t>
        </is>
      </c>
      <c r="I818" s="15" t="inlineStr">
        <is>
          <t xml:space="preserve">Coverage Audit</t>
        </is>
      </c>
      <c r="J818" s="15" t="inlineStr">
        <is>
          <t xml:space="preserve">CRS-05-007</t>
        </is>
      </c>
      <c r="K818" s="15" t="inlineStr">
        <is>
          <t xml:space="preserve">BLK-05-007</t>
        </is>
      </c>
      <c r="L818" s="15" t="inlineStr">
        <is>
          <t xml:space="preserve">Covered</t>
        </is>
      </c>
      <c r="M818" s="15" t="inlineStr">
        <is>
          <t xml:space="preserve">Single reading block</t>
        </is>
      </c>
      <c r="N818" s="15"/>
      <c r="O818" s="15">
        <v>1</v>
      </c>
      <c r="P818" s="10" t="str">
        <f>IF(L818="MISSING","MISSING",IF(O818=1,"PASS","DUPLICATE"))</f>
        <v>PASS</v>
      </c>
    </row>
    <row r="819" ht="22" customHeight="1">
      <c r="A819" s="15" t="inlineStr">
        <is>
          <t xml:space="preserve">Ezekiel 13</t>
        </is>
      </c>
      <c r="B819" s="15">
        <v>815</v>
      </c>
      <c r="C819" s="15" t="inlineStr">
        <is>
          <t xml:space="preserve">Old Testament</t>
        </is>
      </c>
      <c r="D819" s="15">
        <v>26</v>
      </c>
      <c r="E819" s="15" t="inlineStr">
        <is>
          <t xml:space="preserve">Ezekiel</t>
        </is>
      </c>
      <c r="F819" s="15">
        <v>13</v>
      </c>
      <c r="G819" s="15" t="inlineStr">
        <is>
          <t xml:space="preserve">v0.5</t>
        </is>
      </c>
      <c r="H819" s="15" t="inlineStr">
        <is>
          <t xml:space="preserve">Bible_Journey_Canon_Map_v0_5_Exile_Return_Persia.xlsx</t>
        </is>
      </c>
      <c r="I819" s="15" t="inlineStr">
        <is>
          <t xml:space="preserve">Coverage Audit</t>
        </is>
      </c>
      <c r="J819" s="15" t="inlineStr">
        <is>
          <t xml:space="preserve">CRS-05-007</t>
        </is>
      </c>
      <c r="K819" s="15" t="inlineStr">
        <is>
          <t xml:space="preserve">BLK-05-007</t>
        </is>
      </c>
      <c r="L819" s="15" t="inlineStr">
        <is>
          <t xml:space="preserve">Covered</t>
        </is>
      </c>
      <c r="M819" s="15" t="inlineStr">
        <is>
          <t xml:space="preserve">Single reading block</t>
        </is>
      </c>
      <c r="N819" s="15"/>
      <c r="O819" s="15">
        <v>1</v>
      </c>
      <c r="P819" s="10" t="str">
        <f>IF(L819="MISSING","MISSING",IF(O819=1,"PASS","DUPLICATE"))</f>
        <v>PASS</v>
      </c>
    </row>
    <row r="820" ht="22" customHeight="1">
      <c r="A820" s="15" t="inlineStr">
        <is>
          <t xml:space="preserve">Ezekiel 14</t>
        </is>
      </c>
      <c r="B820" s="15">
        <v>816</v>
      </c>
      <c r="C820" s="15" t="inlineStr">
        <is>
          <t xml:space="preserve">Old Testament</t>
        </is>
      </c>
      <c r="D820" s="15">
        <v>26</v>
      </c>
      <c r="E820" s="15" t="inlineStr">
        <is>
          <t xml:space="preserve">Ezekiel</t>
        </is>
      </c>
      <c r="F820" s="15">
        <v>14</v>
      </c>
      <c r="G820" s="15" t="inlineStr">
        <is>
          <t xml:space="preserve">v0.5</t>
        </is>
      </c>
      <c r="H820" s="15" t="inlineStr">
        <is>
          <t xml:space="preserve">Bible_Journey_Canon_Map_v0_5_Exile_Return_Persia.xlsx</t>
        </is>
      </c>
      <c r="I820" s="15" t="inlineStr">
        <is>
          <t xml:space="preserve">Coverage Audit</t>
        </is>
      </c>
      <c r="J820" s="15" t="inlineStr">
        <is>
          <t xml:space="preserve">CRS-05-007</t>
        </is>
      </c>
      <c r="K820" s="15" t="inlineStr">
        <is>
          <t xml:space="preserve">BLK-05-007</t>
        </is>
      </c>
      <c r="L820" s="15" t="inlineStr">
        <is>
          <t xml:space="preserve">Covered</t>
        </is>
      </c>
      <c r="M820" s="15" t="inlineStr">
        <is>
          <t xml:space="preserve">Single reading block</t>
        </is>
      </c>
      <c r="N820" s="15"/>
      <c r="O820" s="15">
        <v>1</v>
      </c>
      <c r="P820" s="10" t="str">
        <f>IF(L820="MISSING","MISSING",IF(O820=1,"PASS","DUPLICATE"))</f>
        <v>PASS</v>
      </c>
    </row>
    <row r="821" ht="22" customHeight="1">
      <c r="A821" s="15" t="inlineStr">
        <is>
          <t xml:space="preserve">Ezekiel 15</t>
        </is>
      </c>
      <c r="B821" s="15">
        <v>817</v>
      </c>
      <c r="C821" s="15" t="inlineStr">
        <is>
          <t xml:space="preserve">Old Testament</t>
        </is>
      </c>
      <c r="D821" s="15">
        <v>26</v>
      </c>
      <c r="E821" s="15" t="inlineStr">
        <is>
          <t xml:space="preserve">Ezekiel</t>
        </is>
      </c>
      <c r="F821" s="15">
        <v>15</v>
      </c>
      <c r="G821" s="15" t="inlineStr">
        <is>
          <t xml:space="preserve">v0.5</t>
        </is>
      </c>
      <c r="H821" s="15" t="inlineStr">
        <is>
          <t xml:space="preserve">Bible_Journey_Canon_Map_v0_5_Exile_Return_Persia.xlsx</t>
        </is>
      </c>
      <c r="I821" s="15" t="inlineStr">
        <is>
          <t xml:space="preserve">Coverage Audit</t>
        </is>
      </c>
      <c r="J821" s="15" t="inlineStr">
        <is>
          <t xml:space="preserve">CRS-05-007</t>
        </is>
      </c>
      <c r="K821" s="15" t="inlineStr">
        <is>
          <t xml:space="preserve">BLK-05-007</t>
        </is>
      </c>
      <c r="L821" s="15" t="inlineStr">
        <is>
          <t xml:space="preserve">Covered</t>
        </is>
      </c>
      <c r="M821" s="15" t="inlineStr">
        <is>
          <t xml:space="preserve">Single reading block</t>
        </is>
      </c>
      <c r="N821" s="15"/>
      <c r="O821" s="15">
        <v>1</v>
      </c>
      <c r="P821" s="10" t="str">
        <f>IF(L821="MISSING","MISSING",IF(O821=1,"PASS","DUPLICATE"))</f>
        <v>PASS</v>
      </c>
    </row>
    <row r="822" ht="22" customHeight="1">
      <c r="A822" s="15" t="inlineStr">
        <is>
          <t xml:space="preserve">Ezekiel 16</t>
        </is>
      </c>
      <c r="B822" s="15">
        <v>818</v>
      </c>
      <c r="C822" s="15" t="inlineStr">
        <is>
          <t xml:space="preserve">Old Testament</t>
        </is>
      </c>
      <c r="D822" s="15">
        <v>26</v>
      </c>
      <c r="E822" s="15" t="inlineStr">
        <is>
          <t xml:space="preserve">Ezekiel</t>
        </is>
      </c>
      <c r="F822" s="15">
        <v>16</v>
      </c>
      <c r="G822" s="15" t="inlineStr">
        <is>
          <t xml:space="preserve">v0.5</t>
        </is>
      </c>
      <c r="H822" s="15" t="inlineStr">
        <is>
          <t xml:space="preserve">Bible_Journey_Canon_Map_v0_5_Exile_Return_Persia.xlsx</t>
        </is>
      </c>
      <c r="I822" s="15" t="inlineStr">
        <is>
          <t xml:space="preserve">Coverage Audit</t>
        </is>
      </c>
      <c r="J822" s="15" t="inlineStr">
        <is>
          <t xml:space="preserve">CRS-05-007</t>
        </is>
      </c>
      <c r="K822" s="15" t="inlineStr">
        <is>
          <t xml:space="preserve">BLK-05-007</t>
        </is>
      </c>
      <c r="L822" s="15" t="inlineStr">
        <is>
          <t xml:space="preserve">Covered</t>
        </is>
      </c>
      <c r="M822" s="15" t="inlineStr">
        <is>
          <t xml:space="preserve">Single reading block</t>
        </is>
      </c>
      <c r="N822" s="15"/>
      <c r="O822" s="15">
        <v>1</v>
      </c>
      <c r="P822" s="10" t="str">
        <f>IF(L822="MISSING","MISSING",IF(O822=1,"PASS","DUPLICATE"))</f>
        <v>PASS</v>
      </c>
    </row>
    <row r="823" ht="22" customHeight="1">
      <c r="A823" s="15" t="inlineStr">
        <is>
          <t xml:space="preserve">Ezekiel 17</t>
        </is>
      </c>
      <c r="B823" s="15">
        <v>819</v>
      </c>
      <c r="C823" s="15" t="inlineStr">
        <is>
          <t xml:space="preserve">Old Testament</t>
        </is>
      </c>
      <c r="D823" s="15">
        <v>26</v>
      </c>
      <c r="E823" s="15" t="inlineStr">
        <is>
          <t xml:space="preserve">Ezekiel</t>
        </is>
      </c>
      <c r="F823" s="15">
        <v>17</v>
      </c>
      <c r="G823" s="15" t="inlineStr">
        <is>
          <t xml:space="preserve">v0.5</t>
        </is>
      </c>
      <c r="H823" s="15" t="inlineStr">
        <is>
          <t xml:space="preserve">Bible_Journey_Canon_Map_v0_5_Exile_Return_Persia.xlsx</t>
        </is>
      </c>
      <c r="I823" s="15" t="inlineStr">
        <is>
          <t xml:space="preserve">Coverage Audit</t>
        </is>
      </c>
      <c r="J823" s="15" t="inlineStr">
        <is>
          <t xml:space="preserve">CRS-05-007</t>
        </is>
      </c>
      <c r="K823" s="15" t="inlineStr">
        <is>
          <t xml:space="preserve">BLK-05-007</t>
        </is>
      </c>
      <c r="L823" s="15" t="inlineStr">
        <is>
          <t xml:space="preserve">Covered</t>
        </is>
      </c>
      <c r="M823" s="15" t="inlineStr">
        <is>
          <t xml:space="preserve">Single reading block</t>
        </is>
      </c>
      <c r="N823" s="15"/>
      <c r="O823" s="15">
        <v>1</v>
      </c>
      <c r="P823" s="10" t="str">
        <f>IF(L823="MISSING","MISSING",IF(O823=1,"PASS","DUPLICATE"))</f>
        <v>PASS</v>
      </c>
    </row>
    <row r="824" ht="22" customHeight="1">
      <c r="A824" s="15" t="inlineStr">
        <is>
          <t xml:space="preserve">Ezekiel 18</t>
        </is>
      </c>
      <c r="B824" s="15">
        <v>820</v>
      </c>
      <c r="C824" s="15" t="inlineStr">
        <is>
          <t xml:space="preserve">Old Testament</t>
        </is>
      </c>
      <c r="D824" s="15">
        <v>26</v>
      </c>
      <c r="E824" s="15" t="inlineStr">
        <is>
          <t xml:space="preserve">Ezekiel</t>
        </is>
      </c>
      <c r="F824" s="15">
        <v>18</v>
      </c>
      <c r="G824" s="15" t="inlineStr">
        <is>
          <t xml:space="preserve">v0.5</t>
        </is>
      </c>
      <c r="H824" s="15" t="inlineStr">
        <is>
          <t xml:space="preserve">Bible_Journey_Canon_Map_v0_5_Exile_Return_Persia.xlsx</t>
        </is>
      </c>
      <c r="I824" s="15" t="inlineStr">
        <is>
          <t xml:space="preserve">Coverage Audit</t>
        </is>
      </c>
      <c r="J824" s="15" t="inlineStr">
        <is>
          <t xml:space="preserve">CRS-05-007</t>
        </is>
      </c>
      <c r="K824" s="15" t="inlineStr">
        <is>
          <t xml:space="preserve">BLK-05-007</t>
        </is>
      </c>
      <c r="L824" s="15" t="inlineStr">
        <is>
          <t xml:space="preserve">Covered</t>
        </is>
      </c>
      <c r="M824" s="15" t="inlineStr">
        <is>
          <t xml:space="preserve">Single reading block</t>
        </is>
      </c>
      <c r="N824" s="15"/>
      <c r="O824" s="15">
        <v>1</v>
      </c>
      <c r="P824" s="10" t="str">
        <f>IF(L824="MISSING","MISSING",IF(O824=1,"PASS","DUPLICATE"))</f>
        <v>PASS</v>
      </c>
    </row>
    <row r="825" ht="22" customHeight="1">
      <c r="A825" s="15" t="inlineStr">
        <is>
          <t xml:space="preserve">Ezekiel 19</t>
        </is>
      </c>
      <c r="B825" s="15">
        <v>821</v>
      </c>
      <c r="C825" s="15" t="inlineStr">
        <is>
          <t xml:space="preserve">Old Testament</t>
        </is>
      </c>
      <c r="D825" s="15">
        <v>26</v>
      </c>
      <c r="E825" s="15" t="inlineStr">
        <is>
          <t xml:space="preserve">Ezekiel</t>
        </is>
      </c>
      <c r="F825" s="15">
        <v>19</v>
      </c>
      <c r="G825" s="15" t="inlineStr">
        <is>
          <t xml:space="preserve">v0.5</t>
        </is>
      </c>
      <c r="H825" s="15" t="inlineStr">
        <is>
          <t xml:space="preserve">Bible_Journey_Canon_Map_v0_5_Exile_Return_Persia.xlsx</t>
        </is>
      </c>
      <c r="I825" s="15" t="inlineStr">
        <is>
          <t xml:space="preserve">Coverage Audit</t>
        </is>
      </c>
      <c r="J825" s="15" t="inlineStr">
        <is>
          <t xml:space="preserve">CRS-05-007</t>
        </is>
      </c>
      <c r="K825" s="15" t="inlineStr">
        <is>
          <t xml:space="preserve">BLK-05-007</t>
        </is>
      </c>
      <c r="L825" s="15" t="inlineStr">
        <is>
          <t xml:space="preserve">Covered</t>
        </is>
      </c>
      <c r="M825" s="15" t="inlineStr">
        <is>
          <t xml:space="preserve">Single reading block</t>
        </is>
      </c>
      <c r="N825" s="15"/>
      <c r="O825" s="15">
        <v>1</v>
      </c>
      <c r="P825" s="10" t="str">
        <f>IF(L825="MISSING","MISSING",IF(O825=1,"PASS","DUPLICATE"))</f>
        <v>PASS</v>
      </c>
    </row>
    <row r="826" ht="22" customHeight="1">
      <c r="A826" s="15" t="inlineStr">
        <is>
          <t xml:space="preserve">Ezekiel 20</t>
        </is>
      </c>
      <c r="B826" s="15">
        <v>822</v>
      </c>
      <c r="C826" s="15" t="inlineStr">
        <is>
          <t xml:space="preserve">Old Testament</t>
        </is>
      </c>
      <c r="D826" s="15">
        <v>26</v>
      </c>
      <c r="E826" s="15" t="inlineStr">
        <is>
          <t xml:space="preserve">Ezekiel</t>
        </is>
      </c>
      <c r="F826" s="15">
        <v>20</v>
      </c>
      <c r="G826" s="15" t="inlineStr">
        <is>
          <t xml:space="preserve">v0.5</t>
        </is>
      </c>
      <c r="H826" s="15" t="inlineStr">
        <is>
          <t xml:space="preserve">Bible_Journey_Canon_Map_v0_5_Exile_Return_Persia.xlsx</t>
        </is>
      </c>
      <c r="I826" s="15" t="inlineStr">
        <is>
          <t xml:space="preserve">Coverage Audit</t>
        </is>
      </c>
      <c r="J826" s="15" t="inlineStr">
        <is>
          <t xml:space="preserve">CRS-05-008</t>
        </is>
      </c>
      <c r="K826" s="15" t="inlineStr">
        <is>
          <t xml:space="preserve">BLK-05-008</t>
        </is>
      </c>
      <c r="L826" s="15" t="inlineStr">
        <is>
          <t xml:space="preserve">Covered</t>
        </is>
      </c>
      <c r="M826" s="15" t="inlineStr">
        <is>
          <t xml:space="preserve">Single reading block</t>
        </is>
      </c>
      <c r="N826" s="15"/>
      <c r="O826" s="15">
        <v>1</v>
      </c>
      <c r="P826" s="10" t="str">
        <f>IF(L826="MISSING","MISSING",IF(O826=1,"PASS","DUPLICATE"))</f>
        <v>PASS</v>
      </c>
    </row>
    <row r="827" ht="22" customHeight="1">
      <c r="A827" s="15" t="inlineStr">
        <is>
          <t xml:space="preserve">Ezekiel 21</t>
        </is>
      </c>
      <c r="B827" s="15">
        <v>823</v>
      </c>
      <c r="C827" s="15" t="inlineStr">
        <is>
          <t xml:space="preserve">Old Testament</t>
        </is>
      </c>
      <c r="D827" s="15">
        <v>26</v>
      </c>
      <c r="E827" s="15" t="inlineStr">
        <is>
          <t xml:space="preserve">Ezekiel</t>
        </is>
      </c>
      <c r="F827" s="15">
        <v>21</v>
      </c>
      <c r="G827" s="15" t="inlineStr">
        <is>
          <t xml:space="preserve">v0.5</t>
        </is>
      </c>
      <c r="H827" s="15" t="inlineStr">
        <is>
          <t xml:space="preserve">Bible_Journey_Canon_Map_v0_5_Exile_Return_Persia.xlsx</t>
        </is>
      </c>
      <c r="I827" s="15" t="inlineStr">
        <is>
          <t xml:space="preserve">Coverage Audit</t>
        </is>
      </c>
      <c r="J827" s="15" t="inlineStr">
        <is>
          <t xml:space="preserve">CRS-05-008</t>
        </is>
      </c>
      <c r="K827" s="15" t="inlineStr">
        <is>
          <t xml:space="preserve">BLK-05-008</t>
        </is>
      </c>
      <c r="L827" s="15" t="inlineStr">
        <is>
          <t xml:space="preserve">Covered</t>
        </is>
      </c>
      <c r="M827" s="15" t="inlineStr">
        <is>
          <t xml:space="preserve">Single reading block</t>
        </is>
      </c>
      <c r="N827" s="15"/>
      <c r="O827" s="15">
        <v>1</v>
      </c>
      <c r="P827" s="10" t="str">
        <f>IF(L827="MISSING","MISSING",IF(O827=1,"PASS","DUPLICATE"))</f>
        <v>PASS</v>
      </c>
    </row>
    <row r="828" ht="22" customHeight="1">
      <c r="A828" s="15" t="inlineStr">
        <is>
          <t xml:space="preserve">Ezekiel 22</t>
        </is>
      </c>
      <c r="B828" s="15">
        <v>824</v>
      </c>
      <c r="C828" s="15" t="inlineStr">
        <is>
          <t xml:space="preserve">Old Testament</t>
        </is>
      </c>
      <c r="D828" s="15">
        <v>26</v>
      </c>
      <c r="E828" s="15" t="inlineStr">
        <is>
          <t xml:space="preserve">Ezekiel</t>
        </is>
      </c>
      <c r="F828" s="15">
        <v>22</v>
      </c>
      <c r="G828" s="15" t="inlineStr">
        <is>
          <t xml:space="preserve">v0.5</t>
        </is>
      </c>
      <c r="H828" s="15" t="inlineStr">
        <is>
          <t xml:space="preserve">Bible_Journey_Canon_Map_v0_5_Exile_Return_Persia.xlsx</t>
        </is>
      </c>
      <c r="I828" s="15" t="inlineStr">
        <is>
          <t xml:space="preserve">Coverage Audit</t>
        </is>
      </c>
      <c r="J828" s="15" t="inlineStr">
        <is>
          <t xml:space="preserve">CRS-05-008</t>
        </is>
      </c>
      <c r="K828" s="15" t="inlineStr">
        <is>
          <t xml:space="preserve">BLK-05-008</t>
        </is>
      </c>
      <c r="L828" s="15" t="inlineStr">
        <is>
          <t xml:space="preserve">Covered</t>
        </is>
      </c>
      <c r="M828" s="15" t="inlineStr">
        <is>
          <t xml:space="preserve">Single reading block</t>
        </is>
      </c>
      <c r="N828" s="15"/>
      <c r="O828" s="15">
        <v>1</v>
      </c>
      <c r="P828" s="10" t="str">
        <f>IF(L828="MISSING","MISSING",IF(O828=1,"PASS","DUPLICATE"))</f>
        <v>PASS</v>
      </c>
    </row>
    <row r="829" ht="22" customHeight="1">
      <c r="A829" s="15" t="inlineStr">
        <is>
          <t xml:space="preserve">Ezekiel 23</t>
        </is>
      </c>
      <c r="B829" s="15">
        <v>825</v>
      </c>
      <c r="C829" s="15" t="inlineStr">
        <is>
          <t xml:space="preserve">Old Testament</t>
        </is>
      </c>
      <c r="D829" s="15">
        <v>26</v>
      </c>
      <c r="E829" s="15" t="inlineStr">
        <is>
          <t xml:space="preserve">Ezekiel</t>
        </is>
      </c>
      <c r="F829" s="15">
        <v>23</v>
      </c>
      <c r="G829" s="15" t="inlineStr">
        <is>
          <t xml:space="preserve">v0.5</t>
        </is>
      </c>
      <c r="H829" s="15" t="inlineStr">
        <is>
          <t xml:space="preserve">Bible_Journey_Canon_Map_v0_5_Exile_Return_Persia.xlsx</t>
        </is>
      </c>
      <c r="I829" s="15" t="inlineStr">
        <is>
          <t xml:space="preserve">Coverage Audit</t>
        </is>
      </c>
      <c r="J829" s="15" t="inlineStr">
        <is>
          <t xml:space="preserve">CRS-05-008</t>
        </is>
      </c>
      <c r="K829" s="15" t="inlineStr">
        <is>
          <t xml:space="preserve">BLK-05-008</t>
        </is>
      </c>
      <c r="L829" s="15" t="inlineStr">
        <is>
          <t xml:space="preserve">Covered</t>
        </is>
      </c>
      <c r="M829" s="15" t="inlineStr">
        <is>
          <t xml:space="preserve">Single reading block</t>
        </is>
      </c>
      <c r="N829" s="15"/>
      <c r="O829" s="15">
        <v>1</v>
      </c>
      <c r="P829" s="10" t="str">
        <f>IF(L829="MISSING","MISSING",IF(O829=1,"PASS","DUPLICATE"))</f>
        <v>PASS</v>
      </c>
    </row>
    <row r="830" ht="22" customHeight="1">
      <c r="A830" s="15" t="inlineStr">
        <is>
          <t xml:space="preserve">Ezekiel 24</t>
        </is>
      </c>
      <c r="B830" s="15">
        <v>826</v>
      </c>
      <c r="C830" s="15" t="inlineStr">
        <is>
          <t xml:space="preserve">Old Testament</t>
        </is>
      </c>
      <c r="D830" s="15">
        <v>26</v>
      </c>
      <c r="E830" s="15" t="inlineStr">
        <is>
          <t xml:space="preserve">Ezekiel</t>
        </is>
      </c>
      <c r="F830" s="15">
        <v>24</v>
      </c>
      <c r="G830" s="15" t="inlineStr">
        <is>
          <t xml:space="preserve">v0.5</t>
        </is>
      </c>
      <c r="H830" s="15" t="inlineStr">
        <is>
          <t xml:space="preserve">Bible_Journey_Canon_Map_v0_5_Exile_Return_Persia.xlsx</t>
        </is>
      </c>
      <c r="I830" s="15" t="inlineStr">
        <is>
          <t xml:space="preserve">Coverage Audit</t>
        </is>
      </c>
      <c r="J830" s="15" t="inlineStr">
        <is>
          <t xml:space="preserve">CRS-05-008</t>
        </is>
      </c>
      <c r="K830" s="15" t="inlineStr">
        <is>
          <t xml:space="preserve">BLK-05-008</t>
        </is>
      </c>
      <c r="L830" s="15" t="inlineStr">
        <is>
          <t xml:space="preserve">Covered</t>
        </is>
      </c>
      <c r="M830" s="15" t="inlineStr">
        <is>
          <t xml:space="preserve">Single reading block</t>
        </is>
      </c>
      <c r="N830" s="15"/>
      <c r="O830" s="15">
        <v>1</v>
      </c>
      <c r="P830" s="10" t="str">
        <f>IF(L830="MISSING","MISSING",IF(O830=1,"PASS","DUPLICATE"))</f>
        <v>PASS</v>
      </c>
    </row>
    <row r="831" ht="22" customHeight="1">
      <c r="A831" s="15" t="inlineStr">
        <is>
          <t xml:space="preserve">Ezekiel 25</t>
        </is>
      </c>
      <c r="B831" s="15">
        <v>827</v>
      </c>
      <c r="C831" s="15" t="inlineStr">
        <is>
          <t xml:space="preserve">Old Testament</t>
        </is>
      </c>
      <c r="D831" s="15">
        <v>26</v>
      </c>
      <c r="E831" s="15" t="inlineStr">
        <is>
          <t xml:space="preserve">Ezekiel</t>
        </is>
      </c>
      <c r="F831" s="15">
        <v>25</v>
      </c>
      <c r="G831" s="15" t="inlineStr">
        <is>
          <t xml:space="preserve">v0.5</t>
        </is>
      </c>
      <c r="H831" s="15" t="inlineStr">
        <is>
          <t xml:space="preserve">Bible_Journey_Canon_Map_v0_5_Exile_Return_Persia.xlsx</t>
        </is>
      </c>
      <c r="I831" s="15" t="inlineStr">
        <is>
          <t xml:space="preserve">Coverage Audit</t>
        </is>
      </c>
      <c r="J831" s="15" t="inlineStr">
        <is>
          <t xml:space="preserve">CRS-05-009</t>
        </is>
      </c>
      <c r="K831" s="15" t="inlineStr">
        <is>
          <t xml:space="preserve">BLK-05-009</t>
        </is>
      </c>
      <c r="L831" s="15" t="inlineStr">
        <is>
          <t xml:space="preserve">Covered</t>
        </is>
      </c>
      <c r="M831" s="15" t="inlineStr">
        <is>
          <t xml:space="preserve">Single reading block</t>
        </is>
      </c>
      <c r="N831" s="15"/>
      <c r="O831" s="15">
        <v>1</v>
      </c>
      <c r="P831" s="10" t="str">
        <f>IF(L831="MISSING","MISSING",IF(O831=1,"PASS","DUPLICATE"))</f>
        <v>PASS</v>
      </c>
    </row>
    <row r="832" ht="22" customHeight="1">
      <c r="A832" s="15" t="inlineStr">
        <is>
          <t xml:space="preserve">Ezekiel 26</t>
        </is>
      </c>
      <c r="B832" s="15">
        <v>828</v>
      </c>
      <c r="C832" s="15" t="inlineStr">
        <is>
          <t xml:space="preserve">Old Testament</t>
        </is>
      </c>
      <c r="D832" s="15">
        <v>26</v>
      </c>
      <c r="E832" s="15" t="inlineStr">
        <is>
          <t xml:space="preserve">Ezekiel</t>
        </is>
      </c>
      <c r="F832" s="15">
        <v>26</v>
      </c>
      <c r="G832" s="15" t="inlineStr">
        <is>
          <t xml:space="preserve">v0.5</t>
        </is>
      </c>
      <c r="H832" s="15" t="inlineStr">
        <is>
          <t xml:space="preserve">Bible_Journey_Canon_Map_v0_5_Exile_Return_Persia.xlsx</t>
        </is>
      </c>
      <c r="I832" s="15" t="inlineStr">
        <is>
          <t xml:space="preserve">Coverage Audit</t>
        </is>
      </c>
      <c r="J832" s="15" t="inlineStr">
        <is>
          <t xml:space="preserve">CRS-05-009</t>
        </is>
      </c>
      <c r="K832" s="15" t="inlineStr">
        <is>
          <t xml:space="preserve">BLK-05-009</t>
        </is>
      </c>
      <c r="L832" s="15" t="inlineStr">
        <is>
          <t xml:space="preserve">Covered</t>
        </is>
      </c>
      <c r="M832" s="15" t="inlineStr">
        <is>
          <t xml:space="preserve">Single reading block</t>
        </is>
      </c>
      <c r="N832" s="15"/>
      <c r="O832" s="15">
        <v>1</v>
      </c>
      <c r="P832" s="10" t="str">
        <f>IF(L832="MISSING","MISSING",IF(O832=1,"PASS","DUPLICATE"))</f>
        <v>PASS</v>
      </c>
    </row>
    <row r="833" ht="22" customHeight="1">
      <c r="A833" s="15" t="inlineStr">
        <is>
          <t xml:space="preserve">Ezekiel 27</t>
        </is>
      </c>
      <c r="B833" s="15">
        <v>829</v>
      </c>
      <c r="C833" s="15" t="inlineStr">
        <is>
          <t xml:space="preserve">Old Testament</t>
        </is>
      </c>
      <c r="D833" s="15">
        <v>26</v>
      </c>
      <c r="E833" s="15" t="inlineStr">
        <is>
          <t xml:space="preserve">Ezekiel</t>
        </is>
      </c>
      <c r="F833" s="15">
        <v>27</v>
      </c>
      <c r="G833" s="15" t="inlineStr">
        <is>
          <t xml:space="preserve">v0.5</t>
        </is>
      </c>
      <c r="H833" s="15" t="inlineStr">
        <is>
          <t xml:space="preserve">Bible_Journey_Canon_Map_v0_5_Exile_Return_Persia.xlsx</t>
        </is>
      </c>
      <c r="I833" s="15" t="inlineStr">
        <is>
          <t xml:space="preserve">Coverage Audit</t>
        </is>
      </c>
      <c r="J833" s="15" t="inlineStr">
        <is>
          <t xml:space="preserve">CRS-05-009</t>
        </is>
      </c>
      <c r="K833" s="15" t="inlineStr">
        <is>
          <t xml:space="preserve">BLK-05-009</t>
        </is>
      </c>
      <c r="L833" s="15" t="inlineStr">
        <is>
          <t xml:space="preserve">Covered</t>
        </is>
      </c>
      <c r="M833" s="15" t="inlineStr">
        <is>
          <t xml:space="preserve">Single reading block</t>
        </is>
      </c>
      <c r="N833" s="15"/>
      <c r="O833" s="15">
        <v>1</v>
      </c>
      <c r="P833" s="10" t="str">
        <f>IF(L833="MISSING","MISSING",IF(O833=1,"PASS","DUPLICATE"))</f>
        <v>PASS</v>
      </c>
    </row>
    <row r="834" ht="22" customHeight="1">
      <c r="A834" s="15" t="inlineStr">
        <is>
          <t xml:space="preserve">Ezekiel 28</t>
        </is>
      </c>
      <c r="B834" s="15">
        <v>830</v>
      </c>
      <c r="C834" s="15" t="inlineStr">
        <is>
          <t xml:space="preserve">Old Testament</t>
        </is>
      </c>
      <c r="D834" s="15">
        <v>26</v>
      </c>
      <c r="E834" s="15" t="inlineStr">
        <is>
          <t xml:space="preserve">Ezekiel</t>
        </is>
      </c>
      <c r="F834" s="15">
        <v>28</v>
      </c>
      <c r="G834" s="15" t="inlineStr">
        <is>
          <t xml:space="preserve">v0.5</t>
        </is>
      </c>
      <c r="H834" s="15" t="inlineStr">
        <is>
          <t xml:space="preserve">Bible_Journey_Canon_Map_v0_5_Exile_Return_Persia.xlsx</t>
        </is>
      </c>
      <c r="I834" s="15" t="inlineStr">
        <is>
          <t xml:space="preserve">Coverage Audit</t>
        </is>
      </c>
      <c r="J834" s="15" t="inlineStr">
        <is>
          <t xml:space="preserve">CRS-05-009</t>
        </is>
      </c>
      <c r="K834" s="15" t="inlineStr">
        <is>
          <t xml:space="preserve">BLK-05-009</t>
        </is>
      </c>
      <c r="L834" s="15" t="inlineStr">
        <is>
          <t xml:space="preserve">Covered</t>
        </is>
      </c>
      <c r="M834" s="15" t="inlineStr">
        <is>
          <t xml:space="preserve">Single reading block</t>
        </is>
      </c>
      <c r="N834" s="15"/>
      <c r="O834" s="15">
        <v>1</v>
      </c>
      <c r="P834" s="10" t="str">
        <f>IF(L834="MISSING","MISSING",IF(O834=1,"PASS","DUPLICATE"))</f>
        <v>PASS</v>
      </c>
    </row>
    <row r="835" ht="22" customHeight="1">
      <c r="A835" s="15" t="inlineStr">
        <is>
          <t xml:space="preserve">Ezekiel 29</t>
        </is>
      </c>
      <c r="B835" s="15">
        <v>831</v>
      </c>
      <c r="C835" s="15" t="inlineStr">
        <is>
          <t xml:space="preserve">Old Testament</t>
        </is>
      </c>
      <c r="D835" s="15">
        <v>26</v>
      </c>
      <c r="E835" s="15" t="inlineStr">
        <is>
          <t xml:space="preserve">Ezekiel</t>
        </is>
      </c>
      <c r="F835" s="15">
        <v>29</v>
      </c>
      <c r="G835" s="15" t="inlineStr">
        <is>
          <t xml:space="preserve">v0.5</t>
        </is>
      </c>
      <c r="H835" s="15" t="inlineStr">
        <is>
          <t xml:space="preserve">Bible_Journey_Canon_Map_v0_5_Exile_Return_Persia.xlsx</t>
        </is>
      </c>
      <c r="I835" s="15" t="inlineStr">
        <is>
          <t xml:space="preserve">Coverage Audit</t>
        </is>
      </c>
      <c r="J835" s="15" t="inlineStr">
        <is>
          <t xml:space="preserve">CRS-05-010</t>
        </is>
      </c>
      <c r="K835" s="15" t="inlineStr">
        <is>
          <t xml:space="preserve">BLK-05-010, BLK-05-016</t>
        </is>
      </c>
      <c r="L835" s="15" t="inlineStr">
        <is>
          <t xml:space="preserve">Covered</t>
        </is>
      </c>
      <c r="M835" s="15" t="inlineStr">
        <is>
          <t xml:space="preserve">Split across reading blocks</t>
        </is>
      </c>
      <c r="N835" s="15"/>
      <c r="O835" s="15">
        <v>1</v>
      </c>
      <c r="P835" s="10" t="str">
        <f>IF(L835="MISSING","MISSING",IF(O835=1,"PASS","DUPLICATE"))</f>
        <v>PASS</v>
      </c>
    </row>
    <row r="836" ht="22" customHeight="1">
      <c r="A836" s="15" t="inlineStr">
        <is>
          <t xml:space="preserve">Ezekiel 30</t>
        </is>
      </c>
      <c r="B836" s="15">
        <v>832</v>
      </c>
      <c r="C836" s="15" t="inlineStr">
        <is>
          <t xml:space="preserve">Old Testament</t>
        </is>
      </c>
      <c r="D836" s="15">
        <v>26</v>
      </c>
      <c r="E836" s="15" t="inlineStr">
        <is>
          <t xml:space="preserve">Ezekiel</t>
        </is>
      </c>
      <c r="F836" s="15">
        <v>30</v>
      </c>
      <c r="G836" s="15" t="inlineStr">
        <is>
          <t xml:space="preserve">v0.5</t>
        </is>
      </c>
      <c r="H836" s="15" t="inlineStr">
        <is>
          <t xml:space="preserve">Bible_Journey_Canon_Map_v0_5_Exile_Return_Persia.xlsx</t>
        </is>
      </c>
      <c r="I836" s="15" t="inlineStr">
        <is>
          <t xml:space="preserve">Coverage Audit</t>
        </is>
      </c>
      <c r="J836" s="15" t="inlineStr">
        <is>
          <t xml:space="preserve">CRS-05-011</t>
        </is>
      </c>
      <c r="K836" s="15" t="inlineStr">
        <is>
          <t xml:space="preserve">BLK-05-011</t>
        </is>
      </c>
      <c r="L836" s="15" t="inlineStr">
        <is>
          <t xml:space="preserve">Covered</t>
        </is>
      </c>
      <c r="M836" s="15" t="inlineStr">
        <is>
          <t xml:space="preserve">Single reading block</t>
        </is>
      </c>
      <c r="N836" s="15"/>
      <c r="O836" s="15">
        <v>1</v>
      </c>
      <c r="P836" s="10" t="str">
        <f>IF(L836="MISSING","MISSING",IF(O836=1,"PASS","DUPLICATE"))</f>
        <v>PASS</v>
      </c>
    </row>
    <row r="837" ht="22" customHeight="1">
      <c r="A837" s="15" t="inlineStr">
        <is>
          <t xml:space="preserve">Ezekiel 31</t>
        </is>
      </c>
      <c r="B837" s="15">
        <v>833</v>
      </c>
      <c r="C837" s="15" t="inlineStr">
        <is>
          <t xml:space="preserve">Old Testament</t>
        </is>
      </c>
      <c r="D837" s="15">
        <v>26</v>
      </c>
      <c r="E837" s="15" t="inlineStr">
        <is>
          <t xml:space="preserve">Ezekiel</t>
        </is>
      </c>
      <c r="F837" s="15">
        <v>31</v>
      </c>
      <c r="G837" s="15" t="inlineStr">
        <is>
          <t xml:space="preserve">v0.5</t>
        </is>
      </c>
      <c r="H837" s="15" t="inlineStr">
        <is>
          <t xml:space="preserve">Bible_Journey_Canon_Map_v0_5_Exile_Return_Persia.xlsx</t>
        </is>
      </c>
      <c r="I837" s="15" t="inlineStr">
        <is>
          <t xml:space="preserve">Coverage Audit</t>
        </is>
      </c>
      <c r="J837" s="15" t="inlineStr">
        <is>
          <t xml:space="preserve">CRS-05-011</t>
        </is>
      </c>
      <c r="K837" s="15" t="inlineStr">
        <is>
          <t xml:space="preserve">BLK-05-011</t>
        </is>
      </c>
      <c r="L837" s="15" t="inlineStr">
        <is>
          <t xml:space="preserve">Covered</t>
        </is>
      </c>
      <c r="M837" s="15" t="inlineStr">
        <is>
          <t xml:space="preserve">Single reading block</t>
        </is>
      </c>
      <c r="N837" s="15"/>
      <c r="O837" s="15">
        <v>1</v>
      </c>
      <c r="P837" s="10" t="str">
        <f>IF(L837="MISSING","MISSING",IF(O837=1,"PASS","DUPLICATE"))</f>
        <v>PASS</v>
      </c>
    </row>
    <row r="838" ht="22" customHeight="1">
      <c r="A838" s="15" t="inlineStr">
        <is>
          <t xml:space="preserve">Ezekiel 32</t>
        </is>
      </c>
      <c r="B838" s="15">
        <v>834</v>
      </c>
      <c r="C838" s="15" t="inlineStr">
        <is>
          <t xml:space="preserve">Old Testament</t>
        </is>
      </c>
      <c r="D838" s="15">
        <v>26</v>
      </c>
      <c r="E838" s="15" t="inlineStr">
        <is>
          <t xml:space="preserve">Ezekiel</t>
        </is>
      </c>
      <c r="F838" s="15">
        <v>32</v>
      </c>
      <c r="G838" s="15" t="inlineStr">
        <is>
          <t xml:space="preserve">v0.5</t>
        </is>
      </c>
      <c r="H838" s="15" t="inlineStr">
        <is>
          <t xml:space="preserve">Bible_Journey_Canon_Map_v0_5_Exile_Return_Persia.xlsx</t>
        </is>
      </c>
      <c r="I838" s="15" t="inlineStr">
        <is>
          <t xml:space="preserve">Coverage Audit</t>
        </is>
      </c>
      <c r="J838" s="15" t="inlineStr">
        <is>
          <t xml:space="preserve">CRS-05-012</t>
        </is>
      </c>
      <c r="K838" s="15" t="inlineStr">
        <is>
          <t xml:space="preserve">BLK-05-012</t>
        </is>
      </c>
      <c r="L838" s="15" t="inlineStr">
        <is>
          <t xml:space="preserve">Covered</t>
        </is>
      </c>
      <c r="M838" s="15" t="inlineStr">
        <is>
          <t xml:space="preserve">Single reading block</t>
        </is>
      </c>
      <c r="N838" s="15"/>
      <c r="O838" s="15">
        <v>1</v>
      </c>
      <c r="P838" s="10" t="str">
        <f>IF(L838="MISSING","MISSING",IF(O838=1,"PASS","DUPLICATE"))</f>
        <v>PASS</v>
      </c>
    </row>
    <row r="839" ht="22" customHeight="1">
      <c r="A839" s="15" t="inlineStr">
        <is>
          <t xml:space="preserve">Ezekiel 33</t>
        </is>
      </c>
      <c r="B839" s="15">
        <v>835</v>
      </c>
      <c r="C839" s="15" t="inlineStr">
        <is>
          <t xml:space="preserve">Old Testament</t>
        </is>
      </c>
      <c r="D839" s="15">
        <v>26</v>
      </c>
      <c r="E839" s="15" t="inlineStr">
        <is>
          <t xml:space="preserve">Ezekiel</t>
        </is>
      </c>
      <c r="F839" s="15">
        <v>33</v>
      </c>
      <c r="G839" s="15" t="inlineStr">
        <is>
          <t xml:space="preserve">v0.5</t>
        </is>
      </c>
      <c r="H839" s="15" t="inlineStr">
        <is>
          <t xml:space="preserve">Bible_Journey_Canon_Map_v0_5_Exile_Return_Persia.xlsx</t>
        </is>
      </c>
      <c r="I839" s="15" t="inlineStr">
        <is>
          <t xml:space="preserve">Coverage Audit</t>
        </is>
      </c>
      <c r="J839" s="15" t="inlineStr">
        <is>
          <t xml:space="preserve">CRS-05-013</t>
        </is>
      </c>
      <c r="K839" s="15" t="inlineStr">
        <is>
          <t xml:space="preserve">BLK-05-013, BLK-05-014</t>
        </is>
      </c>
      <c r="L839" s="15" t="inlineStr">
        <is>
          <t xml:space="preserve">Covered</t>
        </is>
      </c>
      <c r="M839" s="15" t="inlineStr">
        <is>
          <t xml:space="preserve">Split across reading blocks</t>
        </is>
      </c>
      <c r="N839" s="15"/>
      <c r="O839" s="15">
        <v>1</v>
      </c>
      <c r="P839" s="10" t="str">
        <f>IF(L839="MISSING","MISSING",IF(O839=1,"PASS","DUPLICATE"))</f>
        <v>PASS</v>
      </c>
    </row>
    <row r="840" ht="22" customHeight="1">
      <c r="A840" s="15" t="inlineStr">
        <is>
          <t xml:space="preserve">Ezekiel 34</t>
        </is>
      </c>
      <c r="B840" s="15">
        <v>836</v>
      </c>
      <c r="C840" s="15" t="inlineStr">
        <is>
          <t xml:space="preserve">Old Testament</t>
        </is>
      </c>
      <c r="D840" s="15">
        <v>26</v>
      </c>
      <c r="E840" s="15" t="inlineStr">
        <is>
          <t xml:space="preserve">Ezekiel</t>
        </is>
      </c>
      <c r="F840" s="15">
        <v>34</v>
      </c>
      <c r="G840" s="15" t="inlineStr">
        <is>
          <t xml:space="preserve">v0.5</t>
        </is>
      </c>
      <c r="H840" s="15" t="inlineStr">
        <is>
          <t xml:space="preserve">Bible_Journey_Canon_Map_v0_5_Exile_Return_Persia.xlsx</t>
        </is>
      </c>
      <c r="I840" s="15" t="inlineStr">
        <is>
          <t xml:space="preserve">Coverage Audit</t>
        </is>
      </c>
      <c r="J840" s="15" t="inlineStr">
        <is>
          <t xml:space="preserve">CRS-05-014</t>
        </is>
      </c>
      <c r="K840" s="15" t="inlineStr">
        <is>
          <t xml:space="preserve">BLK-05-014</t>
        </is>
      </c>
      <c r="L840" s="15" t="inlineStr">
        <is>
          <t xml:space="preserve">Covered</t>
        </is>
      </c>
      <c r="M840" s="15" t="inlineStr">
        <is>
          <t xml:space="preserve">Single reading block</t>
        </is>
      </c>
      <c r="N840" s="15"/>
      <c r="O840" s="15">
        <v>1</v>
      </c>
      <c r="P840" s="10" t="str">
        <f>IF(L840="MISSING","MISSING",IF(O840=1,"PASS","DUPLICATE"))</f>
        <v>PASS</v>
      </c>
    </row>
    <row r="841" ht="22" customHeight="1">
      <c r="A841" s="15" t="inlineStr">
        <is>
          <t xml:space="preserve">Ezekiel 35</t>
        </is>
      </c>
      <c r="B841" s="15">
        <v>837</v>
      </c>
      <c r="C841" s="15" t="inlineStr">
        <is>
          <t xml:space="preserve">Old Testament</t>
        </is>
      </c>
      <c r="D841" s="15">
        <v>26</v>
      </c>
      <c r="E841" s="15" t="inlineStr">
        <is>
          <t xml:space="preserve">Ezekiel</t>
        </is>
      </c>
      <c r="F841" s="15">
        <v>35</v>
      </c>
      <c r="G841" s="15" t="inlineStr">
        <is>
          <t xml:space="preserve">v0.5</t>
        </is>
      </c>
      <c r="H841" s="15" t="inlineStr">
        <is>
          <t xml:space="preserve">Bible_Journey_Canon_Map_v0_5_Exile_Return_Persia.xlsx</t>
        </is>
      </c>
      <c r="I841" s="15" t="inlineStr">
        <is>
          <t xml:space="preserve">Coverage Audit</t>
        </is>
      </c>
      <c r="J841" s="15" t="inlineStr">
        <is>
          <t xml:space="preserve">CRS-05-014</t>
        </is>
      </c>
      <c r="K841" s="15" t="inlineStr">
        <is>
          <t xml:space="preserve">BLK-05-014</t>
        </is>
      </c>
      <c r="L841" s="15" t="inlineStr">
        <is>
          <t xml:space="preserve">Covered</t>
        </is>
      </c>
      <c r="M841" s="15" t="inlineStr">
        <is>
          <t xml:space="preserve">Single reading block</t>
        </is>
      </c>
      <c r="N841" s="15"/>
      <c r="O841" s="15">
        <v>1</v>
      </c>
      <c r="P841" s="10" t="str">
        <f>IF(L841="MISSING","MISSING",IF(O841=1,"PASS","DUPLICATE"))</f>
        <v>PASS</v>
      </c>
    </row>
    <row r="842" ht="22" customHeight="1">
      <c r="A842" s="15" t="inlineStr">
        <is>
          <t xml:space="preserve">Ezekiel 36</t>
        </is>
      </c>
      <c r="B842" s="15">
        <v>838</v>
      </c>
      <c r="C842" s="15" t="inlineStr">
        <is>
          <t xml:space="preserve">Old Testament</t>
        </is>
      </c>
      <c r="D842" s="15">
        <v>26</v>
      </c>
      <c r="E842" s="15" t="inlineStr">
        <is>
          <t xml:space="preserve">Ezekiel</t>
        </is>
      </c>
      <c r="F842" s="15">
        <v>36</v>
      </c>
      <c r="G842" s="15" t="inlineStr">
        <is>
          <t xml:space="preserve">v0.5</t>
        </is>
      </c>
      <c r="H842" s="15" t="inlineStr">
        <is>
          <t xml:space="preserve">Bible_Journey_Canon_Map_v0_5_Exile_Return_Persia.xlsx</t>
        </is>
      </c>
      <c r="I842" s="15" t="inlineStr">
        <is>
          <t xml:space="preserve">Coverage Audit</t>
        </is>
      </c>
      <c r="J842" s="15" t="inlineStr">
        <is>
          <t xml:space="preserve">CRS-05-014</t>
        </is>
      </c>
      <c r="K842" s="15" t="inlineStr">
        <is>
          <t xml:space="preserve">BLK-05-014</t>
        </is>
      </c>
      <c r="L842" s="15" t="inlineStr">
        <is>
          <t xml:space="preserve">Covered</t>
        </is>
      </c>
      <c r="M842" s="15" t="inlineStr">
        <is>
          <t xml:space="preserve">Single reading block</t>
        </is>
      </c>
      <c r="N842" s="15"/>
      <c r="O842" s="15">
        <v>1</v>
      </c>
      <c r="P842" s="10" t="str">
        <f>IF(L842="MISSING","MISSING",IF(O842=1,"PASS","DUPLICATE"))</f>
        <v>PASS</v>
      </c>
    </row>
    <row r="843" ht="22" customHeight="1">
      <c r="A843" s="15" t="inlineStr">
        <is>
          <t xml:space="preserve">Ezekiel 37</t>
        </is>
      </c>
      <c r="B843" s="15">
        <v>839</v>
      </c>
      <c r="C843" s="15" t="inlineStr">
        <is>
          <t xml:space="preserve">Old Testament</t>
        </is>
      </c>
      <c r="D843" s="15">
        <v>26</v>
      </c>
      <c r="E843" s="15" t="inlineStr">
        <is>
          <t xml:space="preserve">Ezekiel</t>
        </is>
      </c>
      <c r="F843" s="15">
        <v>37</v>
      </c>
      <c r="G843" s="15" t="inlineStr">
        <is>
          <t xml:space="preserve">v0.5</t>
        </is>
      </c>
      <c r="H843" s="15" t="inlineStr">
        <is>
          <t xml:space="preserve">Bible_Journey_Canon_Map_v0_5_Exile_Return_Persia.xlsx</t>
        </is>
      </c>
      <c r="I843" s="15" t="inlineStr">
        <is>
          <t xml:space="preserve">Coverage Audit</t>
        </is>
      </c>
      <c r="J843" s="15" t="inlineStr">
        <is>
          <t xml:space="preserve">CRS-05-014</t>
        </is>
      </c>
      <c r="K843" s="15" t="inlineStr">
        <is>
          <t xml:space="preserve">BLK-05-014</t>
        </is>
      </c>
      <c r="L843" s="15" t="inlineStr">
        <is>
          <t xml:space="preserve">Covered</t>
        </is>
      </c>
      <c r="M843" s="15" t="inlineStr">
        <is>
          <t xml:space="preserve">Single reading block</t>
        </is>
      </c>
      <c r="N843" s="15"/>
      <c r="O843" s="15">
        <v>1</v>
      </c>
      <c r="P843" s="10" t="str">
        <f>IF(L843="MISSING","MISSING",IF(O843=1,"PASS","DUPLICATE"))</f>
        <v>PASS</v>
      </c>
    </row>
    <row r="844" ht="22" customHeight="1">
      <c r="A844" s="15" t="inlineStr">
        <is>
          <t xml:space="preserve">Ezekiel 38</t>
        </is>
      </c>
      <c r="B844" s="15">
        <v>840</v>
      </c>
      <c r="C844" s="15" t="inlineStr">
        <is>
          <t xml:space="preserve">Old Testament</t>
        </is>
      </c>
      <c r="D844" s="15">
        <v>26</v>
      </c>
      <c r="E844" s="15" t="inlineStr">
        <is>
          <t xml:space="preserve">Ezekiel</t>
        </is>
      </c>
      <c r="F844" s="15">
        <v>38</v>
      </c>
      <c r="G844" s="15" t="inlineStr">
        <is>
          <t xml:space="preserve">v0.5</t>
        </is>
      </c>
      <c r="H844" s="15" t="inlineStr">
        <is>
          <t xml:space="preserve">Bible_Journey_Canon_Map_v0_5_Exile_Return_Persia.xlsx</t>
        </is>
      </c>
      <c r="I844" s="15" t="inlineStr">
        <is>
          <t xml:space="preserve">Coverage Audit</t>
        </is>
      </c>
      <c r="J844" s="15" t="inlineStr">
        <is>
          <t xml:space="preserve">CRS-05-014</t>
        </is>
      </c>
      <c r="K844" s="15" t="inlineStr">
        <is>
          <t xml:space="preserve">BLK-05-014</t>
        </is>
      </c>
      <c r="L844" s="15" t="inlineStr">
        <is>
          <t xml:space="preserve">Covered</t>
        </is>
      </c>
      <c r="M844" s="15" t="inlineStr">
        <is>
          <t xml:space="preserve">Single reading block</t>
        </is>
      </c>
      <c r="N844" s="15"/>
      <c r="O844" s="15">
        <v>1</v>
      </c>
      <c r="P844" s="10" t="str">
        <f>IF(L844="MISSING","MISSING",IF(O844=1,"PASS","DUPLICATE"))</f>
        <v>PASS</v>
      </c>
    </row>
    <row r="845" ht="22" customHeight="1">
      <c r="A845" s="15" t="inlineStr">
        <is>
          <t xml:space="preserve">Ezekiel 39</t>
        </is>
      </c>
      <c r="B845" s="15">
        <v>841</v>
      </c>
      <c r="C845" s="15" t="inlineStr">
        <is>
          <t xml:space="preserve">Old Testament</t>
        </is>
      </c>
      <c r="D845" s="15">
        <v>26</v>
      </c>
      <c r="E845" s="15" t="inlineStr">
        <is>
          <t xml:space="preserve">Ezekiel</t>
        </is>
      </c>
      <c r="F845" s="15">
        <v>39</v>
      </c>
      <c r="G845" s="15" t="inlineStr">
        <is>
          <t xml:space="preserve">v0.5</t>
        </is>
      </c>
      <c r="H845" s="15" t="inlineStr">
        <is>
          <t xml:space="preserve">Bible_Journey_Canon_Map_v0_5_Exile_Return_Persia.xlsx</t>
        </is>
      </c>
      <c r="I845" s="15" t="inlineStr">
        <is>
          <t xml:space="preserve">Coverage Audit</t>
        </is>
      </c>
      <c r="J845" s="15" t="inlineStr">
        <is>
          <t xml:space="preserve">CRS-05-014</t>
        </is>
      </c>
      <c r="K845" s="15" t="inlineStr">
        <is>
          <t xml:space="preserve">BLK-05-014</t>
        </is>
      </c>
      <c r="L845" s="15" t="inlineStr">
        <is>
          <t xml:space="preserve">Covered</t>
        </is>
      </c>
      <c r="M845" s="15" t="inlineStr">
        <is>
          <t xml:space="preserve">Single reading block</t>
        </is>
      </c>
      <c r="N845" s="15"/>
      <c r="O845" s="15">
        <v>1</v>
      </c>
      <c r="P845" s="10" t="str">
        <f>IF(L845="MISSING","MISSING",IF(O845=1,"PASS","DUPLICATE"))</f>
        <v>PASS</v>
      </c>
    </row>
    <row r="846" ht="22" customHeight="1">
      <c r="A846" s="15" t="inlineStr">
        <is>
          <t xml:space="preserve">Ezekiel 40</t>
        </is>
      </c>
      <c r="B846" s="15">
        <v>842</v>
      </c>
      <c r="C846" s="15" t="inlineStr">
        <is>
          <t xml:space="preserve">Old Testament</t>
        </is>
      </c>
      <c r="D846" s="15">
        <v>26</v>
      </c>
      <c r="E846" s="15" t="inlineStr">
        <is>
          <t xml:space="preserve">Ezekiel</t>
        </is>
      </c>
      <c r="F846" s="15">
        <v>40</v>
      </c>
      <c r="G846" s="15" t="inlineStr">
        <is>
          <t xml:space="preserve">v0.5</t>
        </is>
      </c>
      <c r="H846" s="15" t="inlineStr">
        <is>
          <t xml:space="preserve">Bible_Journey_Canon_Map_v0_5_Exile_Return_Persia.xlsx</t>
        </is>
      </c>
      <c r="I846" s="15" t="inlineStr">
        <is>
          <t xml:space="preserve">Coverage Audit</t>
        </is>
      </c>
      <c r="J846" s="15" t="inlineStr">
        <is>
          <t xml:space="preserve">CRS-05-015</t>
        </is>
      </c>
      <c r="K846" s="15" t="inlineStr">
        <is>
          <t xml:space="preserve">BLK-05-015</t>
        </is>
      </c>
      <c r="L846" s="15" t="inlineStr">
        <is>
          <t xml:space="preserve">Covered</t>
        </is>
      </c>
      <c r="M846" s="15" t="inlineStr">
        <is>
          <t xml:space="preserve">Single reading block</t>
        </is>
      </c>
      <c r="N846" s="15"/>
      <c r="O846" s="15">
        <v>1</v>
      </c>
      <c r="P846" s="10" t="str">
        <f>IF(L846="MISSING","MISSING",IF(O846=1,"PASS","DUPLICATE"))</f>
        <v>PASS</v>
      </c>
    </row>
    <row r="847" ht="22" customHeight="1">
      <c r="A847" s="15" t="inlineStr">
        <is>
          <t xml:space="preserve">Ezekiel 41</t>
        </is>
      </c>
      <c r="B847" s="15">
        <v>843</v>
      </c>
      <c r="C847" s="15" t="inlineStr">
        <is>
          <t xml:space="preserve">Old Testament</t>
        </is>
      </c>
      <c r="D847" s="15">
        <v>26</v>
      </c>
      <c r="E847" s="15" t="inlineStr">
        <is>
          <t xml:space="preserve">Ezekiel</t>
        </is>
      </c>
      <c r="F847" s="15">
        <v>41</v>
      </c>
      <c r="G847" s="15" t="inlineStr">
        <is>
          <t xml:space="preserve">v0.5</t>
        </is>
      </c>
      <c r="H847" s="15" t="inlineStr">
        <is>
          <t xml:space="preserve">Bible_Journey_Canon_Map_v0_5_Exile_Return_Persia.xlsx</t>
        </is>
      </c>
      <c r="I847" s="15" t="inlineStr">
        <is>
          <t xml:space="preserve">Coverage Audit</t>
        </is>
      </c>
      <c r="J847" s="15" t="inlineStr">
        <is>
          <t xml:space="preserve">CRS-05-015</t>
        </is>
      </c>
      <c r="K847" s="15" t="inlineStr">
        <is>
          <t xml:space="preserve">BLK-05-015</t>
        </is>
      </c>
      <c r="L847" s="15" t="inlineStr">
        <is>
          <t xml:space="preserve">Covered</t>
        </is>
      </c>
      <c r="M847" s="15" t="inlineStr">
        <is>
          <t xml:space="preserve">Single reading block</t>
        </is>
      </c>
      <c r="N847" s="15"/>
      <c r="O847" s="15">
        <v>1</v>
      </c>
      <c r="P847" s="10" t="str">
        <f>IF(L847="MISSING","MISSING",IF(O847=1,"PASS","DUPLICATE"))</f>
        <v>PASS</v>
      </c>
    </row>
    <row r="848" ht="22" customHeight="1">
      <c r="A848" s="15" t="inlineStr">
        <is>
          <t xml:space="preserve">Ezekiel 42</t>
        </is>
      </c>
      <c r="B848" s="15">
        <v>844</v>
      </c>
      <c r="C848" s="15" t="inlineStr">
        <is>
          <t xml:space="preserve">Old Testament</t>
        </is>
      </c>
      <c r="D848" s="15">
        <v>26</v>
      </c>
      <c r="E848" s="15" t="inlineStr">
        <is>
          <t xml:space="preserve">Ezekiel</t>
        </is>
      </c>
      <c r="F848" s="15">
        <v>42</v>
      </c>
      <c r="G848" s="15" t="inlineStr">
        <is>
          <t xml:space="preserve">v0.5</t>
        </is>
      </c>
      <c r="H848" s="15" t="inlineStr">
        <is>
          <t xml:space="preserve">Bible_Journey_Canon_Map_v0_5_Exile_Return_Persia.xlsx</t>
        </is>
      </c>
      <c r="I848" s="15" t="inlineStr">
        <is>
          <t xml:space="preserve">Coverage Audit</t>
        </is>
      </c>
      <c r="J848" s="15" t="inlineStr">
        <is>
          <t xml:space="preserve">CRS-05-015</t>
        </is>
      </c>
      <c r="K848" s="15" t="inlineStr">
        <is>
          <t xml:space="preserve">BLK-05-015</t>
        </is>
      </c>
      <c r="L848" s="15" t="inlineStr">
        <is>
          <t xml:space="preserve">Covered</t>
        </is>
      </c>
      <c r="M848" s="15" t="inlineStr">
        <is>
          <t xml:space="preserve">Single reading block</t>
        </is>
      </c>
      <c r="N848" s="15"/>
      <c r="O848" s="15">
        <v>1</v>
      </c>
      <c r="P848" s="10" t="str">
        <f>IF(L848="MISSING","MISSING",IF(O848=1,"PASS","DUPLICATE"))</f>
        <v>PASS</v>
      </c>
    </row>
    <row r="849" ht="22" customHeight="1">
      <c r="A849" s="15" t="inlineStr">
        <is>
          <t xml:space="preserve">Ezekiel 43</t>
        </is>
      </c>
      <c r="B849" s="15">
        <v>845</v>
      </c>
      <c r="C849" s="15" t="inlineStr">
        <is>
          <t xml:space="preserve">Old Testament</t>
        </is>
      </c>
      <c r="D849" s="15">
        <v>26</v>
      </c>
      <c r="E849" s="15" t="inlineStr">
        <is>
          <t xml:space="preserve">Ezekiel</t>
        </is>
      </c>
      <c r="F849" s="15">
        <v>43</v>
      </c>
      <c r="G849" s="15" t="inlineStr">
        <is>
          <t xml:space="preserve">v0.5</t>
        </is>
      </c>
      <c r="H849" s="15" t="inlineStr">
        <is>
          <t xml:space="preserve">Bible_Journey_Canon_Map_v0_5_Exile_Return_Persia.xlsx</t>
        </is>
      </c>
      <c r="I849" s="15" t="inlineStr">
        <is>
          <t xml:space="preserve">Coverage Audit</t>
        </is>
      </c>
      <c r="J849" s="15" t="inlineStr">
        <is>
          <t xml:space="preserve">CRS-05-015</t>
        </is>
      </c>
      <c r="K849" s="15" t="inlineStr">
        <is>
          <t xml:space="preserve">BLK-05-015</t>
        </is>
      </c>
      <c r="L849" s="15" t="inlineStr">
        <is>
          <t xml:space="preserve">Covered</t>
        </is>
      </c>
      <c r="M849" s="15" t="inlineStr">
        <is>
          <t xml:space="preserve">Single reading block</t>
        </is>
      </c>
      <c r="N849" s="15"/>
      <c r="O849" s="15">
        <v>1</v>
      </c>
      <c r="P849" s="10" t="str">
        <f>IF(L849="MISSING","MISSING",IF(O849=1,"PASS","DUPLICATE"))</f>
        <v>PASS</v>
      </c>
    </row>
    <row r="850" ht="22" customHeight="1">
      <c r="A850" s="15" t="inlineStr">
        <is>
          <t xml:space="preserve">Ezekiel 44</t>
        </is>
      </c>
      <c r="B850" s="15">
        <v>846</v>
      </c>
      <c r="C850" s="15" t="inlineStr">
        <is>
          <t xml:space="preserve">Old Testament</t>
        </is>
      </c>
      <c r="D850" s="15">
        <v>26</v>
      </c>
      <c r="E850" s="15" t="inlineStr">
        <is>
          <t xml:space="preserve">Ezekiel</t>
        </is>
      </c>
      <c r="F850" s="15">
        <v>44</v>
      </c>
      <c r="G850" s="15" t="inlineStr">
        <is>
          <t xml:space="preserve">v0.5</t>
        </is>
      </c>
      <c r="H850" s="15" t="inlineStr">
        <is>
          <t xml:space="preserve">Bible_Journey_Canon_Map_v0_5_Exile_Return_Persia.xlsx</t>
        </is>
      </c>
      <c r="I850" s="15" t="inlineStr">
        <is>
          <t xml:space="preserve">Coverage Audit</t>
        </is>
      </c>
      <c r="J850" s="15" t="inlineStr">
        <is>
          <t xml:space="preserve">CRS-05-015</t>
        </is>
      </c>
      <c r="K850" s="15" t="inlineStr">
        <is>
          <t xml:space="preserve">BLK-05-015</t>
        </is>
      </c>
      <c r="L850" s="15" t="inlineStr">
        <is>
          <t xml:space="preserve">Covered</t>
        </is>
      </c>
      <c r="M850" s="15" t="inlineStr">
        <is>
          <t xml:space="preserve">Single reading block</t>
        </is>
      </c>
      <c r="N850" s="15"/>
      <c r="O850" s="15">
        <v>1</v>
      </c>
      <c r="P850" s="10" t="str">
        <f>IF(L850="MISSING","MISSING",IF(O850=1,"PASS","DUPLICATE"))</f>
        <v>PASS</v>
      </c>
    </row>
    <row r="851" ht="22" customHeight="1">
      <c r="A851" s="15" t="inlineStr">
        <is>
          <t xml:space="preserve">Ezekiel 45</t>
        </is>
      </c>
      <c r="B851" s="15">
        <v>847</v>
      </c>
      <c r="C851" s="15" t="inlineStr">
        <is>
          <t xml:space="preserve">Old Testament</t>
        </is>
      </c>
      <c r="D851" s="15">
        <v>26</v>
      </c>
      <c r="E851" s="15" t="inlineStr">
        <is>
          <t xml:space="preserve">Ezekiel</t>
        </is>
      </c>
      <c r="F851" s="15">
        <v>45</v>
      </c>
      <c r="G851" s="15" t="inlineStr">
        <is>
          <t xml:space="preserve">v0.5</t>
        </is>
      </c>
      <c r="H851" s="15" t="inlineStr">
        <is>
          <t xml:space="preserve">Bible_Journey_Canon_Map_v0_5_Exile_Return_Persia.xlsx</t>
        </is>
      </c>
      <c r="I851" s="15" t="inlineStr">
        <is>
          <t xml:space="preserve">Coverage Audit</t>
        </is>
      </c>
      <c r="J851" s="15" t="inlineStr">
        <is>
          <t xml:space="preserve">CRS-05-015</t>
        </is>
      </c>
      <c r="K851" s="15" t="inlineStr">
        <is>
          <t xml:space="preserve">BLK-05-015</t>
        </is>
      </c>
      <c r="L851" s="15" t="inlineStr">
        <is>
          <t xml:space="preserve">Covered</t>
        </is>
      </c>
      <c r="M851" s="15" t="inlineStr">
        <is>
          <t xml:space="preserve">Single reading block</t>
        </is>
      </c>
      <c r="N851" s="15"/>
      <c r="O851" s="15">
        <v>1</v>
      </c>
      <c r="P851" s="10" t="str">
        <f>IF(L851="MISSING","MISSING",IF(O851=1,"PASS","DUPLICATE"))</f>
        <v>PASS</v>
      </c>
    </row>
    <row r="852" ht="22" customHeight="1">
      <c r="A852" s="15" t="inlineStr">
        <is>
          <t xml:space="preserve">Ezekiel 46</t>
        </is>
      </c>
      <c r="B852" s="15">
        <v>848</v>
      </c>
      <c r="C852" s="15" t="inlineStr">
        <is>
          <t xml:space="preserve">Old Testament</t>
        </is>
      </c>
      <c r="D852" s="15">
        <v>26</v>
      </c>
      <c r="E852" s="15" t="inlineStr">
        <is>
          <t xml:space="preserve">Ezekiel</t>
        </is>
      </c>
      <c r="F852" s="15">
        <v>46</v>
      </c>
      <c r="G852" s="15" t="inlineStr">
        <is>
          <t xml:space="preserve">v0.5</t>
        </is>
      </c>
      <c r="H852" s="15" t="inlineStr">
        <is>
          <t xml:space="preserve">Bible_Journey_Canon_Map_v0_5_Exile_Return_Persia.xlsx</t>
        </is>
      </c>
      <c r="I852" s="15" t="inlineStr">
        <is>
          <t xml:space="preserve">Coverage Audit</t>
        </is>
      </c>
      <c r="J852" s="15" t="inlineStr">
        <is>
          <t xml:space="preserve">CRS-05-015</t>
        </is>
      </c>
      <c r="K852" s="15" t="inlineStr">
        <is>
          <t xml:space="preserve">BLK-05-015</t>
        </is>
      </c>
      <c r="L852" s="15" t="inlineStr">
        <is>
          <t xml:space="preserve">Covered</t>
        </is>
      </c>
      <c r="M852" s="15" t="inlineStr">
        <is>
          <t xml:space="preserve">Single reading block</t>
        </is>
      </c>
      <c r="N852" s="15"/>
      <c r="O852" s="15">
        <v>1</v>
      </c>
      <c r="P852" s="10" t="str">
        <f>IF(L852="MISSING","MISSING",IF(O852=1,"PASS","DUPLICATE"))</f>
        <v>PASS</v>
      </c>
    </row>
    <row r="853" ht="22" customHeight="1">
      <c r="A853" s="15" t="inlineStr">
        <is>
          <t xml:space="preserve">Ezekiel 47</t>
        </is>
      </c>
      <c r="B853" s="15">
        <v>849</v>
      </c>
      <c r="C853" s="15" t="inlineStr">
        <is>
          <t xml:space="preserve">Old Testament</t>
        </is>
      </c>
      <c r="D853" s="15">
        <v>26</v>
      </c>
      <c r="E853" s="15" t="inlineStr">
        <is>
          <t xml:space="preserve">Ezekiel</t>
        </is>
      </c>
      <c r="F853" s="15">
        <v>47</v>
      </c>
      <c r="G853" s="15" t="inlineStr">
        <is>
          <t xml:space="preserve">v0.5</t>
        </is>
      </c>
      <c r="H853" s="15" t="inlineStr">
        <is>
          <t xml:space="preserve">Bible_Journey_Canon_Map_v0_5_Exile_Return_Persia.xlsx</t>
        </is>
      </c>
      <c r="I853" s="15" t="inlineStr">
        <is>
          <t xml:space="preserve">Coverage Audit</t>
        </is>
      </c>
      <c r="J853" s="15" t="inlineStr">
        <is>
          <t xml:space="preserve">CRS-05-015</t>
        </is>
      </c>
      <c r="K853" s="15" t="inlineStr">
        <is>
          <t xml:space="preserve">BLK-05-015</t>
        </is>
      </c>
      <c r="L853" s="15" t="inlineStr">
        <is>
          <t xml:space="preserve">Covered</t>
        </is>
      </c>
      <c r="M853" s="15" t="inlineStr">
        <is>
          <t xml:space="preserve">Single reading block</t>
        </is>
      </c>
      <c r="N853" s="15"/>
      <c r="O853" s="15">
        <v>1</v>
      </c>
      <c r="P853" s="10" t="str">
        <f>IF(L853="MISSING","MISSING",IF(O853=1,"PASS","DUPLICATE"))</f>
        <v>PASS</v>
      </c>
    </row>
    <row r="854" ht="22" customHeight="1">
      <c r="A854" s="15" t="inlineStr">
        <is>
          <t xml:space="preserve">Ezekiel 48</t>
        </is>
      </c>
      <c r="B854" s="15">
        <v>850</v>
      </c>
      <c r="C854" s="15" t="inlineStr">
        <is>
          <t xml:space="preserve">Old Testament</t>
        </is>
      </c>
      <c r="D854" s="15">
        <v>26</v>
      </c>
      <c r="E854" s="15" t="inlineStr">
        <is>
          <t xml:space="preserve">Ezekiel</t>
        </is>
      </c>
      <c r="F854" s="15">
        <v>48</v>
      </c>
      <c r="G854" s="15" t="inlineStr">
        <is>
          <t xml:space="preserve">v0.5</t>
        </is>
      </c>
      <c r="H854" s="15" t="inlineStr">
        <is>
          <t xml:space="preserve">Bible_Journey_Canon_Map_v0_5_Exile_Return_Persia.xlsx</t>
        </is>
      </c>
      <c r="I854" s="15" t="inlineStr">
        <is>
          <t xml:space="preserve">Coverage Audit</t>
        </is>
      </c>
      <c r="J854" s="15" t="inlineStr">
        <is>
          <t xml:space="preserve">CRS-05-015</t>
        </is>
      </c>
      <c r="K854" s="15" t="inlineStr">
        <is>
          <t xml:space="preserve">BLK-05-015</t>
        </is>
      </c>
      <c r="L854" s="15" t="inlineStr">
        <is>
          <t xml:space="preserve">Covered</t>
        </is>
      </c>
      <c r="M854" s="15" t="inlineStr">
        <is>
          <t xml:space="preserve">Single reading block</t>
        </is>
      </c>
      <c r="N854" s="15"/>
      <c r="O854" s="15">
        <v>1</v>
      </c>
      <c r="P854" s="10" t="str">
        <f>IF(L854="MISSING","MISSING",IF(O854=1,"PASS","DUPLICATE"))</f>
        <v>PASS</v>
      </c>
    </row>
    <row r="855" ht="22" customHeight="1">
      <c r="A855" s="15" t="inlineStr">
        <is>
          <t xml:space="preserve">Daniel 1</t>
        </is>
      </c>
      <c r="B855" s="15">
        <v>851</v>
      </c>
      <c r="C855" s="15" t="inlineStr">
        <is>
          <t xml:space="preserve">Old Testament</t>
        </is>
      </c>
      <c r="D855" s="15">
        <v>27</v>
      </c>
      <c r="E855" s="15" t="inlineStr">
        <is>
          <t xml:space="preserve">Daniel</t>
        </is>
      </c>
      <c r="F855" s="15">
        <v>1</v>
      </c>
      <c r="G855" s="15" t="inlineStr">
        <is>
          <t xml:space="preserve">v0.5</t>
        </is>
      </c>
      <c r="H855" s="15" t="inlineStr">
        <is>
          <t xml:space="preserve">Bible_Journey_Canon_Map_v0_5_Exile_Return_Persia.xlsx</t>
        </is>
      </c>
      <c r="I855" s="15" t="inlineStr">
        <is>
          <t xml:space="preserve">Coverage Audit</t>
        </is>
      </c>
      <c r="J855" s="15" t="inlineStr">
        <is>
          <t xml:space="preserve">CRS-05-002</t>
        </is>
      </c>
      <c r="K855" s="15" t="inlineStr">
        <is>
          <t xml:space="preserve">BLK-05-002</t>
        </is>
      </c>
      <c r="L855" s="15" t="inlineStr">
        <is>
          <t xml:space="preserve">Covered</t>
        </is>
      </c>
      <c r="M855" s="15" t="inlineStr">
        <is>
          <t xml:space="preserve">Single reading block</t>
        </is>
      </c>
      <c r="N855" s="15"/>
      <c r="O855" s="15">
        <v>1</v>
      </c>
      <c r="P855" s="10" t="str">
        <f>IF(L855="MISSING","MISSING",IF(O855=1,"PASS","DUPLICATE"))</f>
        <v>PASS</v>
      </c>
    </row>
    <row r="856" ht="22" customHeight="1">
      <c r="A856" s="15" t="inlineStr">
        <is>
          <t xml:space="preserve">Daniel 2</t>
        </is>
      </c>
      <c r="B856" s="15">
        <v>852</v>
      </c>
      <c r="C856" s="15" t="inlineStr">
        <is>
          <t xml:space="preserve">Old Testament</t>
        </is>
      </c>
      <c r="D856" s="15">
        <v>27</v>
      </c>
      <c r="E856" s="15" t="inlineStr">
        <is>
          <t xml:space="preserve">Daniel</t>
        </is>
      </c>
      <c r="F856" s="15">
        <v>2</v>
      </c>
      <c r="G856" s="15" t="inlineStr">
        <is>
          <t xml:space="preserve">v0.5</t>
        </is>
      </c>
      <c r="H856" s="15" t="inlineStr">
        <is>
          <t xml:space="preserve">Bible_Journey_Canon_Map_v0_5_Exile_Return_Persia.xlsx</t>
        </is>
      </c>
      <c r="I856" s="15" t="inlineStr">
        <is>
          <t xml:space="preserve">Coverage Audit</t>
        </is>
      </c>
      <c r="J856" s="15" t="inlineStr">
        <is>
          <t xml:space="preserve">CRS-05-003</t>
        </is>
      </c>
      <c r="K856" s="15" t="inlineStr">
        <is>
          <t xml:space="preserve">BLK-05-003</t>
        </is>
      </c>
      <c r="L856" s="15" t="inlineStr">
        <is>
          <t xml:space="preserve">Covered</t>
        </is>
      </c>
      <c r="M856" s="15" t="inlineStr">
        <is>
          <t xml:space="preserve">Single reading block</t>
        </is>
      </c>
      <c r="N856" s="15"/>
      <c r="O856" s="15">
        <v>1</v>
      </c>
      <c r="P856" s="10" t="str">
        <f>IF(L856="MISSING","MISSING",IF(O856=1,"PASS","DUPLICATE"))</f>
        <v>PASS</v>
      </c>
    </row>
    <row r="857" ht="22" customHeight="1">
      <c r="A857" s="15" t="inlineStr">
        <is>
          <t xml:space="preserve">Daniel 3</t>
        </is>
      </c>
      <c r="B857" s="15">
        <v>853</v>
      </c>
      <c r="C857" s="15" t="inlineStr">
        <is>
          <t xml:space="preserve">Old Testament</t>
        </is>
      </c>
      <c r="D857" s="15">
        <v>27</v>
      </c>
      <c r="E857" s="15" t="inlineStr">
        <is>
          <t xml:space="preserve">Daniel</t>
        </is>
      </c>
      <c r="F857" s="15">
        <v>3</v>
      </c>
      <c r="G857" s="15" t="inlineStr">
        <is>
          <t xml:space="preserve">v0.5</t>
        </is>
      </c>
      <c r="H857" s="15" t="inlineStr">
        <is>
          <t xml:space="preserve">Bible_Journey_Canon_Map_v0_5_Exile_Return_Persia.xlsx</t>
        </is>
      </c>
      <c r="I857" s="15" t="inlineStr">
        <is>
          <t xml:space="preserve">Coverage Audit</t>
        </is>
      </c>
      <c r="J857" s="15" t="inlineStr">
        <is>
          <t xml:space="preserve">CRS-05-003</t>
        </is>
      </c>
      <c r="K857" s="15" t="inlineStr">
        <is>
          <t xml:space="preserve">BLK-05-003</t>
        </is>
      </c>
      <c r="L857" s="15" t="inlineStr">
        <is>
          <t xml:space="preserve">Covered</t>
        </is>
      </c>
      <c r="M857" s="15" t="inlineStr">
        <is>
          <t xml:space="preserve">Single reading block</t>
        </is>
      </c>
      <c r="N857" s="15"/>
      <c r="O857" s="15">
        <v>1</v>
      </c>
      <c r="P857" s="10" t="str">
        <f>IF(L857="MISSING","MISSING",IF(O857=1,"PASS","DUPLICATE"))</f>
        <v>PASS</v>
      </c>
    </row>
    <row r="858" ht="22" customHeight="1">
      <c r="A858" s="15" t="inlineStr">
        <is>
          <t xml:space="preserve">Daniel 4</t>
        </is>
      </c>
      <c r="B858" s="15">
        <v>854</v>
      </c>
      <c r="C858" s="15" t="inlineStr">
        <is>
          <t xml:space="preserve">Old Testament</t>
        </is>
      </c>
      <c r="D858" s="15">
        <v>27</v>
      </c>
      <c r="E858" s="15" t="inlineStr">
        <is>
          <t xml:space="preserve">Daniel</t>
        </is>
      </c>
      <c r="F858" s="15">
        <v>4</v>
      </c>
      <c r="G858" s="15" t="inlineStr">
        <is>
          <t xml:space="preserve">v0.5</t>
        </is>
      </c>
      <c r="H858" s="15" t="inlineStr">
        <is>
          <t xml:space="preserve">Bible_Journey_Canon_Map_v0_5_Exile_Return_Persia.xlsx</t>
        </is>
      </c>
      <c r="I858" s="15" t="inlineStr">
        <is>
          <t xml:space="preserve">Coverage Audit</t>
        </is>
      </c>
      <c r="J858" s="15" t="inlineStr">
        <is>
          <t xml:space="preserve">CRS-05-003</t>
        </is>
      </c>
      <c r="K858" s="15" t="inlineStr">
        <is>
          <t xml:space="preserve">BLK-05-003</t>
        </is>
      </c>
      <c r="L858" s="15" t="inlineStr">
        <is>
          <t xml:space="preserve">Covered</t>
        </is>
      </c>
      <c r="M858" s="15" t="inlineStr">
        <is>
          <t xml:space="preserve">Single reading block</t>
        </is>
      </c>
      <c r="N858" s="15"/>
      <c r="O858" s="15">
        <v>1</v>
      </c>
      <c r="P858" s="10" t="str">
        <f>IF(L858="MISSING","MISSING",IF(O858=1,"PASS","DUPLICATE"))</f>
        <v>PASS</v>
      </c>
    </row>
    <row r="859" ht="22" customHeight="1">
      <c r="A859" s="15" t="inlineStr">
        <is>
          <t xml:space="preserve">Daniel 5</t>
        </is>
      </c>
      <c r="B859" s="15">
        <v>855</v>
      </c>
      <c r="C859" s="15" t="inlineStr">
        <is>
          <t xml:space="preserve">Old Testament</t>
        </is>
      </c>
      <c r="D859" s="15">
        <v>27</v>
      </c>
      <c r="E859" s="15" t="inlineStr">
        <is>
          <t xml:space="preserve">Daniel</t>
        </is>
      </c>
      <c r="F859" s="15">
        <v>5</v>
      </c>
      <c r="G859" s="15" t="inlineStr">
        <is>
          <t xml:space="preserve">v0.5</t>
        </is>
      </c>
      <c r="H859" s="15" t="inlineStr">
        <is>
          <t xml:space="preserve">Bible_Journey_Canon_Map_v0_5_Exile_Return_Persia.xlsx</t>
        </is>
      </c>
      <c r="I859" s="15" t="inlineStr">
        <is>
          <t xml:space="preserve">Coverage Audit</t>
        </is>
      </c>
      <c r="J859" s="15" t="inlineStr">
        <is>
          <t xml:space="preserve">CRS-05-019</t>
        </is>
      </c>
      <c r="K859" s="15" t="inlineStr">
        <is>
          <t xml:space="preserve">BLK-05-019</t>
        </is>
      </c>
      <c r="L859" s="15" t="inlineStr">
        <is>
          <t xml:space="preserve">Covered</t>
        </is>
      </c>
      <c r="M859" s="15" t="inlineStr">
        <is>
          <t xml:space="preserve">Single reading block</t>
        </is>
      </c>
      <c r="N859" s="15"/>
      <c r="O859" s="15">
        <v>1</v>
      </c>
      <c r="P859" s="10" t="str">
        <f>IF(L859="MISSING","MISSING",IF(O859=1,"PASS","DUPLICATE"))</f>
        <v>PASS</v>
      </c>
    </row>
    <row r="860" ht="22" customHeight="1">
      <c r="A860" s="15" t="inlineStr">
        <is>
          <t xml:space="preserve">Daniel 6</t>
        </is>
      </c>
      <c r="B860" s="15">
        <v>856</v>
      </c>
      <c r="C860" s="15" t="inlineStr">
        <is>
          <t xml:space="preserve">Old Testament</t>
        </is>
      </c>
      <c r="D860" s="15">
        <v>27</v>
      </c>
      <c r="E860" s="15" t="inlineStr">
        <is>
          <t xml:space="preserve">Daniel</t>
        </is>
      </c>
      <c r="F860" s="15">
        <v>6</v>
      </c>
      <c r="G860" s="15" t="inlineStr">
        <is>
          <t xml:space="preserve">v0.5</t>
        </is>
      </c>
      <c r="H860" s="15" t="inlineStr">
        <is>
          <t xml:space="preserve">Bible_Journey_Canon_Map_v0_5_Exile_Return_Persia.xlsx</t>
        </is>
      </c>
      <c r="I860" s="15" t="inlineStr">
        <is>
          <t xml:space="preserve">Coverage Audit</t>
        </is>
      </c>
      <c r="J860" s="15" t="inlineStr">
        <is>
          <t xml:space="preserve">CRS-05-020</t>
        </is>
      </c>
      <c r="K860" s="15" t="inlineStr">
        <is>
          <t xml:space="preserve">BLK-05-020</t>
        </is>
      </c>
      <c r="L860" s="15" t="inlineStr">
        <is>
          <t xml:space="preserve">Covered</t>
        </is>
      </c>
      <c r="M860" s="15" t="inlineStr">
        <is>
          <t xml:space="preserve">Single reading block</t>
        </is>
      </c>
      <c r="N860" s="15"/>
      <c r="O860" s="15">
        <v>1</v>
      </c>
      <c r="P860" s="10" t="str">
        <f>IF(L860="MISSING","MISSING",IF(O860=1,"PASS","DUPLICATE"))</f>
        <v>PASS</v>
      </c>
    </row>
    <row r="861" ht="22" customHeight="1">
      <c r="A861" s="15" t="inlineStr">
        <is>
          <t xml:space="preserve">Daniel 7</t>
        </is>
      </c>
      <c r="B861" s="15">
        <v>857</v>
      </c>
      <c r="C861" s="15" t="inlineStr">
        <is>
          <t xml:space="preserve">Old Testament</t>
        </is>
      </c>
      <c r="D861" s="15">
        <v>27</v>
      </c>
      <c r="E861" s="15" t="inlineStr">
        <is>
          <t xml:space="preserve">Daniel</t>
        </is>
      </c>
      <c r="F861" s="15">
        <v>7</v>
      </c>
      <c r="G861" s="15" t="inlineStr">
        <is>
          <t xml:space="preserve">v0.5</t>
        </is>
      </c>
      <c r="H861" s="15" t="inlineStr">
        <is>
          <t xml:space="preserve">Bible_Journey_Canon_Map_v0_5_Exile_Return_Persia.xlsx</t>
        </is>
      </c>
      <c r="I861" s="15" t="inlineStr">
        <is>
          <t xml:space="preserve">Coverage Audit</t>
        </is>
      </c>
      <c r="J861" s="15" t="inlineStr">
        <is>
          <t xml:space="preserve">CRS-05-018</t>
        </is>
      </c>
      <c r="K861" s="15" t="inlineStr">
        <is>
          <t xml:space="preserve">BLK-05-018</t>
        </is>
      </c>
      <c r="L861" s="15" t="inlineStr">
        <is>
          <t xml:space="preserve">Covered</t>
        </is>
      </c>
      <c r="M861" s="15" t="inlineStr">
        <is>
          <t xml:space="preserve">Single reading block</t>
        </is>
      </c>
      <c r="N861" s="15"/>
      <c r="O861" s="15">
        <v>1</v>
      </c>
      <c r="P861" s="10" t="str">
        <f>IF(L861="MISSING","MISSING",IF(O861=1,"PASS","DUPLICATE"))</f>
        <v>PASS</v>
      </c>
    </row>
    <row r="862" ht="22" customHeight="1">
      <c r="A862" s="15" t="inlineStr">
        <is>
          <t xml:space="preserve">Daniel 8</t>
        </is>
      </c>
      <c r="B862" s="15">
        <v>858</v>
      </c>
      <c r="C862" s="15" t="inlineStr">
        <is>
          <t xml:space="preserve">Old Testament</t>
        </is>
      </c>
      <c r="D862" s="15">
        <v>27</v>
      </c>
      <c r="E862" s="15" t="inlineStr">
        <is>
          <t xml:space="preserve">Daniel</t>
        </is>
      </c>
      <c r="F862" s="15">
        <v>8</v>
      </c>
      <c r="G862" s="15" t="inlineStr">
        <is>
          <t xml:space="preserve">v0.5</t>
        </is>
      </c>
      <c r="H862" s="15" t="inlineStr">
        <is>
          <t xml:space="preserve">Bible_Journey_Canon_Map_v0_5_Exile_Return_Persia.xlsx</t>
        </is>
      </c>
      <c r="I862" s="15" t="inlineStr">
        <is>
          <t xml:space="preserve">Coverage Audit</t>
        </is>
      </c>
      <c r="J862" s="15" t="inlineStr">
        <is>
          <t xml:space="preserve">CRS-05-018</t>
        </is>
      </c>
      <c r="K862" s="15" t="inlineStr">
        <is>
          <t xml:space="preserve">BLK-05-018</t>
        </is>
      </c>
      <c r="L862" s="15" t="inlineStr">
        <is>
          <t xml:space="preserve">Covered</t>
        </is>
      </c>
      <c r="M862" s="15" t="inlineStr">
        <is>
          <t xml:space="preserve">Single reading block</t>
        </is>
      </c>
      <c r="N862" s="15"/>
      <c r="O862" s="15">
        <v>1</v>
      </c>
      <c r="P862" s="10" t="str">
        <f>IF(L862="MISSING","MISSING",IF(O862=1,"PASS","DUPLICATE"))</f>
        <v>PASS</v>
      </c>
    </row>
    <row r="863" ht="22" customHeight="1">
      <c r="A863" s="15" t="inlineStr">
        <is>
          <t xml:space="preserve">Daniel 9</t>
        </is>
      </c>
      <c r="B863" s="15">
        <v>859</v>
      </c>
      <c r="C863" s="15" t="inlineStr">
        <is>
          <t xml:space="preserve">Old Testament</t>
        </is>
      </c>
      <c r="D863" s="15">
        <v>27</v>
      </c>
      <c r="E863" s="15" t="inlineStr">
        <is>
          <t xml:space="preserve">Daniel</t>
        </is>
      </c>
      <c r="F863" s="15">
        <v>9</v>
      </c>
      <c r="G863" s="15" t="inlineStr">
        <is>
          <t xml:space="preserve">v0.5</t>
        </is>
      </c>
      <c r="H863" s="15" t="inlineStr">
        <is>
          <t xml:space="preserve">Bible_Journey_Canon_Map_v0_5_Exile_Return_Persia.xlsx</t>
        </is>
      </c>
      <c r="I863" s="15" t="inlineStr">
        <is>
          <t xml:space="preserve">Coverage Audit</t>
        </is>
      </c>
      <c r="J863" s="15" t="inlineStr">
        <is>
          <t xml:space="preserve">CRS-05-021</t>
        </is>
      </c>
      <c r="K863" s="15" t="inlineStr">
        <is>
          <t xml:space="preserve">BLK-05-021</t>
        </is>
      </c>
      <c r="L863" s="15" t="inlineStr">
        <is>
          <t xml:space="preserve">Covered</t>
        </is>
      </c>
      <c r="M863" s="15" t="inlineStr">
        <is>
          <t xml:space="preserve">Single reading block</t>
        </is>
      </c>
      <c r="N863" s="15"/>
      <c r="O863" s="15">
        <v>1</v>
      </c>
      <c r="P863" s="10" t="str">
        <f>IF(L863="MISSING","MISSING",IF(O863=1,"PASS","DUPLICATE"))</f>
        <v>PASS</v>
      </c>
    </row>
    <row r="864" ht="22" customHeight="1">
      <c r="A864" s="15" t="inlineStr">
        <is>
          <t xml:space="preserve">Daniel 10</t>
        </is>
      </c>
      <c r="B864" s="15">
        <v>860</v>
      </c>
      <c r="C864" s="15" t="inlineStr">
        <is>
          <t xml:space="preserve">Old Testament</t>
        </is>
      </c>
      <c r="D864" s="15">
        <v>27</v>
      </c>
      <c r="E864" s="15" t="inlineStr">
        <is>
          <t xml:space="preserve">Daniel</t>
        </is>
      </c>
      <c r="F864" s="15">
        <v>10</v>
      </c>
      <c r="G864" s="15" t="inlineStr">
        <is>
          <t xml:space="preserve">v0.5</t>
        </is>
      </c>
      <c r="H864" s="15" t="inlineStr">
        <is>
          <t xml:space="preserve">Bible_Journey_Canon_Map_v0_5_Exile_Return_Persia.xlsx</t>
        </is>
      </c>
      <c r="I864" s="15" t="inlineStr">
        <is>
          <t xml:space="preserve">Coverage Audit</t>
        </is>
      </c>
      <c r="J864" s="15" t="inlineStr">
        <is>
          <t xml:space="preserve">CRS-05-025</t>
        </is>
      </c>
      <c r="K864" s="15" t="inlineStr">
        <is>
          <t xml:space="preserve">BLK-05-025</t>
        </is>
      </c>
      <c r="L864" s="15" t="inlineStr">
        <is>
          <t xml:space="preserve">Covered</t>
        </is>
      </c>
      <c r="M864" s="15" t="inlineStr">
        <is>
          <t xml:space="preserve">Single reading block</t>
        </is>
      </c>
      <c r="N864" s="15"/>
      <c r="O864" s="15">
        <v>1</v>
      </c>
      <c r="P864" s="10" t="str">
        <f>IF(L864="MISSING","MISSING",IF(O864=1,"PASS","DUPLICATE"))</f>
        <v>PASS</v>
      </c>
    </row>
    <row r="865" ht="22" customHeight="1">
      <c r="A865" s="15" t="inlineStr">
        <is>
          <t xml:space="preserve">Daniel 11</t>
        </is>
      </c>
      <c r="B865" s="15">
        <v>861</v>
      </c>
      <c r="C865" s="15" t="inlineStr">
        <is>
          <t xml:space="preserve">Old Testament</t>
        </is>
      </c>
      <c r="D865" s="15">
        <v>27</v>
      </c>
      <c r="E865" s="15" t="inlineStr">
        <is>
          <t xml:space="preserve">Daniel</t>
        </is>
      </c>
      <c r="F865" s="15">
        <v>11</v>
      </c>
      <c r="G865" s="15" t="inlineStr">
        <is>
          <t xml:space="preserve">v0.5</t>
        </is>
      </c>
      <c r="H865" s="15" t="inlineStr">
        <is>
          <t xml:space="preserve">Bible_Journey_Canon_Map_v0_5_Exile_Return_Persia.xlsx</t>
        </is>
      </c>
      <c r="I865" s="15" t="inlineStr">
        <is>
          <t xml:space="preserve">Coverage Audit</t>
        </is>
      </c>
      <c r="J865" s="15" t="inlineStr">
        <is>
          <t xml:space="preserve">CRS-05-025</t>
        </is>
      </c>
      <c r="K865" s="15" t="inlineStr">
        <is>
          <t xml:space="preserve">BLK-05-025</t>
        </is>
      </c>
      <c r="L865" s="15" t="inlineStr">
        <is>
          <t xml:space="preserve">Covered</t>
        </is>
      </c>
      <c r="M865" s="15" t="inlineStr">
        <is>
          <t xml:space="preserve">Single reading block</t>
        </is>
      </c>
      <c r="N865" s="15"/>
      <c r="O865" s="15">
        <v>1</v>
      </c>
      <c r="P865" s="10" t="str">
        <f>IF(L865="MISSING","MISSING",IF(O865=1,"PASS","DUPLICATE"))</f>
        <v>PASS</v>
      </c>
    </row>
    <row r="866" ht="22" customHeight="1">
      <c r="A866" s="15" t="inlineStr">
        <is>
          <t xml:space="preserve">Daniel 12</t>
        </is>
      </c>
      <c r="B866" s="15">
        <v>862</v>
      </c>
      <c r="C866" s="15" t="inlineStr">
        <is>
          <t xml:space="preserve">Old Testament</t>
        </is>
      </c>
      <c r="D866" s="15">
        <v>27</v>
      </c>
      <c r="E866" s="15" t="inlineStr">
        <is>
          <t xml:space="preserve">Daniel</t>
        </is>
      </c>
      <c r="F866" s="15">
        <v>12</v>
      </c>
      <c r="G866" s="15" t="inlineStr">
        <is>
          <t xml:space="preserve">v0.5</t>
        </is>
      </c>
      <c r="H866" s="15" t="inlineStr">
        <is>
          <t xml:space="preserve">Bible_Journey_Canon_Map_v0_5_Exile_Return_Persia.xlsx</t>
        </is>
      </c>
      <c r="I866" s="15" t="inlineStr">
        <is>
          <t xml:space="preserve">Coverage Audit</t>
        </is>
      </c>
      <c r="J866" s="15" t="inlineStr">
        <is>
          <t xml:space="preserve">CRS-05-025</t>
        </is>
      </c>
      <c r="K866" s="15" t="inlineStr">
        <is>
          <t xml:space="preserve">BLK-05-025</t>
        </is>
      </c>
      <c r="L866" s="15" t="inlineStr">
        <is>
          <t xml:space="preserve">Covered</t>
        </is>
      </c>
      <c r="M866" s="15" t="inlineStr">
        <is>
          <t xml:space="preserve">Single reading block</t>
        </is>
      </c>
      <c r="N866" s="15"/>
      <c r="O866" s="15">
        <v>1</v>
      </c>
      <c r="P866" s="10" t="str">
        <f>IF(L866="MISSING","MISSING",IF(O866=1,"PASS","DUPLICATE"))</f>
        <v>PASS</v>
      </c>
    </row>
    <row r="867" ht="22" customHeight="1">
      <c r="A867" s="15" t="inlineStr">
        <is>
          <t xml:space="preserve">Hosea 1</t>
        </is>
      </c>
      <c r="B867" s="15">
        <v>863</v>
      </c>
      <c r="C867" s="15" t="inlineStr">
        <is>
          <t xml:space="preserve">Old Testament</t>
        </is>
      </c>
      <c r="D867" s="15">
        <v>28</v>
      </c>
      <c r="E867" s="15" t="inlineStr">
        <is>
          <t xml:space="preserve">Hosea</t>
        </is>
      </c>
      <c r="F867" s="15">
        <v>1</v>
      </c>
      <c r="G867" s="15" t="inlineStr">
        <is>
          <t xml:space="preserve">v0.4</t>
        </is>
      </c>
      <c r="H867" s="15" t="inlineStr">
        <is>
          <t xml:space="preserve">Bible_Journey_Canon_Map_v0_4_Prophets_Exile.xlsx</t>
        </is>
      </c>
      <c r="I867" s="15" t="inlineStr">
        <is>
          <t xml:space="preserve">Chapter Map</t>
        </is>
      </c>
      <c r="J867" s="15" t="inlineStr">
        <is>
          <t xml:space="preserve">CRS-04-005</t>
        </is>
      </c>
      <c r="K867" s="15" t="inlineStr">
        <is>
          <t xml:space="preserve">RB-04-005</t>
        </is>
      </c>
      <c r="L867" s="15" t="inlineStr">
        <is>
          <t xml:space="preserve">Main Stream</t>
        </is>
      </c>
      <c r="M867" s="15" t="inlineStr">
        <is>
          <t xml:space="preserve">Not reviewed</t>
        </is>
      </c>
      <c r="N867" s="15" t="inlineStr">
        <is>
          <t xml:space="preserve">S1; S7; S8</t>
        </is>
      </c>
      <c r="O867" s="15">
        <v>1</v>
      </c>
      <c r="P867" s="10" t="str">
        <f>IF(L867="MISSING","MISSING",IF(O867=1,"PASS","DUPLICATE"))</f>
        <v>PASS</v>
      </c>
    </row>
    <row r="868" ht="22" customHeight="1">
      <c r="A868" s="15" t="inlineStr">
        <is>
          <t xml:space="preserve">Hosea 2</t>
        </is>
      </c>
      <c r="B868" s="15">
        <v>864</v>
      </c>
      <c r="C868" s="15" t="inlineStr">
        <is>
          <t xml:space="preserve">Old Testament</t>
        </is>
      </c>
      <c r="D868" s="15">
        <v>28</v>
      </c>
      <c r="E868" s="15" t="inlineStr">
        <is>
          <t xml:space="preserve">Hosea</t>
        </is>
      </c>
      <c r="F868" s="15">
        <v>2</v>
      </c>
      <c r="G868" s="15" t="inlineStr">
        <is>
          <t xml:space="preserve">v0.4</t>
        </is>
      </c>
      <c r="H868" s="15" t="inlineStr">
        <is>
          <t xml:space="preserve">Bible_Journey_Canon_Map_v0_4_Prophets_Exile.xlsx</t>
        </is>
      </c>
      <c r="I868" s="15" t="inlineStr">
        <is>
          <t xml:space="preserve">Chapter Map</t>
        </is>
      </c>
      <c r="J868" s="15" t="inlineStr">
        <is>
          <t xml:space="preserve">CRS-04-005</t>
        </is>
      </c>
      <c r="K868" s="15" t="inlineStr">
        <is>
          <t xml:space="preserve">RB-04-005</t>
        </is>
      </c>
      <c r="L868" s="15" t="inlineStr">
        <is>
          <t xml:space="preserve">Main Stream</t>
        </is>
      </c>
      <c r="M868" s="15" t="inlineStr">
        <is>
          <t xml:space="preserve">Not reviewed</t>
        </is>
      </c>
      <c r="N868" s="15" t="inlineStr">
        <is>
          <t xml:space="preserve">S1; S7; S8</t>
        </is>
      </c>
      <c r="O868" s="15">
        <v>1</v>
      </c>
      <c r="P868" s="10" t="str">
        <f>IF(L868="MISSING","MISSING",IF(O868=1,"PASS","DUPLICATE"))</f>
        <v>PASS</v>
      </c>
    </row>
    <row r="869" ht="22" customHeight="1">
      <c r="A869" s="15" t="inlineStr">
        <is>
          <t xml:space="preserve">Hosea 3</t>
        </is>
      </c>
      <c r="B869" s="15">
        <v>865</v>
      </c>
      <c r="C869" s="15" t="inlineStr">
        <is>
          <t xml:space="preserve">Old Testament</t>
        </is>
      </c>
      <c r="D869" s="15">
        <v>28</v>
      </c>
      <c r="E869" s="15" t="inlineStr">
        <is>
          <t xml:space="preserve">Hosea</t>
        </is>
      </c>
      <c r="F869" s="15">
        <v>3</v>
      </c>
      <c r="G869" s="15" t="inlineStr">
        <is>
          <t xml:space="preserve">v0.4</t>
        </is>
      </c>
      <c r="H869" s="15" t="inlineStr">
        <is>
          <t xml:space="preserve">Bible_Journey_Canon_Map_v0_4_Prophets_Exile.xlsx</t>
        </is>
      </c>
      <c r="I869" s="15" t="inlineStr">
        <is>
          <t xml:space="preserve">Chapter Map</t>
        </is>
      </c>
      <c r="J869" s="15" t="inlineStr">
        <is>
          <t xml:space="preserve">CRS-04-005</t>
        </is>
      </c>
      <c r="K869" s="15" t="inlineStr">
        <is>
          <t xml:space="preserve">RB-04-005</t>
        </is>
      </c>
      <c r="L869" s="15" t="inlineStr">
        <is>
          <t xml:space="preserve">Main Stream</t>
        </is>
      </c>
      <c r="M869" s="15" t="inlineStr">
        <is>
          <t xml:space="preserve">Not reviewed</t>
        </is>
      </c>
      <c r="N869" s="15" t="inlineStr">
        <is>
          <t xml:space="preserve">S1; S7; S8</t>
        </is>
      </c>
      <c r="O869" s="15">
        <v>1</v>
      </c>
      <c r="P869" s="10" t="str">
        <f>IF(L869="MISSING","MISSING",IF(O869=1,"PASS","DUPLICATE"))</f>
        <v>PASS</v>
      </c>
    </row>
    <row r="870" ht="22" customHeight="1">
      <c r="A870" s="15" t="inlineStr">
        <is>
          <t xml:space="preserve">Hosea 4</t>
        </is>
      </c>
      <c r="B870" s="15">
        <v>866</v>
      </c>
      <c r="C870" s="15" t="inlineStr">
        <is>
          <t xml:space="preserve">Old Testament</t>
        </is>
      </c>
      <c r="D870" s="15">
        <v>28</v>
      </c>
      <c r="E870" s="15" t="inlineStr">
        <is>
          <t xml:space="preserve">Hosea</t>
        </is>
      </c>
      <c r="F870" s="15">
        <v>4</v>
      </c>
      <c r="G870" s="15" t="inlineStr">
        <is>
          <t xml:space="preserve">v0.4</t>
        </is>
      </c>
      <c r="H870" s="15" t="inlineStr">
        <is>
          <t xml:space="preserve">Bible_Journey_Canon_Map_v0_4_Prophets_Exile.xlsx</t>
        </is>
      </c>
      <c r="I870" s="15" t="inlineStr">
        <is>
          <t xml:space="preserve">Chapter Map</t>
        </is>
      </c>
      <c r="J870" s="15" t="inlineStr">
        <is>
          <t xml:space="preserve">CRS-04-006</t>
        </is>
      </c>
      <c r="K870" s="15" t="inlineStr">
        <is>
          <t xml:space="preserve">RB-04-006</t>
        </is>
      </c>
      <c r="L870" s="15" t="inlineStr">
        <is>
          <t xml:space="preserve">Main Stream</t>
        </is>
      </c>
      <c r="M870" s="15" t="inlineStr">
        <is>
          <t xml:space="preserve">Not reviewed</t>
        </is>
      </c>
      <c r="N870" s="15" t="inlineStr">
        <is>
          <t xml:space="preserve">S1; S7</t>
        </is>
      </c>
      <c r="O870" s="15">
        <v>1</v>
      </c>
      <c r="P870" s="10" t="str">
        <f>IF(L870="MISSING","MISSING",IF(O870=1,"PASS","DUPLICATE"))</f>
        <v>PASS</v>
      </c>
    </row>
    <row r="871" ht="22" customHeight="1">
      <c r="A871" s="15" t="inlineStr">
        <is>
          <t xml:space="preserve">Hosea 5</t>
        </is>
      </c>
      <c r="B871" s="15">
        <v>867</v>
      </c>
      <c r="C871" s="15" t="inlineStr">
        <is>
          <t xml:space="preserve">Old Testament</t>
        </is>
      </c>
      <c r="D871" s="15">
        <v>28</v>
      </c>
      <c r="E871" s="15" t="inlineStr">
        <is>
          <t xml:space="preserve">Hosea</t>
        </is>
      </c>
      <c r="F871" s="15">
        <v>5</v>
      </c>
      <c r="G871" s="15" t="inlineStr">
        <is>
          <t xml:space="preserve">v0.4</t>
        </is>
      </c>
      <c r="H871" s="15" t="inlineStr">
        <is>
          <t xml:space="preserve">Bible_Journey_Canon_Map_v0_4_Prophets_Exile.xlsx</t>
        </is>
      </c>
      <c r="I871" s="15" t="inlineStr">
        <is>
          <t xml:space="preserve">Chapter Map</t>
        </is>
      </c>
      <c r="J871" s="15" t="inlineStr">
        <is>
          <t xml:space="preserve">CRS-04-006</t>
        </is>
      </c>
      <c r="K871" s="15" t="inlineStr">
        <is>
          <t xml:space="preserve">RB-04-006</t>
        </is>
      </c>
      <c r="L871" s="15" t="inlineStr">
        <is>
          <t xml:space="preserve">Main Stream</t>
        </is>
      </c>
      <c r="M871" s="15" t="inlineStr">
        <is>
          <t xml:space="preserve">Not reviewed</t>
        </is>
      </c>
      <c r="N871" s="15" t="inlineStr">
        <is>
          <t xml:space="preserve">S1; S7</t>
        </is>
      </c>
      <c r="O871" s="15">
        <v>1</v>
      </c>
      <c r="P871" s="10" t="str">
        <f>IF(L871="MISSING","MISSING",IF(O871=1,"PASS","DUPLICATE"))</f>
        <v>PASS</v>
      </c>
    </row>
    <row r="872" ht="22" customHeight="1">
      <c r="A872" s="15" t="inlineStr">
        <is>
          <t xml:space="preserve">Hosea 6</t>
        </is>
      </c>
      <c r="B872" s="15">
        <v>868</v>
      </c>
      <c r="C872" s="15" t="inlineStr">
        <is>
          <t xml:space="preserve">Old Testament</t>
        </is>
      </c>
      <c r="D872" s="15">
        <v>28</v>
      </c>
      <c r="E872" s="15" t="inlineStr">
        <is>
          <t xml:space="preserve">Hosea</t>
        </is>
      </c>
      <c r="F872" s="15">
        <v>6</v>
      </c>
      <c r="G872" s="15" t="inlineStr">
        <is>
          <t xml:space="preserve">v0.4</t>
        </is>
      </c>
      <c r="H872" s="15" t="inlineStr">
        <is>
          <t xml:space="preserve">Bible_Journey_Canon_Map_v0_4_Prophets_Exile.xlsx</t>
        </is>
      </c>
      <c r="I872" s="15" t="inlineStr">
        <is>
          <t xml:space="preserve">Chapter Map</t>
        </is>
      </c>
      <c r="J872" s="15" t="inlineStr">
        <is>
          <t xml:space="preserve">CRS-04-006</t>
        </is>
      </c>
      <c r="K872" s="15" t="inlineStr">
        <is>
          <t xml:space="preserve">RB-04-006</t>
        </is>
      </c>
      <c r="L872" s="15" t="inlineStr">
        <is>
          <t xml:space="preserve">Main Stream</t>
        </is>
      </c>
      <c r="M872" s="15" t="inlineStr">
        <is>
          <t xml:space="preserve">Not reviewed</t>
        </is>
      </c>
      <c r="N872" s="15" t="inlineStr">
        <is>
          <t xml:space="preserve">S1; S7</t>
        </is>
      </c>
      <c r="O872" s="15">
        <v>1</v>
      </c>
      <c r="P872" s="10" t="str">
        <f>IF(L872="MISSING","MISSING",IF(O872=1,"PASS","DUPLICATE"))</f>
        <v>PASS</v>
      </c>
    </row>
    <row r="873" ht="22" customHeight="1">
      <c r="A873" s="15" t="inlineStr">
        <is>
          <t xml:space="preserve">Hosea 7</t>
        </is>
      </c>
      <c r="B873" s="15">
        <v>869</v>
      </c>
      <c r="C873" s="15" t="inlineStr">
        <is>
          <t xml:space="preserve">Old Testament</t>
        </is>
      </c>
      <c r="D873" s="15">
        <v>28</v>
      </c>
      <c r="E873" s="15" t="inlineStr">
        <is>
          <t xml:space="preserve">Hosea</t>
        </is>
      </c>
      <c r="F873" s="15">
        <v>7</v>
      </c>
      <c r="G873" s="15" t="inlineStr">
        <is>
          <t xml:space="preserve">v0.4</t>
        </is>
      </c>
      <c r="H873" s="15" t="inlineStr">
        <is>
          <t xml:space="preserve">Bible_Journey_Canon_Map_v0_4_Prophets_Exile.xlsx</t>
        </is>
      </c>
      <c r="I873" s="15" t="inlineStr">
        <is>
          <t xml:space="preserve">Chapter Map</t>
        </is>
      </c>
      <c r="J873" s="15" t="inlineStr">
        <is>
          <t xml:space="preserve">CRS-04-006</t>
        </is>
      </c>
      <c r="K873" s="15" t="inlineStr">
        <is>
          <t xml:space="preserve">RB-04-006</t>
        </is>
      </c>
      <c r="L873" s="15" t="inlineStr">
        <is>
          <t xml:space="preserve">Main Stream</t>
        </is>
      </c>
      <c r="M873" s="15" t="inlineStr">
        <is>
          <t xml:space="preserve">Not reviewed</t>
        </is>
      </c>
      <c r="N873" s="15" t="inlineStr">
        <is>
          <t xml:space="preserve">S1; S7</t>
        </is>
      </c>
      <c r="O873" s="15">
        <v>1</v>
      </c>
      <c r="P873" s="10" t="str">
        <f>IF(L873="MISSING","MISSING",IF(O873=1,"PASS","DUPLICATE"))</f>
        <v>PASS</v>
      </c>
    </row>
    <row r="874" ht="22" customHeight="1">
      <c r="A874" s="15" t="inlineStr">
        <is>
          <t xml:space="preserve">Hosea 8</t>
        </is>
      </c>
      <c r="B874" s="15">
        <v>870</v>
      </c>
      <c r="C874" s="15" t="inlineStr">
        <is>
          <t xml:space="preserve">Old Testament</t>
        </is>
      </c>
      <c r="D874" s="15">
        <v>28</v>
      </c>
      <c r="E874" s="15" t="inlineStr">
        <is>
          <t xml:space="preserve">Hosea</t>
        </is>
      </c>
      <c r="F874" s="15">
        <v>8</v>
      </c>
      <c r="G874" s="15" t="inlineStr">
        <is>
          <t xml:space="preserve">v0.4</t>
        </is>
      </c>
      <c r="H874" s="15" t="inlineStr">
        <is>
          <t xml:space="preserve">Bible_Journey_Canon_Map_v0_4_Prophets_Exile.xlsx</t>
        </is>
      </c>
      <c r="I874" s="15" t="inlineStr">
        <is>
          <t xml:space="preserve">Chapter Map</t>
        </is>
      </c>
      <c r="J874" s="15" t="inlineStr">
        <is>
          <t xml:space="preserve">CRS-04-006</t>
        </is>
      </c>
      <c r="K874" s="15" t="inlineStr">
        <is>
          <t xml:space="preserve">RB-04-006</t>
        </is>
      </c>
      <c r="L874" s="15" t="inlineStr">
        <is>
          <t xml:space="preserve">Main Stream</t>
        </is>
      </c>
      <c r="M874" s="15" t="inlineStr">
        <is>
          <t xml:space="preserve">Not reviewed</t>
        </is>
      </c>
      <c r="N874" s="15" t="inlineStr">
        <is>
          <t xml:space="preserve">S1; S7</t>
        </is>
      </c>
      <c r="O874" s="15">
        <v>1</v>
      </c>
      <c r="P874" s="10" t="str">
        <f>IF(L874="MISSING","MISSING",IF(O874=1,"PASS","DUPLICATE"))</f>
        <v>PASS</v>
      </c>
    </row>
    <row r="875" ht="22" customHeight="1">
      <c r="A875" s="15" t="inlineStr">
        <is>
          <t xml:space="preserve">Hosea 9</t>
        </is>
      </c>
      <c r="B875" s="15">
        <v>871</v>
      </c>
      <c r="C875" s="15" t="inlineStr">
        <is>
          <t xml:space="preserve">Old Testament</t>
        </is>
      </c>
      <c r="D875" s="15">
        <v>28</v>
      </c>
      <c r="E875" s="15" t="inlineStr">
        <is>
          <t xml:space="preserve">Hosea</t>
        </is>
      </c>
      <c r="F875" s="15">
        <v>9</v>
      </c>
      <c r="G875" s="15" t="inlineStr">
        <is>
          <t xml:space="preserve">v0.4</t>
        </is>
      </c>
      <c r="H875" s="15" t="inlineStr">
        <is>
          <t xml:space="preserve">Bible_Journey_Canon_Map_v0_4_Prophets_Exile.xlsx</t>
        </is>
      </c>
      <c r="I875" s="15" t="inlineStr">
        <is>
          <t xml:space="preserve">Chapter Map</t>
        </is>
      </c>
      <c r="J875" s="15" t="inlineStr">
        <is>
          <t xml:space="preserve">CRS-04-007</t>
        </is>
      </c>
      <c r="K875" s="15" t="inlineStr">
        <is>
          <t xml:space="preserve">RB-04-007</t>
        </is>
      </c>
      <c r="L875" s="15" t="inlineStr">
        <is>
          <t xml:space="preserve">Main Stream</t>
        </is>
      </c>
      <c r="M875" s="15" t="inlineStr">
        <is>
          <t xml:space="preserve">Not reviewed</t>
        </is>
      </c>
      <c r="N875" s="15" t="inlineStr">
        <is>
          <t xml:space="preserve">S1; S7</t>
        </is>
      </c>
      <c r="O875" s="15">
        <v>1</v>
      </c>
      <c r="P875" s="10" t="str">
        <f>IF(L875="MISSING","MISSING",IF(O875=1,"PASS","DUPLICATE"))</f>
        <v>PASS</v>
      </c>
    </row>
    <row r="876" ht="22" customHeight="1">
      <c r="A876" s="15" t="inlineStr">
        <is>
          <t xml:space="preserve">Hosea 10</t>
        </is>
      </c>
      <c r="B876" s="15">
        <v>872</v>
      </c>
      <c r="C876" s="15" t="inlineStr">
        <is>
          <t xml:space="preserve">Old Testament</t>
        </is>
      </c>
      <c r="D876" s="15">
        <v>28</v>
      </c>
      <c r="E876" s="15" t="inlineStr">
        <is>
          <t xml:space="preserve">Hosea</t>
        </is>
      </c>
      <c r="F876" s="15">
        <v>10</v>
      </c>
      <c r="G876" s="15" t="inlineStr">
        <is>
          <t xml:space="preserve">v0.4</t>
        </is>
      </c>
      <c r="H876" s="15" t="inlineStr">
        <is>
          <t xml:space="preserve">Bible_Journey_Canon_Map_v0_4_Prophets_Exile.xlsx</t>
        </is>
      </c>
      <c r="I876" s="15" t="inlineStr">
        <is>
          <t xml:space="preserve">Chapter Map</t>
        </is>
      </c>
      <c r="J876" s="15" t="inlineStr">
        <is>
          <t xml:space="preserve">CRS-04-007</t>
        </is>
      </c>
      <c r="K876" s="15" t="inlineStr">
        <is>
          <t xml:space="preserve">RB-04-007</t>
        </is>
      </c>
      <c r="L876" s="15" t="inlineStr">
        <is>
          <t xml:space="preserve">Main Stream</t>
        </is>
      </c>
      <c r="M876" s="15" t="inlineStr">
        <is>
          <t xml:space="preserve">Not reviewed</t>
        </is>
      </c>
      <c r="N876" s="15" t="inlineStr">
        <is>
          <t xml:space="preserve">S1; S7</t>
        </is>
      </c>
      <c r="O876" s="15">
        <v>1</v>
      </c>
      <c r="P876" s="10" t="str">
        <f>IF(L876="MISSING","MISSING",IF(O876=1,"PASS","DUPLICATE"))</f>
        <v>PASS</v>
      </c>
    </row>
    <row r="877" ht="22" customHeight="1">
      <c r="A877" s="15" t="inlineStr">
        <is>
          <t xml:space="preserve">Hosea 11</t>
        </is>
      </c>
      <c r="B877" s="15">
        <v>873</v>
      </c>
      <c r="C877" s="15" t="inlineStr">
        <is>
          <t xml:space="preserve">Old Testament</t>
        </is>
      </c>
      <c r="D877" s="15">
        <v>28</v>
      </c>
      <c r="E877" s="15" t="inlineStr">
        <is>
          <t xml:space="preserve">Hosea</t>
        </is>
      </c>
      <c r="F877" s="15">
        <v>11</v>
      </c>
      <c r="G877" s="15" t="inlineStr">
        <is>
          <t xml:space="preserve">v0.4</t>
        </is>
      </c>
      <c r="H877" s="15" t="inlineStr">
        <is>
          <t xml:space="preserve">Bible_Journey_Canon_Map_v0_4_Prophets_Exile.xlsx</t>
        </is>
      </c>
      <c r="I877" s="15" t="inlineStr">
        <is>
          <t xml:space="preserve">Chapter Map</t>
        </is>
      </c>
      <c r="J877" s="15" t="inlineStr">
        <is>
          <t xml:space="preserve">CRS-04-007</t>
        </is>
      </c>
      <c r="K877" s="15" t="inlineStr">
        <is>
          <t xml:space="preserve">RB-04-007</t>
        </is>
      </c>
      <c r="L877" s="15" t="inlineStr">
        <is>
          <t xml:space="preserve">Main Stream</t>
        </is>
      </c>
      <c r="M877" s="15" t="inlineStr">
        <is>
          <t xml:space="preserve">Not reviewed</t>
        </is>
      </c>
      <c r="N877" s="15" t="inlineStr">
        <is>
          <t xml:space="preserve">S1; S7</t>
        </is>
      </c>
      <c r="O877" s="15">
        <v>1</v>
      </c>
      <c r="P877" s="10" t="str">
        <f>IF(L877="MISSING","MISSING",IF(O877=1,"PASS","DUPLICATE"))</f>
        <v>PASS</v>
      </c>
    </row>
    <row r="878" ht="22" customHeight="1">
      <c r="A878" s="15" t="inlineStr">
        <is>
          <t xml:space="preserve">Hosea 12</t>
        </is>
      </c>
      <c r="B878" s="15">
        <v>874</v>
      </c>
      <c r="C878" s="15" t="inlineStr">
        <is>
          <t xml:space="preserve">Old Testament</t>
        </is>
      </c>
      <c r="D878" s="15">
        <v>28</v>
      </c>
      <c r="E878" s="15" t="inlineStr">
        <is>
          <t xml:space="preserve">Hosea</t>
        </is>
      </c>
      <c r="F878" s="15">
        <v>12</v>
      </c>
      <c r="G878" s="15" t="inlineStr">
        <is>
          <t xml:space="preserve">v0.4</t>
        </is>
      </c>
      <c r="H878" s="15" t="inlineStr">
        <is>
          <t xml:space="preserve">Bible_Journey_Canon_Map_v0_4_Prophets_Exile.xlsx</t>
        </is>
      </c>
      <c r="I878" s="15" t="inlineStr">
        <is>
          <t xml:space="preserve">Chapter Map</t>
        </is>
      </c>
      <c r="J878" s="15" t="inlineStr">
        <is>
          <t xml:space="preserve">CRS-04-007</t>
        </is>
      </c>
      <c r="K878" s="15" t="inlineStr">
        <is>
          <t xml:space="preserve">RB-04-007</t>
        </is>
      </c>
      <c r="L878" s="15" t="inlineStr">
        <is>
          <t xml:space="preserve">Main Stream</t>
        </is>
      </c>
      <c r="M878" s="15" t="inlineStr">
        <is>
          <t xml:space="preserve">Not reviewed</t>
        </is>
      </c>
      <c r="N878" s="15" t="inlineStr">
        <is>
          <t xml:space="preserve">S1; S7</t>
        </is>
      </c>
      <c r="O878" s="15">
        <v>1</v>
      </c>
      <c r="P878" s="10" t="str">
        <f>IF(L878="MISSING","MISSING",IF(O878=1,"PASS","DUPLICATE"))</f>
        <v>PASS</v>
      </c>
    </row>
    <row r="879" ht="22" customHeight="1">
      <c r="A879" s="15" t="inlineStr">
        <is>
          <t xml:space="preserve">Hosea 13</t>
        </is>
      </c>
      <c r="B879" s="15">
        <v>875</v>
      </c>
      <c r="C879" s="15" t="inlineStr">
        <is>
          <t xml:space="preserve">Old Testament</t>
        </is>
      </c>
      <c r="D879" s="15">
        <v>28</v>
      </c>
      <c r="E879" s="15" t="inlineStr">
        <is>
          <t xml:space="preserve">Hosea</t>
        </is>
      </c>
      <c r="F879" s="15">
        <v>13</v>
      </c>
      <c r="G879" s="15" t="inlineStr">
        <is>
          <t xml:space="preserve">v0.4</t>
        </is>
      </c>
      <c r="H879" s="15" t="inlineStr">
        <is>
          <t xml:space="preserve">Bible_Journey_Canon_Map_v0_4_Prophets_Exile.xlsx</t>
        </is>
      </c>
      <c r="I879" s="15" t="inlineStr">
        <is>
          <t xml:space="preserve">Chapter Map</t>
        </is>
      </c>
      <c r="J879" s="15" t="inlineStr">
        <is>
          <t xml:space="preserve">CRS-04-007</t>
        </is>
      </c>
      <c r="K879" s="15" t="inlineStr">
        <is>
          <t xml:space="preserve">RB-04-007</t>
        </is>
      </c>
      <c r="L879" s="15" t="inlineStr">
        <is>
          <t xml:space="preserve">Main Stream</t>
        </is>
      </c>
      <c r="M879" s="15" t="inlineStr">
        <is>
          <t xml:space="preserve">Not reviewed</t>
        </is>
      </c>
      <c r="N879" s="15" t="inlineStr">
        <is>
          <t xml:space="preserve">S1; S7</t>
        </is>
      </c>
      <c r="O879" s="15">
        <v>1</v>
      </c>
      <c r="P879" s="10" t="str">
        <f>IF(L879="MISSING","MISSING",IF(O879=1,"PASS","DUPLICATE"))</f>
        <v>PASS</v>
      </c>
    </row>
    <row r="880" ht="22" customHeight="1">
      <c r="A880" s="15" t="inlineStr">
        <is>
          <t xml:space="preserve">Hosea 14</t>
        </is>
      </c>
      <c r="B880" s="15">
        <v>876</v>
      </c>
      <c r="C880" s="15" t="inlineStr">
        <is>
          <t xml:space="preserve">Old Testament</t>
        </is>
      </c>
      <c r="D880" s="15">
        <v>28</v>
      </c>
      <c r="E880" s="15" t="inlineStr">
        <is>
          <t xml:space="preserve">Hosea</t>
        </is>
      </c>
      <c r="F880" s="15">
        <v>14</v>
      </c>
      <c r="G880" s="15" t="inlineStr">
        <is>
          <t xml:space="preserve">v0.4</t>
        </is>
      </c>
      <c r="H880" s="15" t="inlineStr">
        <is>
          <t xml:space="preserve">Bible_Journey_Canon_Map_v0_4_Prophets_Exile.xlsx</t>
        </is>
      </c>
      <c r="I880" s="15" t="inlineStr">
        <is>
          <t xml:space="preserve">Chapter Map</t>
        </is>
      </c>
      <c r="J880" s="15" t="inlineStr">
        <is>
          <t xml:space="preserve">CRS-04-007</t>
        </is>
      </c>
      <c r="K880" s="15" t="inlineStr">
        <is>
          <t xml:space="preserve">RB-04-007</t>
        </is>
      </c>
      <c r="L880" s="15" t="inlineStr">
        <is>
          <t xml:space="preserve">Main Stream</t>
        </is>
      </c>
      <c r="M880" s="15" t="inlineStr">
        <is>
          <t xml:space="preserve">Not reviewed</t>
        </is>
      </c>
      <c r="N880" s="15" t="inlineStr">
        <is>
          <t xml:space="preserve">S1; S7</t>
        </is>
      </c>
      <c r="O880" s="15">
        <v>1</v>
      </c>
      <c r="P880" s="10" t="str">
        <f>IF(L880="MISSING","MISSING",IF(O880=1,"PASS","DUPLICATE"))</f>
        <v>PASS</v>
      </c>
    </row>
    <row r="881" ht="22" customHeight="1">
      <c r="A881" s="15" t="inlineStr">
        <is>
          <t xml:space="preserve">Joel 1</t>
        </is>
      </c>
      <c r="B881" s="15">
        <v>877</v>
      </c>
      <c r="C881" s="15" t="inlineStr">
        <is>
          <t xml:space="preserve">Old Testament</t>
        </is>
      </c>
      <c r="D881" s="15">
        <v>29</v>
      </c>
      <c r="E881" s="15" t="inlineStr">
        <is>
          <t xml:space="preserve">Joel</t>
        </is>
      </c>
      <c r="F881" s="15">
        <v>1</v>
      </c>
      <c r="G881" s="15" t="inlineStr">
        <is>
          <t xml:space="preserve">v0.4</t>
        </is>
      </c>
      <c r="H881" s="15" t="inlineStr">
        <is>
          <t xml:space="preserve">Bible_Journey_Canon_Map_v0_4_Prophets_Exile.xlsx</t>
        </is>
      </c>
      <c r="I881" s="15" t="inlineStr">
        <is>
          <t xml:space="preserve">Chapter Map</t>
        </is>
      </c>
      <c r="J881" s="15" t="inlineStr">
        <is>
          <t xml:space="preserve">CRS-04-052</t>
        </is>
      </c>
      <c r="K881" s="15" t="inlineStr">
        <is>
          <t xml:space="preserve">RB-04-054</t>
        </is>
      </c>
      <c r="L881" s="15" t="inlineStr">
        <is>
          <t xml:space="preserve">Main Stream</t>
        </is>
      </c>
      <c r="M881" s="15" t="inlineStr">
        <is>
          <t xml:space="preserve">Not reviewed</t>
        </is>
      </c>
      <c r="N881" s="15" t="inlineStr">
        <is>
          <t xml:space="preserve">S7</t>
        </is>
      </c>
      <c r="O881" s="15">
        <v>1</v>
      </c>
      <c r="P881" s="10" t="str">
        <f>IF(L881="MISSING","MISSING",IF(O881=1,"PASS","DUPLICATE"))</f>
        <v>PASS</v>
      </c>
    </row>
    <row r="882" ht="22" customHeight="1">
      <c r="A882" s="15" t="inlineStr">
        <is>
          <t xml:space="preserve">Joel 2</t>
        </is>
      </c>
      <c r="B882" s="15">
        <v>878</v>
      </c>
      <c r="C882" s="15" t="inlineStr">
        <is>
          <t xml:space="preserve">Old Testament</t>
        </is>
      </c>
      <c r="D882" s="15">
        <v>29</v>
      </c>
      <c r="E882" s="15" t="inlineStr">
        <is>
          <t xml:space="preserve">Joel</t>
        </is>
      </c>
      <c r="F882" s="15">
        <v>2</v>
      </c>
      <c r="G882" s="15" t="inlineStr">
        <is>
          <t xml:space="preserve">v0.4</t>
        </is>
      </c>
      <c r="H882" s="15" t="inlineStr">
        <is>
          <t xml:space="preserve">Bible_Journey_Canon_Map_v0_4_Prophets_Exile.xlsx</t>
        </is>
      </c>
      <c r="I882" s="15" t="inlineStr">
        <is>
          <t xml:space="preserve">Chapter Map</t>
        </is>
      </c>
      <c r="J882" s="15" t="inlineStr">
        <is>
          <t xml:space="preserve">CRS-04-052</t>
        </is>
      </c>
      <c r="K882" s="15" t="inlineStr">
        <is>
          <t xml:space="preserve">RB-04-054</t>
        </is>
      </c>
      <c r="L882" s="15" t="inlineStr">
        <is>
          <t xml:space="preserve">Main Stream</t>
        </is>
      </c>
      <c r="M882" s="15" t="inlineStr">
        <is>
          <t xml:space="preserve">Not reviewed</t>
        </is>
      </c>
      <c r="N882" s="15" t="inlineStr">
        <is>
          <t xml:space="preserve">S7</t>
        </is>
      </c>
      <c r="O882" s="15">
        <v>1</v>
      </c>
      <c r="P882" s="10" t="str">
        <f>IF(L882="MISSING","MISSING",IF(O882=1,"PASS","DUPLICATE"))</f>
        <v>PASS</v>
      </c>
    </row>
    <row r="883" ht="22" customHeight="1">
      <c r="A883" s="15" t="inlineStr">
        <is>
          <t xml:space="preserve">Joel 3</t>
        </is>
      </c>
      <c r="B883" s="15">
        <v>879</v>
      </c>
      <c r="C883" s="15" t="inlineStr">
        <is>
          <t xml:space="preserve">Old Testament</t>
        </is>
      </c>
      <c r="D883" s="15">
        <v>29</v>
      </c>
      <c r="E883" s="15" t="inlineStr">
        <is>
          <t xml:space="preserve">Joel</t>
        </is>
      </c>
      <c r="F883" s="15">
        <v>3</v>
      </c>
      <c r="G883" s="15" t="inlineStr">
        <is>
          <t xml:space="preserve">v0.4</t>
        </is>
      </c>
      <c r="H883" s="15" t="inlineStr">
        <is>
          <t xml:space="preserve">Bible_Journey_Canon_Map_v0_4_Prophets_Exile.xlsx</t>
        </is>
      </c>
      <c r="I883" s="15" t="inlineStr">
        <is>
          <t xml:space="preserve">Chapter Map</t>
        </is>
      </c>
      <c r="J883" s="15" t="inlineStr">
        <is>
          <t xml:space="preserve">CRS-04-052</t>
        </is>
      </c>
      <c r="K883" s="15" t="inlineStr">
        <is>
          <t xml:space="preserve">RB-04-054</t>
        </is>
      </c>
      <c r="L883" s="15" t="inlineStr">
        <is>
          <t xml:space="preserve">Main Stream</t>
        </is>
      </c>
      <c r="M883" s="15" t="inlineStr">
        <is>
          <t xml:space="preserve">Not reviewed</t>
        </is>
      </c>
      <c r="N883" s="15" t="inlineStr">
        <is>
          <t xml:space="preserve">S7</t>
        </is>
      </c>
      <c r="O883" s="15">
        <v>1</v>
      </c>
      <c r="P883" s="10" t="str">
        <f>IF(L883="MISSING","MISSING",IF(O883=1,"PASS","DUPLICATE"))</f>
        <v>PASS</v>
      </c>
    </row>
    <row r="884" ht="22" customHeight="1">
      <c r="A884" s="15" t="inlineStr">
        <is>
          <t xml:space="preserve">Amos 1</t>
        </is>
      </c>
      <c r="B884" s="15">
        <v>880</v>
      </c>
      <c r="C884" s="15" t="inlineStr">
        <is>
          <t xml:space="preserve">Old Testament</t>
        </is>
      </c>
      <c r="D884" s="15">
        <v>30</v>
      </c>
      <c r="E884" s="15" t="inlineStr">
        <is>
          <t xml:space="preserve">Amos</t>
        </is>
      </c>
      <c r="F884" s="15">
        <v>1</v>
      </c>
      <c r="G884" s="15" t="inlineStr">
        <is>
          <t xml:space="preserve">v0.4</t>
        </is>
      </c>
      <c r="H884" s="15" t="inlineStr">
        <is>
          <t xml:space="preserve">Bible_Journey_Canon_Map_v0_4_Prophets_Exile.xlsx</t>
        </is>
      </c>
      <c r="I884" s="15" t="inlineStr">
        <is>
          <t xml:space="preserve">Chapter Map</t>
        </is>
      </c>
      <c r="J884" s="15" t="inlineStr">
        <is>
          <t xml:space="preserve">CRS-04-002</t>
        </is>
      </c>
      <c r="K884" s="15" t="inlineStr">
        <is>
          <t xml:space="preserve">RB-04-002</t>
        </is>
      </c>
      <c r="L884" s="15" t="inlineStr">
        <is>
          <t xml:space="preserve">Main Stream</t>
        </is>
      </c>
      <c r="M884" s="15" t="inlineStr">
        <is>
          <t xml:space="preserve">Not reviewed</t>
        </is>
      </c>
      <c r="N884" s="15" t="inlineStr">
        <is>
          <t xml:space="preserve">S1; S8; S9</t>
        </is>
      </c>
      <c r="O884" s="15">
        <v>1</v>
      </c>
      <c r="P884" s="10" t="str">
        <f>IF(L884="MISSING","MISSING",IF(O884=1,"PASS","DUPLICATE"))</f>
        <v>PASS</v>
      </c>
    </row>
    <row r="885" ht="22" customHeight="1">
      <c r="A885" s="15" t="inlineStr">
        <is>
          <t xml:space="preserve">Amos 2</t>
        </is>
      </c>
      <c r="B885" s="15">
        <v>881</v>
      </c>
      <c r="C885" s="15" t="inlineStr">
        <is>
          <t xml:space="preserve">Old Testament</t>
        </is>
      </c>
      <c r="D885" s="15">
        <v>30</v>
      </c>
      <c r="E885" s="15" t="inlineStr">
        <is>
          <t xml:space="preserve">Amos</t>
        </is>
      </c>
      <c r="F885" s="15">
        <v>2</v>
      </c>
      <c r="G885" s="15" t="inlineStr">
        <is>
          <t xml:space="preserve">v0.4</t>
        </is>
      </c>
      <c r="H885" s="15" t="inlineStr">
        <is>
          <t xml:space="preserve">Bible_Journey_Canon_Map_v0_4_Prophets_Exile.xlsx</t>
        </is>
      </c>
      <c r="I885" s="15" t="inlineStr">
        <is>
          <t xml:space="preserve">Chapter Map</t>
        </is>
      </c>
      <c r="J885" s="15" t="inlineStr">
        <is>
          <t xml:space="preserve">CRS-04-002</t>
        </is>
      </c>
      <c r="K885" s="15" t="inlineStr">
        <is>
          <t xml:space="preserve">RB-04-002</t>
        </is>
      </c>
      <c r="L885" s="15" t="inlineStr">
        <is>
          <t xml:space="preserve">Main Stream</t>
        </is>
      </c>
      <c r="M885" s="15" t="inlineStr">
        <is>
          <t xml:space="preserve">Not reviewed</t>
        </is>
      </c>
      <c r="N885" s="15" t="inlineStr">
        <is>
          <t xml:space="preserve">S1; S8; S9</t>
        </is>
      </c>
      <c r="O885" s="15">
        <v>1</v>
      </c>
      <c r="P885" s="10" t="str">
        <f>IF(L885="MISSING","MISSING",IF(O885=1,"PASS","DUPLICATE"))</f>
        <v>PASS</v>
      </c>
    </row>
    <row r="886" ht="22" customHeight="1">
      <c r="A886" s="15" t="inlineStr">
        <is>
          <t xml:space="preserve">Amos 3</t>
        </is>
      </c>
      <c r="B886" s="15">
        <v>882</v>
      </c>
      <c r="C886" s="15" t="inlineStr">
        <is>
          <t xml:space="preserve">Old Testament</t>
        </is>
      </c>
      <c r="D886" s="15">
        <v>30</v>
      </c>
      <c r="E886" s="15" t="inlineStr">
        <is>
          <t xml:space="preserve">Amos</t>
        </is>
      </c>
      <c r="F886" s="15">
        <v>3</v>
      </c>
      <c r="G886" s="15" t="inlineStr">
        <is>
          <t xml:space="preserve">v0.4</t>
        </is>
      </c>
      <c r="H886" s="15" t="inlineStr">
        <is>
          <t xml:space="preserve">Bible_Journey_Canon_Map_v0_4_Prophets_Exile.xlsx</t>
        </is>
      </c>
      <c r="I886" s="15" t="inlineStr">
        <is>
          <t xml:space="preserve">Chapter Map</t>
        </is>
      </c>
      <c r="J886" s="15" t="inlineStr">
        <is>
          <t xml:space="preserve">CRS-04-003</t>
        </is>
      </c>
      <c r="K886" s="15" t="inlineStr">
        <is>
          <t xml:space="preserve">RB-04-003</t>
        </is>
      </c>
      <c r="L886" s="15" t="inlineStr">
        <is>
          <t xml:space="preserve">Main Stream</t>
        </is>
      </c>
      <c r="M886" s="15" t="inlineStr">
        <is>
          <t xml:space="preserve">Not reviewed</t>
        </is>
      </c>
      <c r="N886" s="15" t="inlineStr">
        <is>
          <t xml:space="preserve">S8; S9; S7</t>
        </is>
      </c>
      <c r="O886" s="15">
        <v>1</v>
      </c>
      <c r="P886" s="10" t="str">
        <f>IF(L886="MISSING","MISSING",IF(O886=1,"PASS","DUPLICATE"))</f>
        <v>PASS</v>
      </c>
    </row>
    <row r="887" ht="22" customHeight="1">
      <c r="A887" s="15" t="inlineStr">
        <is>
          <t xml:space="preserve">Amos 4</t>
        </is>
      </c>
      <c r="B887" s="15">
        <v>883</v>
      </c>
      <c r="C887" s="15" t="inlineStr">
        <is>
          <t xml:space="preserve">Old Testament</t>
        </is>
      </c>
      <c r="D887" s="15">
        <v>30</v>
      </c>
      <c r="E887" s="15" t="inlineStr">
        <is>
          <t xml:space="preserve">Amos</t>
        </is>
      </c>
      <c r="F887" s="15">
        <v>4</v>
      </c>
      <c r="G887" s="15" t="inlineStr">
        <is>
          <t xml:space="preserve">v0.4</t>
        </is>
      </c>
      <c r="H887" s="15" t="inlineStr">
        <is>
          <t xml:space="preserve">Bible_Journey_Canon_Map_v0_4_Prophets_Exile.xlsx</t>
        </is>
      </c>
      <c r="I887" s="15" t="inlineStr">
        <is>
          <t xml:space="preserve">Chapter Map</t>
        </is>
      </c>
      <c r="J887" s="15" t="inlineStr">
        <is>
          <t xml:space="preserve">CRS-04-003</t>
        </is>
      </c>
      <c r="K887" s="15" t="inlineStr">
        <is>
          <t xml:space="preserve">RB-04-003</t>
        </is>
      </c>
      <c r="L887" s="15" t="inlineStr">
        <is>
          <t xml:space="preserve">Main Stream</t>
        </is>
      </c>
      <c r="M887" s="15" t="inlineStr">
        <is>
          <t xml:space="preserve">Not reviewed</t>
        </is>
      </c>
      <c r="N887" s="15" t="inlineStr">
        <is>
          <t xml:space="preserve">S8; S9; S7</t>
        </is>
      </c>
      <c r="O887" s="15">
        <v>1</v>
      </c>
      <c r="P887" s="10" t="str">
        <f>IF(L887="MISSING","MISSING",IF(O887=1,"PASS","DUPLICATE"))</f>
        <v>PASS</v>
      </c>
    </row>
    <row r="888" ht="22" customHeight="1">
      <c r="A888" s="15" t="inlineStr">
        <is>
          <t xml:space="preserve">Amos 5</t>
        </is>
      </c>
      <c r="B888" s="15">
        <v>884</v>
      </c>
      <c r="C888" s="15" t="inlineStr">
        <is>
          <t xml:space="preserve">Old Testament</t>
        </is>
      </c>
      <c r="D888" s="15">
        <v>30</v>
      </c>
      <c r="E888" s="15" t="inlineStr">
        <is>
          <t xml:space="preserve">Amos</t>
        </is>
      </c>
      <c r="F888" s="15">
        <v>5</v>
      </c>
      <c r="G888" s="15" t="inlineStr">
        <is>
          <t xml:space="preserve">v0.4</t>
        </is>
      </c>
      <c r="H888" s="15" t="inlineStr">
        <is>
          <t xml:space="preserve">Bible_Journey_Canon_Map_v0_4_Prophets_Exile.xlsx</t>
        </is>
      </c>
      <c r="I888" s="15" t="inlineStr">
        <is>
          <t xml:space="preserve">Chapter Map</t>
        </is>
      </c>
      <c r="J888" s="15" t="inlineStr">
        <is>
          <t xml:space="preserve">CRS-04-003</t>
        </is>
      </c>
      <c r="K888" s="15" t="inlineStr">
        <is>
          <t xml:space="preserve">RB-04-003</t>
        </is>
      </c>
      <c r="L888" s="15" t="inlineStr">
        <is>
          <t xml:space="preserve">Main Stream</t>
        </is>
      </c>
      <c r="M888" s="15" t="inlineStr">
        <is>
          <t xml:space="preserve">Not reviewed</t>
        </is>
      </c>
      <c r="N888" s="15" t="inlineStr">
        <is>
          <t xml:space="preserve">S8; S9; S7</t>
        </is>
      </c>
      <c r="O888" s="15">
        <v>1</v>
      </c>
      <c r="P888" s="10" t="str">
        <f>IF(L888="MISSING","MISSING",IF(O888=1,"PASS","DUPLICATE"))</f>
        <v>PASS</v>
      </c>
    </row>
    <row r="889" ht="22" customHeight="1">
      <c r="A889" s="15" t="inlineStr">
        <is>
          <t xml:space="preserve">Amos 6</t>
        </is>
      </c>
      <c r="B889" s="15">
        <v>885</v>
      </c>
      <c r="C889" s="15" t="inlineStr">
        <is>
          <t xml:space="preserve">Old Testament</t>
        </is>
      </c>
      <c r="D889" s="15">
        <v>30</v>
      </c>
      <c r="E889" s="15" t="inlineStr">
        <is>
          <t xml:space="preserve">Amos</t>
        </is>
      </c>
      <c r="F889" s="15">
        <v>6</v>
      </c>
      <c r="G889" s="15" t="inlineStr">
        <is>
          <t xml:space="preserve">v0.4</t>
        </is>
      </c>
      <c r="H889" s="15" t="inlineStr">
        <is>
          <t xml:space="preserve">Bible_Journey_Canon_Map_v0_4_Prophets_Exile.xlsx</t>
        </is>
      </c>
      <c r="I889" s="15" t="inlineStr">
        <is>
          <t xml:space="preserve">Chapter Map</t>
        </is>
      </c>
      <c r="J889" s="15" t="inlineStr">
        <is>
          <t xml:space="preserve">CRS-04-003</t>
        </is>
      </c>
      <c r="K889" s="15" t="inlineStr">
        <is>
          <t xml:space="preserve">RB-04-003</t>
        </is>
      </c>
      <c r="L889" s="15" t="inlineStr">
        <is>
          <t xml:space="preserve">Main Stream</t>
        </is>
      </c>
      <c r="M889" s="15" t="inlineStr">
        <is>
          <t xml:space="preserve">Not reviewed</t>
        </is>
      </c>
      <c r="N889" s="15" t="inlineStr">
        <is>
          <t xml:space="preserve">S8; S9; S7</t>
        </is>
      </c>
      <c r="O889" s="15">
        <v>1</v>
      </c>
      <c r="P889" s="10" t="str">
        <f>IF(L889="MISSING","MISSING",IF(O889=1,"PASS","DUPLICATE"))</f>
        <v>PASS</v>
      </c>
    </row>
    <row r="890" ht="22" customHeight="1">
      <c r="A890" s="15" t="inlineStr">
        <is>
          <t xml:space="preserve">Amos 7</t>
        </is>
      </c>
      <c r="B890" s="15">
        <v>886</v>
      </c>
      <c r="C890" s="15" t="inlineStr">
        <is>
          <t xml:space="preserve">Old Testament</t>
        </is>
      </c>
      <c r="D890" s="15">
        <v>30</v>
      </c>
      <c r="E890" s="15" t="inlineStr">
        <is>
          <t xml:space="preserve">Amos</t>
        </is>
      </c>
      <c r="F890" s="15">
        <v>7</v>
      </c>
      <c r="G890" s="15" t="inlineStr">
        <is>
          <t xml:space="preserve">v0.4</t>
        </is>
      </c>
      <c r="H890" s="15" t="inlineStr">
        <is>
          <t xml:space="preserve">Bible_Journey_Canon_Map_v0_4_Prophets_Exile.xlsx</t>
        </is>
      </c>
      <c r="I890" s="15" t="inlineStr">
        <is>
          <t xml:space="preserve">Chapter Map</t>
        </is>
      </c>
      <c r="J890" s="15" t="inlineStr">
        <is>
          <t xml:space="preserve">CRS-04-004</t>
        </is>
      </c>
      <c r="K890" s="15" t="inlineStr">
        <is>
          <t xml:space="preserve">RB-04-004</t>
        </is>
      </c>
      <c r="L890" s="15" t="inlineStr">
        <is>
          <t xml:space="preserve">Main Stream</t>
        </is>
      </c>
      <c r="M890" s="15" t="inlineStr">
        <is>
          <t xml:space="preserve">Not reviewed</t>
        </is>
      </c>
      <c r="N890" s="15" t="inlineStr">
        <is>
          <t xml:space="preserve">S1; S8; S9; S7</t>
        </is>
      </c>
      <c r="O890" s="15">
        <v>1</v>
      </c>
      <c r="P890" s="10" t="str">
        <f>IF(L890="MISSING","MISSING",IF(O890=1,"PASS","DUPLICATE"))</f>
        <v>PASS</v>
      </c>
    </row>
    <row r="891" ht="22" customHeight="1">
      <c r="A891" s="15" t="inlineStr">
        <is>
          <t xml:space="preserve">Amos 8</t>
        </is>
      </c>
      <c r="B891" s="15">
        <v>887</v>
      </c>
      <c r="C891" s="15" t="inlineStr">
        <is>
          <t xml:space="preserve">Old Testament</t>
        </is>
      </c>
      <c r="D891" s="15">
        <v>30</v>
      </c>
      <c r="E891" s="15" t="inlineStr">
        <is>
          <t xml:space="preserve">Amos</t>
        </is>
      </c>
      <c r="F891" s="15">
        <v>8</v>
      </c>
      <c r="G891" s="15" t="inlineStr">
        <is>
          <t xml:space="preserve">v0.4</t>
        </is>
      </c>
      <c r="H891" s="15" t="inlineStr">
        <is>
          <t xml:space="preserve">Bible_Journey_Canon_Map_v0_4_Prophets_Exile.xlsx</t>
        </is>
      </c>
      <c r="I891" s="15" t="inlineStr">
        <is>
          <t xml:space="preserve">Chapter Map</t>
        </is>
      </c>
      <c r="J891" s="15" t="inlineStr">
        <is>
          <t xml:space="preserve">CRS-04-004</t>
        </is>
      </c>
      <c r="K891" s="15" t="inlineStr">
        <is>
          <t xml:space="preserve">RB-04-004</t>
        </is>
      </c>
      <c r="L891" s="15" t="inlineStr">
        <is>
          <t xml:space="preserve">Main Stream</t>
        </is>
      </c>
      <c r="M891" s="15" t="inlineStr">
        <is>
          <t xml:space="preserve">Not reviewed</t>
        </is>
      </c>
      <c r="N891" s="15" t="inlineStr">
        <is>
          <t xml:space="preserve">S1; S8; S9; S7</t>
        </is>
      </c>
      <c r="O891" s="15">
        <v>1</v>
      </c>
      <c r="P891" s="10" t="str">
        <f>IF(L891="MISSING","MISSING",IF(O891=1,"PASS","DUPLICATE"))</f>
        <v>PASS</v>
      </c>
    </row>
    <row r="892" ht="22" customHeight="1">
      <c r="A892" s="15" t="inlineStr">
        <is>
          <t xml:space="preserve">Amos 9</t>
        </is>
      </c>
      <c r="B892" s="15">
        <v>888</v>
      </c>
      <c r="C892" s="15" t="inlineStr">
        <is>
          <t xml:space="preserve">Old Testament</t>
        </is>
      </c>
      <c r="D892" s="15">
        <v>30</v>
      </c>
      <c r="E892" s="15" t="inlineStr">
        <is>
          <t xml:space="preserve">Amos</t>
        </is>
      </c>
      <c r="F892" s="15">
        <v>9</v>
      </c>
      <c r="G892" s="15" t="inlineStr">
        <is>
          <t xml:space="preserve">v0.4</t>
        </is>
      </c>
      <c r="H892" s="15" t="inlineStr">
        <is>
          <t xml:space="preserve">Bible_Journey_Canon_Map_v0_4_Prophets_Exile.xlsx</t>
        </is>
      </c>
      <c r="I892" s="15" t="inlineStr">
        <is>
          <t xml:space="preserve">Chapter Map</t>
        </is>
      </c>
      <c r="J892" s="15" t="inlineStr">
        <is>
          <t xml:space="preserve">CRS-04-004</t>
        </is>
      </c>
      <c r="K892" s="15" t="inlineStr">
        <is>
          <t xml:space="preserve">RB-04-004</t>
        </is>
      </c>
      <c r="L892" s="15" t="inlineStr">
        <is>
          <t xml:space="preserve">Main Stream</t>
        </is>
      </c>
      <c r="M892" s="15" t="inlineStr">
        <is>
          <t xml:space="preserve">Not reviewed</t>
        </is>
      </c>
      <c r="N892" s="15" t="inlineStr">
        <is>
          <t xml:space="preserve">S1; S8; S9; S7</t>
        </is>
      </c>
      <c r="O892" s="15">
        <v>1</v>
      </c>
      <c r="P892" s="10" t="str">
        <f>IF(L892="MISSING","MISSING",IF(O892=1,"PASS","DUPLICATE"))</f>
        <v>PASS</v>
      </c>
    </row>
    <row r="893" ht="22" customHeight="1">
      <c r="A893" s="15" t="inlineStr">
        <is>
          <t xml:space="preserve">Obadiah 1</t>
        </is>
      </c>
      <c r="B893" s="15">
        <v>889</v>
      </c>
      <c r="C893" s="15" t="inlineStr">
        <is>
          <t xml:space="preserve">Old Testament</t>
        </is>
      </c>
      <c r="D893" s="15">
        <v>31</v>
      </c>
      <c r="E893" s="15" t="inlineStr">
        <is>
          <t xml:space="preserve">Obadiah</t>
        </is>
      </c>
      <c r="F893" s="15">
        <v>1</v>
      </c>
      <c r="G893" s="15" t="inlineStr">
        <is>
          <t xml:space="preserve">v0.5</t>
        </is>
      </c>
      <c r="H893" s="15" t="inlineStr">
        <is>
          <t xml:space="preserve">Bible_Journey_Canon_Map_v0_5_Exile_Return_Persia.xlsx</t>
        </is>
      </c>
      <c r="I893" s="15" t="inlineStr">
        <is>
          <t xml:space="preserve">Coverage Audit</t>
        </is>
      </c>
      <c r="J893" s="15" t="inlineStr">
        <is>
          <t xml:space="preserve">CRS-05-017</t>
        </is>
      </c>
      <c r="K893" s="15" t="inlineStr">
        <is>
          <t xml:space="preserve">BLK-05-017</t>
        </is>
      </c>
      <c r="L893" s="15" t="inlineStr">
        <is>
          <t xml:space="preserve">Covered</t>
        </is>
      </c>
      <c r="M893" s="15" t="inlineStr">
        <is>
          <t xml:space="preserve">Single reading block</t>
        </is>
      </c>
      <c r="N893" s="15"/>
      <c r="O893" s="15">
        <v>1</v>
      </c>
      <c r="P893" s="10" t="str">
        <f>IF(L893="MISSING","MISSING",IF(O893=1,"PASS","DUPLICATE"))</f>
        <v>PASS</v>
      </c>
    </row>
    <row r="894" ht="22" customHeight="1">
      <c r="A894" s="15" t="inlineStr">
        <is>
          <t xml:space="preserve">Jonah 1</t>
        </is>
      </c>
      <c r="B894" s="15">
        <v>890</v>
      </c>
      <c r="C894" s="15" t="inlineStr">
        <is>
          <t xml:space="preserve">Old Testament</t>
        </is>
      </c>
      <c r="D894" s="15">
        <v>32</v>
      </c>
      <c r="E894" s="15" t="inlineStr">
        <is>
          <t xml:space="preserve">Jonah</t>
        </is>
      </c>
      <c r="F894" s="15">
        <v>1</v>
      </c>
      <c r="G894" s="15" t="inlineStr">
        <is>
          <t xml:space="preserve">v0.4</t>
        </is>
      </c>
      <c r="H894" s="15" t="inlineStr">
        <is>
          <t xml:space="preserve">Bible_Journey_Canon_Map_v0_4_Prophets_Exile.xlsx</t>
        </is>
      </c>
      <c r="I894" s="15" t="inlineStr">
        <is>
          <t xml:space="preserve">Chapter Map</t>
        </is>
      </c>
      <c r="J894" s="15" t="inlineStr">
        <is>
          <t xml:space="preserve">CRS-04-001</t>
        </is>
      </c>
      <c r="K894" s="15" t="inlineStr">
        <is>
          <t xml:space="preserve">RB-04-001</t>
        </is>
      </c>
      <c r="L894" s="15" t="inlineStr">
        <is>
          <t xml:space="preserve">Main Stream</t>
        </is>
      </c>
      <c r="M894" s="15" t="inlineStr">
        <is>
          <t xml:space="preserve">Not reviewed</t>
        </is>
      </c>
      <c r="N894" s="15" t="inlineStr">
        <is>
          <t xml:space="preserve">S1; S8; S7</t>
        </is>
      </c>
      <c r="O894" s="15">
        <v>1</v>
      </c>
      <c r="P894" s="10" t="str">
        <f>IF(L894="MISSING","MISSING",IF(O894=1,"PASS","DUPLICATE"))</f>
        <v>PASS</v>
      </c>
    </row>
    <row r="895" ht="22" customHeight="1">
      <c r="A895" s="15" t="inlineStr">
        <is>
          <t xml:space="preserve">Jonah 2</t>
        </is>
      </c>
      <c r="B895" s="15">
        <v>891</v>
      </c>
      <c r="C895" s="15" t="inlineStr">
        <is>
          <t xml:space="preserve">Old Testament</t>
        </is>
      </c>
      <c r="D895" s="15">
        <v>32</v>
      </c>
      <c r="E895" s="15" t="inlineStr">
        <is>
          <t xml:space="preserve">Jonah</t>
        </is>
      </c>
      <c r="F895" s="15">
        <v>2</v>
      </c>
      <c r="G895" s="15" t="inlineStr">
        <is>
          <t xml:space="preserve">v0.4</t>
        </is>
      </c>
      <c r="H895" s="15" t="inlineStr">
        <is>
          <t xml:space="preserve">Bible_Journey_Canon_Map_v0_4_Prophets_Exile.xlsx</t>
        </is>
      </c>
      <c r="I895" s="15" t="inlineStr">
        <is>
          <t xml:space="preserve">Chapter Map</t>
        </is>
      </c>
      <c r="J895" s="15" t="inlineStr">
        <is>
          <t xml:space="preserve">CRS-04-001</t>
        </is>
      </c>
      <c r="K895" s="15" t="inlineStr">
        <is>
          <t xml:space="preserve">RB-04-001</t>
        </is>
      </c>
      <c r="L895" s="15" t="inlineStr">
        <is>
          <t xml:space="preserve">Main Stream</t>
        </is>
      </c>
      <c r="M895" s="15" t="inlineStr">
        <is>
          <t xml:space="preserve">Not reviewed</t>
        </is>
      </c>
      <c r="N895" s="15" t="inlineStr">
        <is>
          <t xml:space="preserve">S1; S8; S7</t>
        </is>
      </c>
      <c r="O895" s="15">
        <v>1</v>
      </c>
      <c r="P895" s="10" t="str">
        <f>IF(L895="MISSING","MISSING",IF(O895=1,"PASS","DUPLICATE"))</f>
        <v>PASS</v>
      </c>
    </row>
    <row r="896" ht="22" customHeight="1">
      <c r="A896" s="15" t="inlineStr">
        <is>
          <t xml:space="preserve">Jonah 3</t>
        </is>
      </c>
      <c r="B896" s="15">
        <v>892</v>
      </c>
      <c r="C896" s="15" t="inlineStr">
        <is>
          <t xml:space="preserve">Old Testament</t>
        </is>
      </c>
      <c r="D896" s="15">
        <v>32</v>
      </c>
      <c r="E896" s="15" t="inlineStr">
        <is>
          <t xml:space="preserve">Jonah</t>
        </is>
      </c>
      <c r="F896" s="15">
        <v>3</v>
      </c>
      <c r="G896" s="15" t="inlineStr">
        <is>
          <t xml:space="preserve">v0.4</t>
        </is>
      </c>
      <c r="H896" s="15" t="inlineStr">
        <is>
          <t xml:space="preserve">Bible_Journey_Canon_Map_v0_4_Prophets_Exile.xlsx</t>
        </is>
      </c>
      <c r="I896" s="15" t="inlineStr">
        <is>
          <t xml:space="preserve">Chapter Map</t>
        </is>
      </c>
      <c r="J896" s="15" t="inlineStr">
        <is>
          <t xml:space="preserve">CRS-04-001</t>
        </is>
      </c>
      <c r="K896" s="15" t="inlineStr">
        <is>
          <t xml:space="preserve">RB-04-001</t>
        </is>
      </c>
      <c r="L896" s="15" t="inlineStr">
        <is>
          <t xml:space="preserve">Main Stream</t>
        </is>
      </c>
      <c r="M896" s="15" t="inlineStr">
        <is>
          <t xml:space="preserve">Not reviewed</t>
        </is>
      </c>
      <c r="N896" s="15" t="inlineStr">
        <is>
          <t xml:space="preserve">S1; S8; S7</t>
        </is>
      </c>
      <c r="O896" s="15">
        <v>1</v>
      </c>
      <c r="P896" s="10" t="str">
        <f>IF(L896="MISSING","MISSING",IF(O896=1,"PASS","DUPLICATE"))</f>
        <v>PASS</v>
      </c>
    </row>
    <row r="897" ht="22" customHeight="1">
      <c r="A897" s="15" t="inlineStr">
        <is>
          <t xml:space="preserve">Jonah 4</t>
        </is>
      </c>
      <c r="B897" s="15">
        <v>893</v>
      </c>
      <c r="C897" s="15" t="inlineStr">
        <is>
          <t xml:space="preserve">Old Testament</t>
        </is>
      </c>
      <c r="D897" s="15">
        <v>32</v>
      </c>
      <c r="E897" s="15" t="inlineStr">
        <is>
          <t xml:space="preserve">Jonah</t>
        </is>
      </c>
      <c r="F897" s="15">
        <v>4</v>
      </c>
      <c r="G897" s="15" t="inlineStr">
        <is>
          <t xml:space="preserve">v0.4</t>
        </is>
      </c>
      <c r="H897" s="15" t="inlineStr">
        <is>
          <t xml:space="preserve">Bible_Journey_Canon_Map_v0_4_Prophets_Exile.xlsx</t>
        </is>
      </c>
      <c r="I897" s="15" t="inlineStr">
        <is>
          <t xml:space="preserve">Chapter Map</t>
        </is>
      </c>
      <c r="J897" s="15" t="inlineStr">
        <is>
          <t xml:space="preserve">CRS-04-001</t>
        </is>
      </c>
      <c r="K897" s="15" t="inlineStr">
        <is>
          <t xml:space="preserve">RB-04-001</t>
        </is>
      </c>
      <c r="L897" s="15" t="inlineStr">
        <is>
          <t xml:space="preserve">Main Stream</t>
        </is>
      </c>
      <c r="M897" s="15" t="inlineStr">
        <is>
          <t xml:space="preserve">Not reviewed</t>
        </is>
      </c>
      <c r="N897" s="15" t="inlineStr">
        <is>
          <t xml:space="preserve">S1; S8; S7</t>
        </is>
      </c>
      <c r="O897" s="15">
        <v>1</v>
      </c>
      <c r="P897" s="10" t="str">
        <f>IF(L897="MISSING","MISSING",IF(O897=1,"PASS","DUPLICATE"))</f>
        <v>PASS</v>
      </c>
    </row>
    <row r="898" ht="22" customHeight="1">
      <c r="A898" s="15" t="inlineStr">
        <is>
          <t xml:space="preserve">Micah 1</t>
        </is>
      </c>
      <c r="B898" s="15">
        <v>894</v>
      </c>
      <c r="C898" s="15" t="inlineStr">
        <is>
          <t xml:space="preserve">Old Testament</t>
        </is>
      </c>
      <c r="D898" s="15">
        <v>33</v>
      </c>
      <c r="E898" s="15" t="inlineStr">
        <is>
          <t xml:space="preserve">Micah</t>
        </is>
      </c>
      <c r="F898" s="15">
        <v>1</v>
      </c>
      <c r="G898" s="15" t="inlineStr">
        <is>
          <t xml:space="preserve">v0.4</t>
        </is>
      </c>
      <c r="H898" s="15" t="inlineStr">
        <is>
          <t xml:space="preserve">Bible_Journey_Canon_Map_v0_4_Prophets_Exile.xlsx</t>
        </is>
      </c>
      <c r="I898" s="15" t="inlineStr">
        <is>
          <t xml:space="preserve">Chapter Map</t>
        </is>
      </c>
      <c r="J898" s="15" t="inlineStr">
        <is>
          <t xml:space="preserve">CRS-04-010</t>
        </is>
      </c>
      <c r="K898" s="15" t="inlineStr">
        <is>
          <t xml:space="preserve">RB-04-010</t>
        </is>
      </c>
      <c r="L898" s="15" t="inlineStr">
        <is>
          <t xml:space="preserve">Main Stream</t>
        </is>
      </c>
      <c r="M898" s="15" t="inlineStr">
        <is>
          <t xml:space="preserve">Not reviewed</t>
        </is>
      </c>
      <c r="N898" s="15" t="inlineStr">
        <is>
          <t xml:space="preserve">S1; S7</t>
        </is>
      </c>
      <c r="O898" s="15">
        <v>1</v>
      </c>
      <c r="P898" s="10" t="str">
        <f>IF(L898="MISSING","MISSING",IF(O898=1,"PASS","DUPLICATE"))</f>
        <v>PASS</v>
      </c>
    </row>
    <row r="899" ht="22" customHeight="1">
      <c r="A899" s="15" t="inlineStr">
        <is>
          <t xml:space="preserve">Micah 2</t>
        </is>
      </c>
      <c r="B899" s="15">
        <v>895</v>
      </c>
      <c r="C899" s="15" t="inlineStr">
        <is>
          <t xml:space="preserve">Old Testament</t>
        </is>
      </c>
      <c r="D899" s="15">
        <v>33</v>
      </c>
      <c r="E899" s="15" t="inlineStr">
        <is>
          <t xml:space="preserve">Micah</t>
        </is>
      </c>
      <c r="F899" s="15">
        <v>2</v>
      </c>
      <c r="G899" s="15" t="inlineStr">
        <is>
          <t xml:space="preserve">v0.4</t>
        </is>
      </c>
      <c r="H899" s="15" t="inlineStr">
        <is>
          <t xml:space="preserve">Bible_Journey_Canon_Map_v0_4_Prophets_Exile.xlsx</t>
        </is>
      </c>
      <c r="I899" s="15" t="inlineStr">
        <is>
          <t xml:space="preserve">Chapter Map</t>
        </is>
      </c>
      <c r="J899" s="15" t="inlineStr">
        <is>
          <t xml:space="preserve">CRS-04-010</t>
        </is>
      </c>
      <c r="K899" s="15" t="inlineStr">
        <is>
          <t xml:space="preserve">RB-04-010</t>
        </is>
      </c>
      <c r="L899" s="15" t="inlineStr">
        <is>
          <t xml:space="preserve">Main Stream</t>
        </is>
      </c>
      <c r="M899" s="15" t="inlineStr">
        <is>
          <t xml:space="preserve">Not reviewed</t>
        </is>
      </c>
      <c r="N899" s="15" t="inlineStr">
        <is>
          <t xml:space="preserve">S1; S7</t>
        </is>
      </c>
      <c r="O899" s="15">
        <v>1</v>
      </c>
      <c r="P899" s="10" t="str">
        <f>IF(L899="MISSING","MISSING",IF(O899=1,"PASS","DUPLICATE"))</f>
        <v>PASS</v>
      </c>
    </row>
    <row r="900" ht="22" customHeight="1">
      <c r="A900" s="15" t="inlineStr">
        <is>
          <t xml:space="preserve">Micah 3</t>
        </is>
      </c>
      <c r="B900" s="15">
        <v>896</v>
      </c>
      <c r="C900" s="15" t="inlineStr">
        <is>
          <t xml:space="preserve">Old Testament</t>
        </is>
      </c>
      <c r="D900" s="15">
        <v>33</v>
      </c>
      <c r="E900" s="15" t="inlineStr">
        <is>
          <t xml:space="preserve">Micah</t>
        </is>
      </c>
      <c r="F900" s="15">
        <v>3</v>
      </c>
      <c r="G900" s="15" t="inlineStr">
        <is>
          <t xml:space="preserve">v0.4</t>
        </is>
      </c>
      <c r="H900" s="15" t="inlineStr">
        <is>
          <t xml:space="preserve">Bible_Journey_Canon_Map_v0_4_Prophets_Exile.xlsx</t>
        </is>
      </c>
      <c r="I900" s="15" t="inlineStr">
        <is>
          <t xml:space="preserve">Chapter Map</t>
        </is>
      </c>
      <c r="J900" s="15" t="inlineStr">
        <is>
          <t xml:space="preserve">CRS-04-010</t>
        </is>
      </c>
      <c r="K900" s="15" t="inlineStr">
        <is>
          <t xml:space="preserve">RB-04-010</t>
        </is>
      </c>
      <c r="L900" s="15" t="inlineStr">
        <is>
          <t xml:space="preserve">Main Stream</t>
        </is>
      </c>
      <c r="M900" s="15" t="inlineStr">
        <is>
          <t xml:space="preserve">Not reviewed</t>
        </is>
      </c>
      <c r="N900" s="15" t="inlineStr">
        <is>
          <t xml:space="preserve">S1; S7</t>
        </is>
      </c>
      <c r="O900" s="15">
        <v>1</v>
      </c>
      <c r="P900" s="10" t="str">
        <f>IF(L900="MISSING","MISSING",IF(O900=1,"PASS","DUPLICATE"))</f>
        <v>PASS</v>
      </c>
    </row>
    <row r="901" ht="22" customHeight="1">
      <c r="A901" s="15" t="inlineStr">
        <is>
          <t xml:space="preserve">Micah 4</t>
        </is>
      </c>
      <c r="B901" s="15">
        <v>897</v>
      </c>
      <c r="C901" s="15" t="inlineStr">
        <is>
          <t xml:space="preserve">Old Testament</t>
        </is>
      </c>
      <c r="D901" s="15">
        <v>33</v>
      </c>
      <c r="E901" s="15" t="inlineStr">
        <is>
          <t xml:space="preserve">Micah</t>
        </is>
      </c>
      <c r="F901" s="15">
        <v>4</v>
      </c>
      <c r="G901" s="15" t="inlineStr">
        <is>
          <t xml:space="preserve">v0.4</t>
        </is>
      </c>
      <c r="H901" s="15" t="inlineStr">
        <is>
          <t xml:space="preserve">Bible_Journey_Canon_Map_v0_4_Prophets_Exile.xlsx</t>
        </is>
      </c>
      <c r="I901" s="15" t="inlineStr">
        <is>
          <t xml:space="preserve">Chapter Map</t>
        </is>
      </c>
      <c r="J901" s="15" t="inlineStr">
        <is>
          <t xml:space="preserve">CRS-04-011</t>
        </is>
      </c>
      <c r="K901" s="15" t="inlineStr">
        <is>
          <t xml:space="preserve">RB-04-011</t>
        </is>
      </c>
      <c r="L901" s="15" t="inlineStr">
        <is>
          <t xml:space="preserve">Main Stream</t>
        </is>
      </c>
      <c r="M901" s="15" t="inlineStr">
        <is>
          <t xml:space="preserve">Not reviewed</t>
        </is>
      </c>
      <c r="N901" s="15" t="inlineStr">
        <is>
          <t xml:space="preserve">S1; S7</t>
        </is>
      </c>
      <c r="O901" s="15">
        <v>1</v>
      </c>
      <c r="P901" s="10" t="str">
        <f>IF(L901="MISSING","MISSING",IF(O901=1,"PASS","DUPLICATE"))</f>
        <v>PASS</v>
      </c>
    </row>
    <row r="902" ht="22" customHeight="1">
      <c r="A902" s="15" t="inlineStr">
        <is>
          <t xml:space="preserve">Micah 5</t>
        </is>
      </c>
      <c r="B902" s="15">
        <v>898</v>
      </c>
      <c r="C902" s="15" t="inlineStr">
        <is>
          <t xml:space="preserve">Old Testament</t>
        </is>
      </c>
      <c r="D902" s="15">
        <v>33</v>
      </c>
      <c r="E902" s="15" t="inlineStr">
        <is>
          <t xml:space="preserve">Micah</t>
        </is>
      </c>
      <c r="F902" s="15">
        <v>5</v>
      </c>
      <c r="G902" s="15" t="inlineStr">
        <is>
          <t xml:space="preserve">v0.4</t>
        </is>
      </c>
      <c r="H902" s="15" t="inlineStr">
        <is>
          <t xml:space="preserve">Bible_Journey_Canon_Map_v0_4_Prophets_Exile.xlsx</t>
        </is>
      </c>
      <c r="I902" s="15" t="inlineStr">
        <is>
          <t xml:space="preserve">Chapter Map</t>
        </is>
      </c>
      <c r="J902" s="15" t="inlineStr">
        <is>
          <t xml:space="preserve">CRS-04-011</t>
        </is>
      </c>
      <c r="K902" s="15" t="inlineStr">
        <is>
          <t xml:space="preserve">RB-04-011</t>
        </is>
      </c>
      <c r="L902" s="15" t="inlineStr">
        <is>
          <t xml:space="preserve">Main Stream</t>
        </is>
      </c>
      <c r="M902" s="15" t="inlineStr">
        <is>
          <t xml:space="preserve">Not reviewed</t>
        </is>
      </c>
      <c r="N902" s="15" t="inlineStr">
        <is>
          <t xml:space="preserve">S1; S7</t>
        </is>
      </c>
      <c r="O902" s="15">
        <v>1</v>
      </c>
      <c r="P902" s="10" t="str">
        <f>IF(L902="MISSING","MISSING",IF(O902=1,"PASS","DUPLICATE"))</f>
        <v>PASS</v>
      </c>
    </row>
    <row r="903" ht="22" customHeight="1">
      <c r="A903" s="15" t="inlineStr">
        <is>
          <t xml:space="preserve">Micah 6</t>
        </is>
      </c>
      <c r="B903" s="15">
        <v>899</v>
      </c>
      <c r="C903" s="15" t="inlineStr">
        <is>
          <t xml:space="preserve">Old Testament</t>
        </is>
      </c>
      <c r="D903" s="15">
        <v>33</v>
      </c>
      <c r="E903" s="15" t="inlineStr">
        <is>
          <t xml:space="preserve">Micah</t>
        </is>
      </c>
      <c r="F903" s="15">
        <v>6</v>
      </c>
      <c r="G903" s="15" t="inlineStr">
        <is>
          <t xml:space="preserve">v0.4</t>
        </is>
      </c>
      <c r="H903" s="15" t="inlineStr">
        <is>
          <t xml:space="preserve">Bible_Journey_Canon_Map_v0_4_Prophets_Exile.xlsx</t>
        </is>
      </c>
      <c r="I903" s="15" t="inlineStr">
        <is>
          <t xml:space="preserve">Chapter Map</t>
        </is>
      </c>
      <c r="J903" s="15" t="inlineStr">
        <is>
          <t xml:space="preserve">CRS-04-012</t>
        </is>
      </c>
      <c r="K903" s="15" t="inlineStr">
        <is>
          <t xml:space="preserve">RB-04-012</t>
        </is>
      </c>
      <c r="L903" s="15" t="inlineStr">
        <is>
          <t xml:space="preserve">Main Stream</t>
        </is>
      </c>
      <c r="M903" s="15" t="inlineStr">
        <is>
          <t xml:space="preserve">Not reviewed</t>
        </is>
      </c>
      <c r="N903" s="15" t="inlineStr">
        <is>
          <t xml:space="preserve">S1; S7</t>
        </is>
      </c>
      <c r="O903" s="15">
        <v>1</v>
      </c>
      <c r="P903" s="10" t="str">
        <f>IF(L903="MISSING","MISSING",IF(O903=1,"PASS","DUPLICATE"))</f>
        <v>PASS</v>
      </c>
    </row>
    <row r="904" ht="22" customHeight="1">
      <c r="A904" s="15" t="inlineStr">
        <is>
          <t xml:space="preserve">Micah 7</t>
        </is>
      </c>
      <c r="B904" s="15">
        <v>900</v>
      </c>
      <c r="C904" s="15" t="inlineStr">
        <is>
          <t xml:space="preserve">Old Testament</t>
        </is>
      </c>
      <c r="D904" s="15">
        <v>33</v>
      </c>
      <c r="E904" s="15" t="inlineStr">
        <is>
          <t xml:space="preserve">Micah</t>
        </is>
      </c>
      <c r="F904" s="15">
        <v>7</v>
      </c>
      <c r="G904" s="15" t="inlineStr">
        <is>
          <t xml:space="preserve">v0.4</t>
        </is>
      </c>
      <c r="H904" s="15" t="inlineStr">
        <is>
          <t xml:space="preserve">Bible_Journey_Canon_Map_v0_4_Prophets_Exile.xlsx</t>
        </is>
      </c>
      <c r="I904" s="15" t="inlineStr">
        <is>
          <t xml:space="preserve">Chapter Map</t>
        </is>
      </c>
      <c r="J904" s="15" t="inlineStr">
        <is>
          <t xml:space="preserve">CRS-04-012</t>
        </is>
      </c>
      <c r="K904" s="15" t="inlineStr">
        <is>
          <t xml:space="preserve">RB-04-012</t>
        </is>
      </c>
      <c r="L904" s="15" t="inlineStr">
        <is>
          <t xml:space="preserve">Main Stream</t>
        </is>
      </c>
      <c r="M904" s="15" t="inlineStr">
        <is>
          <t xml:space="preserve">Not reviewed</t>
        </is>
      </c>
      <c r="N904" s="15" t="inlineStr">
        <is>
          <t xml:space="preserve">S1; S7</t>
        </is>
      </c>
      <c r="O904" s="15">
        <v>1</v>
      </c>
      <c r="P904" s="10" t="str">
        <f>IF(L904="MISSING","MISSING",IF(O904=1,"PASS","DUPLICATE"))</f>
        <v>PASS</v>
      </c>
    </row>
    <row r="905" ht="22" customHeight="1">
      <c r="A905" s="15" t="inlineStr">
        <is>
          <t xml:space="preserve">Nahum 1</t>
        </is>
      </c>
      <c r="B905" s="15">
        <v>901</v>
      </c>
      <c r="C905" s="15" t="inlineStr">
        <is>
          <t xml:space="preserve">Old Testament</t>
        </is>
      </c>
      <c r="D905" s="15">
        <v>34</v>
      </c>
      <c r="E905" s="15" t="inlineStr">
        <is>
          <t xml:space="preserve">Nahum</t>
        </is>
      </c>
      <c r="F905" s="15">
        <v>1</v>
      </c>
      <c r="G905" s="15" t="inlineStr">
        <is>
          <t xml:space="preserve">v0.4</t>
        </is>
      </c>
      <c r="H905" s="15" t="inlineStr">
        <is>
          <t xml:space="preserve">Bible_Journey_Canon_Map_v0_4_Prophets_Exile.xlsx</t>
        </is>
      </c>
      <c r="I905" s="15" t="inlineStr">
        <is>
          <t xml:space="preserve">Chapter Map</t>
        </is>
      </c>
      <c r="J905" s="15" t="inlineStr">
        <is>
          <t xml:space="preserve">CRS-04-019</t>
        </is>
      </c>
      <c r="K905" s="15" t="inlineStr">
        <is>
          <t xml:space="preserve">RB-04-019</t>
        </is>
      </c>
      <c r="L905" s="15" t="inlineStr">
        <is>
          <t xml:space="preserve">Main Stream</t>
        </is>
      </c>
      <c r="M905" s="15" t="inlineStr">
        <is>
          <t xml:space="preserve">Not reviewed</t>
        </is>
      </c>
      <c r="N905" s="15" t="inlineStr">
        <is>
          <t xml:space="preserve">S7</t>
        </is>
      </c>
      <c r="O905" s="15">
        <v>1</v>
      </c>
      <c r="P905" s="10" t="str">
        <f>IF(L905="MISSING","MISSING",IF(O905=1,"PASS","DUPLICATE"))</f>
        <v>PASS</v>
      </c>
    </row>
    <row r="906" ht="22" customHeight="1">
      <c r="A906" s="15" t="inlineStr">
        <is>
          <t xml:space="preserve">Nahum 2</t>
        </is>
      </c>
      <c r="B906" s="15">
        <v>902</v>
      </c>
      <c r="C906" s="15" t="inlineStr">
        <is>
          <t xml:space="preserve">Old Testament</t>
        </is>
      </c>
      <c r="D906" s="15">
        <v>34</v>
      </c>
      <c r="E906" s="15" t="inlineStr">
        <is>
          <t xml:space="preserve">Nahum</t>
        </is>
      </c>
      <c r="F906" s="15">
        <v>2</v>
      </c>
      <c r="G906" s="15" t="inlineStr">
        <is>
          <t xml:space="preserve">v0.4</t>
        </is>
      </c>
      <c r="H906" s="15" t="inlineStr">
        <is>
          <t xml:space="preserve">Bible_Journey_Canon_Map_v0_4_Prophets_Exile.xlsx</t>
        </is>
      </c>
      <c r="I906" s="15" t="inlineStr">
        <is>
          <t xml:space="preserve">Chapter Map</t>
        </is>
      </c>
      <c r="J906" s="15" t="inlineStr">
        <is>
          <t xml:space="preserve">CRS-04-019</t>
        </is>
      </c>
      <c r="K906" s="15" t="inlineStr">
        <is>
          <t xml:space="preserve">RB-04-019</t>
        </is>
      </c>
      <c r="L906" s="15" t="inlineStr">
        <is>
          <t xml:space="preserve">Main Stream</t>
        </is>
      </c>
      <c r="M906" s="15" t="inlineStr">
        <is>
          <t xml:space="preserve">Not reviewed</t>
        </is>
      </c>
      <c r="N906" s="15" t="inlineStr">
        <is>
          <t xml:space="preserve">S7</t>
        </is>
      </c>
      <c r="O906" s="15">
        <v>1</v>
      </c>
      <c r="P906" s="10" t="str">
        <f>IF(L906="MISSING","MISSING",IF(O906=1,"PASS","DUPLICATE"))</f>
        <v>PASS</v>
      </c>
    </row>
    <row r="907" ht="22" customHeight="1">
      <c r="A907" s="15" t="inlineStr">
        <is>
          <t xml:space="preserve">Nahum 3</t>
        </is>
      </c>
      <c r="B907" s="15">
        <v>903</v>
      </c>
      <c r="C907" s="15" t="inlineStr">
        <is>
          <t xml:space="preserve">Old Testament</t>
        </is>
      </c>
      <c r="D907" s="15">
        <v>34</v>
      </c>
      <c r="E907" s="15" t="inlineStr">
        <is>
          <t xml:space="preserve">Nahum</t>
        </is>
      </c>
      <c r="F907" s="15">
        <v>3</v>
      </c>
      <c r="G907" s="15" t="inlineStr">
        <is>
          <t xml:space="preserve">v0.4</t>
        </is>
      </c>
      <c r="H907" s="15" t="inlineStr">
        <is>
          <t xml:space="preserve">Bible_Journey_Canon_Map_v0_4_Prophets_Exile.xlsx</t>
        </is>
      </c>
      <c r="I907" s="15" t="inlineStr">
        <is>
          <t xml:space="preserve">Chapter Map</t>
        </is>
      </c>
      <c r="J907" s="15" t="inlineStr">
        <is>
          <t xml:space="preserve">CRS-04-019</t>
        </is>
      </c>
      <c r="K907" s="15" t="inlineStr">
        <is>
          <t xml:space="preserve">RB-04-019</t>
        </is>
      </c>
      <c r="L907" s="15" t="inlineStr">
        <is>
          <t xml:space="preserve">Main Stream</t>
        </is>
      </c>
      <c r="M907" s="15" t="inlineStr">
        <is>
          <t xml:space="preserve">Not reviewed</t>
        </is>
      </c>
      <c r="N907" s="15" t="inlineStr">
        <is>
          <t xml:space="preserve">S7</t>
        </is>
      </c>
      <c r="O907" s="15">
        <v>1</v>
      </c>
      <c r="P907" s="10" t="str">
        <f>IF(L907="MISSING","MISSING",IF(O907=1,"PASS","DUPLICATE"))</f>
        <v>PASS</v>
      </c>
    </row>
    <row r="908" ht="22" customHeight="1">
      <c r="A908" s="15" t="inlineStr">
        <is>
          <t xml:space="preserve">Habakkuk 1</t>
        </is>
      </c>
      <c r="B908" s="15">
        <v>904</v>
      </c>
      <c r="C908" s="15" t="inlineStr">
        <is>
          <t xml:space="preserve">Old Testament</t>
        </is>
      </c>
      <c r="D908" s="15">
        <v>35</v>
      </c>
      <c r="E908" s="15" t="inlineStr">
        <is>
          <t xml:space="preserve">Habakkuk</t>
        </is>
      </c>
      <c r="F908" s="15">
        <v>1</v>
      </c>
      <c r="G908" s="15" t="inlineStr">
        <is>
          <t xml:space="preserve">v0.5</t>
        </is>
      </c>
      <c r="H908" s="15" t="inlineStr">
        <is>
          <t xml:space="preserve">Bible_Journey_Canon_Map_v0_5_Exile_Return_Persia.xlsx</t>
        </is>
      </c>
      <c r="I908" s="15" t="inlineStr">
        <is>
          <t xml:space="preserve">Coverage Audit</t>
        </is>
      </c>
      <c r="J908" s="15" t="inlineStr">
        <is>
          <t xml:space="preserve">CRS-05-001</t>
        </is>
      </c>
      <c r="K908" s="15" t="inlineStr">
        <is>
          <t xml:space="preserve">BLK-05-001</t>
        </is>
      </c>
      <c r="L908" s="15" t="inlineStr">
        <is>
          <t xml:space="preserve">Covered</t>
        </is>
      </c>
      <c r="M908" s="15" t="inlineStr">
        <is>
          <t xml:space="preserve">Single reading block</t>
        </is>
      </c>
      <c r="N908" s="15"/>
      <c r="O908" s="15">
        <v>1</v>
      </c>
      <c r="P908" s="10" t="str">
        <f>IF(L908="MISSING","MISSING",IF(O908=1,"PASS","DUPLICATE"))</f>
        <v>PASS</v>
      </c>
    </row>
    <row r="909" ht="22" customHeight="1">
      <c r="A909" s="15" t="inlineStr">
        <is>
          <t xml:space="preserve">Habakkuk 2</t>
        </is>
      </c>
      <c r="B909" s="15">
        <v>905</v>
      </c>
      <c r="C909" s="15" t="inlineStr">
        <is>
          <t xml:space="preserve">Old Testament</t>
        </is>
      </c>
      <c r="D909" s="15">
        <v>35</v>
      </c>
      <c r="E909" s="15" t="inlineStr">
        <is>
          <t xml:space="preserve">Habakkuk</t>
        </is>
      </c>
      <c r="F909" s="15">
        <v>2</v>
      </c>
      <c r="G909" s="15" t="inlineStr">
        <is>
          <t xml:space="preserve">v0.5</t>
        </is>
      </c>
      <c r="H909" s="15" t="inlineStr">
        <is>
          <t xml:space="preserve">Bible_Journey_Canon_Map_v0_5_Exile_Return_Persia.xlsx</t>
        </is>
      </c>
      <c r="I909" s="15" t="inlineStr">
        <is>
          <t xml:space="preserve">Coverage Audit</t>
        </is>
      </c>
      <c r="J909" s="15" t="inlineStr">
        <is>
          <t xml:space="preserve">CRS-05-001</t>
        </is>
      </c>
      <c r="K909" s="15" t="inlineStr">
        <is>
          <t xml:space="preserve">BLK-05-001</t>
        </is>
      </c>
      <c r="L909" s="15" t="inlineStr">
        <is>
          <t xml:space="preserve">Covered</t>
        </is>
      </c>
      <c r="M909" s="15" t="inlineStr">
        <is>
          <t xml:space="preserve">Single reading block</t>
        </is>
      </c>
      <c r="N909" s="15"/>
      <c r="O909" s="15">
        <v>1</v>
      </c>
      <c r="P909" s="10" t="str">
        <f>IF(L909="MISSING","MISSING",IF(O909=1,"PASS","DUPLICATE"))</f>
        <v>PASS</v>
      </c>
    </row>
    <row r="910" ht="22" customHeight="1">
      <c r="A910" s="15" t="inlineStr">
        <is>
          <t xml:space="preserve">Habakkuk 3</t>
        </is>
      </c>
      <c r="B910" s="15">
        <v>906</v>
      </c>
      <c r="C910" s="15" t="inlineStr">
        <is>
          <t xml:space="preserve">Old Testament</t>
        </is>
      </c>
      <c r="D910" s="15">
        <v>35</v>
      </c>
      <c r="E910" s="15" t="inlineStr">
        <is>
          <t xml:space="preserve">Habakkuk</t>
        </is>
      </c>
      <c r="F910" s="15">
        <v>3</v>
      </c>
      <c r="G910" s="15" t="inlineStr">
        <is>
          <t xml:space="preserve">v0.5</t>
        </is>
      </c>
      <c r="H910" s="15" t="inlineStr">
        <is>
          <t xml:space="preserve">Bible_Journey_Canon_Map_v0_5_Exile_Return_Persia.xlsx</t>
        </is>
      </c>
      <c r="I910" s="15" t="inlineStr">
        <is>
          <t xml:space="preserve">Coverage Audit</t>
        </is>
      </c>
      <c r="J910" s="15" t="inlineStr">
        <is>
          <t xml:space="preserve">CRS-05-001</t>
        </is>
      </c>
      <c r="K910" s="15" t="inlineStr">
        <is>
          <t xml:space="preserve">BLK-05-001</t>
        </is>
      </c>
      <c r="L910" s="15" t="inlineStr">
        <is>
          <t xml:space="preserve">Covered</t>
        </is>
      </c>
      <c r="M910" s="15" t="inlineStr">
        <is>
          <t xml:space="preserve">Single reading block</t>
        </is>
      </c>
      <c r="N910" s="15"/>
      <c r="O910" s="15">
        <v>1</v>
      </c>
      <c r="P910" s="10" t="str">
        <f>IF(L910="MISSING","MISSING",IF(O910=1,"PASS","DUPLICATE"))</f>
        <v>PASS</v>
      </c>
    </row>
    <row r="911" ht="22" customHeight="1">
      <c r="A911" s="15" t="inlineStr">
        <is>
          <t xml:space="preserve">Zephaniah 1</t>
        </is>
      </c>
      <c r="B911" s="15">
        <v>907</v>
      </c>
      <c r="C911" s="15" t="inlineStr">
        <is>
          <t xml:space="preserve">Old Testament</t>
        </is>
      </c>
      <c r="D911" s="15">
        <v>36</v>
      </c>
      <c r="E911" s="15" t="inlineStr">
        <is>
          <t xml:space="preserve">Zephaniah</t>
        </is>
      </c>
      <c r="F911" s="15">
        <v>1</v>
      </c>
      <c r="G911" s="15" t="inlineStr">
        <is>
          <t xml:space="preserve">v0.4</t>
        </is>
      </c>
      <c r="H911" s="15" t="inlineStr">
        <is>
          <t xml:space="preserve">Bible_Journey_Canon_Map_v0_4_Prophets_Exile.xlsx</t>
        </is>
      </c>
      <c r="I911" s="15" t="inlineStr">
        <is>
          <t xml:space="preserve">Chapter Map</t>
        </is>
      </c>
      <c r="J911" s="15" t="inlineStr">
        <is>
          <t xml:space="preserve">CRS-04-020</t>
        </is>
      </c>
      <c r="K911" s="15" t="inlineStr">
        <is>
          <t xml:space="preserve">RB-04-020</t>
        </is>
      </c>
      <c r="L911" s="15" t="inlineStr">
        <is>
          <t xml:space="preserve">Main Stream</t>
        </is>
      </c>
      <c r="M911" s="15" t="inlineStr">
        <is>
          <t xml:space="preserve">Not reviewed</t>
        </is>
      </c>
      <c r="N911" s="15" t="inlineStr">
        <is>
          <t xml:space="preserve">S1; S7</t>
        </is>
      </c>
      <c r="O911" s="15">
        <v>1</v>
      </c>
      <c r="P911" s="10" t="str">
        <f>IF(L911="MISSING","MISSING",IF(O911=1,"PASS","DUPLICATE"))</f>
        <v>PASS</v>
      </c>
    </row>
    <row r="912" ht="22" customHeight="1">
      <c r="A912" s="15" t="inlineStr">
        <is>
          <t xml:space="preserve">Zephaniah 2</t>
        </is>
      </c>
      <c r="B912" s="15">
        <v>908</v>
      </c>
      <c r="C912" s="15" t="inlineStr">
        <is>
          <t xml:space="preserve">Old Testament</t>
        </is>
      </c>
      <c r="D912" s="15">
        <v>36</v>
      </c>
      <c r="E912" s="15" t="inlineStr">
        <is>
          <t xml:space="preserve">Zephaniah</t>
        </is>
      </c>
      <c r="F912" s="15">
        <v>2</v>
      </c>
      <c r="G912" s="15" t="inlineStr">
        <is>
          <t xml:space="preserve">v0.4</t>
        </is>
      </c>
      <c r="H912" s="15" t="inlineStr">
        <is>
          <t xml:space="preserve">Bible_Journey_Canon_Map_v0_4_Prophets_Exile.xlsx</t>
        </is>
      </c>
      <c r="I912" s="15" t="inlineStr">
        <is>
          <t xml:space="preserve">Chapter Map</t>
        </is>
      </c>
      <c r="J912" s="15" t="inlineStr">
        <is>
          <t xml:space="preserve">CRS-04-020</t>
        </is>
      </c>
      <c r="K912" s="15" t="inlineStr">
        <is>
          <t xml:space="preserve">RB-04-020</t>
        </is>
      </c>
      <c r="L912" s="15" t="inlineStr">
        <is>
          <t xml:space="preserve">Main Stream</t>
        </is>
      </c>
      <c r="M912" s="15" t="inlineStr">
        <is>
          <t xml:space="preserve">Not reviewed</t>
        </is>
      </c>
      <c r="N912" s="15" t="inlineStr">
        <is>
          <t xml:space="preserve">S1; S7</t>
        </is>
      </c>
      <c r="O912" s="15">
        <v>1</v>
      </c>
      <c r="P912" s="10" t="str">
        <f>IF(L912="MISSING","MISSING",IF(O912=1,"PASS","DUPLICATE"))</f>
        <v>PASS</v>
      </c>
    </row>
    <row r="913" ht="22" customHeight="1">
      <c r="A913" s="15" t="inlineStr">
        <is>
          <t xml:space="preserve">Zephaniah 3</t>
        </is>
      </c>
      <c r="B913" s="15">
        <v>909</v>
      </c>
      <c r="C913" s="15" t="inlineStr">
        <is>
          <t xml:space="preserve">Old Testament</t>
        </is>
      </c>
      <c r="D913" s="15">
        <v>36</v>
      </c>
      <c r="E913" s="15" t="inlineStr">
        <is>
          <t xml:space="preserve">Zephaniah</t>
        </is>
      </c>
      <c r="F913" s="15">
        <v>3</v>
      </c>
      <c r="G913" s="15" t="inlineStr">
        <is>
          <t xml:space="preserve">v0.4</t>
        </is>
      </c>
      <c r="H913" s="15" t="inlineStr">
        <is>
          <t xml:space="preserve">Bible_Journey_Canon_Map_v0_4_Prophets_Exile.xlsx</t>
        </is>
      </c>
      <c r="I913" s="15" t="inlineStr">
        <is>
          <t xml:space="preserve">Chapter Map</t>
        </is>
      </c>
      <c r="J913" s="15" t="inlineStr">
        <is>
          <t xml:space="preserve">CRS-04-020</t>
        </is>
      </c>
      <c r="K913" s="15" t="inlineStr">
        <is>
          <t xml:space="preserve">RB-04-020</t>
        </is>
      </c>
      <c r="L913" s="15" t="inlineStr">
        <is>
          <t xml:space="preserve">Main Stream</t>
        </is>
      </c>
      <c r="M913" s="15" t="inlineStr">
        <is>
          <t xml:space="preserve">Not reviewed</t>
        </is>
      </c>
      <c r="N913" s="15" t="inlineStr">
        <is>
          <t xml:space="preserve">S1; S7</t>
        </is>
      </c>
      <c r="O913" s="15">
        <v>1</v>
      </c>
      <c r="P913" s="10" t="str">
        <f>IF(L913="MISSING","MISSING",IF(O913=1,"PASS","DUPLICATE"))</f>
        <v>PASS</v>
      </c>
    </row>
    <row r="914" ht="22" customHeight="1">
      <c r="A914" s="15" t="inlineStr">
        <is>
          <t xml:space="preserve">Haggai 1</t>
        </is>
      </c>
      <c r="B914" s="15">
        <v>910</v>
      </c>
      <c r="C914" s="15" t="inlineStr">
        <is>
          <t xml:space="preserve">Old Testament</t>
        </is>
      </c>
      <c r="D914" s="15">
        <v>37</v>
      </c>
      <c r="E914" s="15" t="inlineStr">
        <is>
          <t xml:space="preserve">Haggai</t>
        </is>
      </c>
      <c r="F914" s="15">
        <v>1</v>
      </c>
      <c r="G914" s="15" t="inlineStr">
        <is>
          <t xml:space="preserve">v0.5</t>
        </is>
      </c>
      <c r="H914" s="15" t="inlineStr">
        <is>
          <t xml:space="preserve">Bible_Journey_Canon_Map_v0_5_Exile_Return_Persia.xlsx</t>
        </is>
      </c>
      <c r="I914" s="15" t="inlineStr">
        <is>
          <t xml:space="preserve">Coverage Audit</t>
        </is>
      </c>
      <c r="J914" s="15" t="inlineStr">
        <is>
          <t xml:space="preserve">CRS-05-026</t>
        </is>
      </c>
      <c r="K914" s="15" t="inlineStr">
        <is>
          <t xml:space="preserve">BLK-05-026</t>
        </is>
      </c>
      <c r="L914" s="15" t="inlineStr">
        <is>
          <t xml:space="preserve">Covered</t>
        </is>
      </c>
      <c r="M914" s="15" t="inlineStr">
        <is>
          <t xml:space="preserve">Single reading block</t>
        </is>
      </c>
      <c r="N914" s="15"/>
      <c r="O914" s="15">
        <v>1</v>
      </c>
      <c r="P914" s="10" t="str">
        <f>IF(L914="MISSING","MISSING",IF(O914=1,"PASS","DUPLICATE"))</f>
        <v>PASS</v>
      </c>
    </row>
    <row r="915" ht="22" customHeight="1">
      <c r="A915" s="15" t="inlineStr">
        <is>
          <t xml:space="preserve">Haggai 2</t>
        </is>
      </c>
      <c r="B915" s="15">
        <v>911</v>
      </c>
      <c r="C915" s="15" t="inlineStr">
        <is>
          <t xml:space="preserve">Old Testament</t>
        </is>
      </c>
      <c r="D915" s="15">
        <v>37</v>
      </c>
      <c r="E915" s="15" t="inlineStr">
        <is>
          <t xml:space="preserve">Haggai</t>
        </is>
      </c>
      <c r="F915" s="15">
        <v>2</v>
      </c>
      <c r="G915" s="15" t="inlineStr">
        <is>
          <t xml:space="preserve">v0.5</t>
        </is>
      </c>
      <c r="H915" s="15" t="inlineStr">
        <is>
          <t xml:space="preserve">Bible_Journey_Canon_Map_v0_5_Exile_Return_Persia.xlsx</t>
        </is>
      </c>
      <c r="I915" s="15" t="inlineStr">
        <is>
          <t xml:space="preserve">Coverage Audit</t>
        </is>
      </c>
      <c r="J915" s="15" t="inlineStr">
        <is>
          <t xml:space="preserve">CRS-05-028</t>
        </is>
      </c>
      <c r="K915" s="15" t="inlineStr">
        <is>
          <t xml:space="preserve">BLK-05-028</t>
        </is>
      </c>
      <c r="L915" s="15" t="inlineStr">
        <is>
          <t xml:space="preserve">Covered</t>
        </is>
      </c>
      <c r="M915" s="15" t="inlineStr">
        <is>
          <t xml:space="preserve">Single reading block</t>
        </is>
      </c>
      <c r="N915" s="15"/>
      <c r="O915" s="15">
        <v>1</v>
      </c>
      <c r="P915" s="10" t="str">
        <f>IF(L915="MISSING","MISSING",IF(O915=1,"PASS","DUPLICATE"))</f>
        <v>PASS</v>
      </c>
    </row>
    <row r="916" ht="22" customHeight="1">
      <c r="A916" s="15" t="inlineStr">
        <is>
          <t xml:space="preserve">Zechariah 1</t>
        </is>
      </c>
      <c r="B916" s="15">
        <v>912</v>
      </c>
      <c r="C916" s="15" t="inlineStr">
        <is>
          <t xml:space="preserve">Old Testament</t>
        </is>
      </c>
      <c r="D916" s="15">
        <v>38</v>
      </c>
      <c r="E916" s="15" t="inlineStr">
        <is>
          <t xml:space="preserve">Zechariah</t>
        </is>
      </c>
      <c r="F916" s="15">
        <v>1</v>
      </c>
      <c r="G916" s="15" t="inlineStr">
        <is>
          <t xml:space="preserve">v0.5</t>
        </is>
      </c>
      <c r="H916" s="15" t="inlineStr">
        <is>
          <t xml:space="preserve">Bible_Journey_Canon_Map_v0_5_Exile_Return_Persia.xlsx</t>
        </is>
      </c>
      <c r="I916" s="15" t="inlineStr">
        <is>
          <t xml:space="preserve">Coverage Audit</t>
        </is>
      </c>
      <c r="J916" s="15" t="inlineStr">
        <is>
          <t xml:space="preserve">CRS-05-029</t>
        </is>
      </c>
      <c r="K916" s="15" t="inlineStr">
        <is>
          <t xml:space="preserve">BLK-05-029</t>
        </is>
      </c>
      <c r="L916" s="15" t="inlineStr">
        <is>
          <t xml:space="preserve">Covered</t>
        </is>
      </c>
      <c r="M916" s="15" t="inlineStr">
        <is>
          <t xml:space="preserve">Single reading block</t>
        </is>
      </c>
      <c r="N916" s="15"/>
      <c r="O916" s="15">
        <v>1</v>
      </c>
      <c r="P916" s="10" t="str">
        <f>IF(L916="MISSING","MISSING",IF(O916=1,"PASS","DUPLICATE"))</f>
        <v>PASS</v>
      </c>
    </row>
    <row r="917" ht="22" customHeight="1">
      <c r="A917" s="15" t="inlineStr">
        <is>
          <t xml:space="preserve">Zechariah 2</t>
        </is>
      </c>
      <c r="B917" s="15">
        <v>913</v>
      </c>
      <c r="C917" s="15" t="inlineStr">
        <is>
          <t xml:space="preserve">Old Testament</t>
        </is>
      </c>
      <c r="D917" s="15">
        <v>38</v>
      </c>
      <c r="E917" s="15" t="inlineStr">
        <is>
          <t xml:space="preserve">Zechariah</t>
        </is>
      </c>
      <c r="F917" s="15">
        <v>2</v>
      </c>
      <c r="G917" s="15" t="inlineStr">
        <is>
          <t xml:space="preserve">v0.5</t>
        </is>
      </c>
      <c r="H917" s="15" t="inlineStr">
        <is>
          <t xml:space="preserve">Bible_Journey_Canon_Map_v0_5_Exile_Return_Persia.xlsx</t>
        </is>
      </c>
      <c r="I917" s="15" t="inlineStr">
        <is>
          <t xml:space="preserve">Coverage Audit</t>
        </is>
      </c>
      <c r="J917" s="15" t="inlineStr">
        <is>
          <t xml:space="preserve">CRS-05-029</t>
        </is>
      </c>
      <c r="K917" s="15" t="inlineStr">
        <is>
          <t xml:space="preserve">BLK-05-029</t>
        </is>
      </c>
      <c r="L917" s="15" t="inlineStr">
        <is>
          <t xml:space="preserve">Covered</t>
        </is>
      </c>
      <c r="M917" s="15" t="inlineStr">
        <is>
          <t xml:space="preserve">Single reading block</t>
        </is>
      </c>
      <c r="N917" s="15"/>
      <c r="O917" s="15">
        <v>1</v>
      </c>
      <c r="P917" s="10" t="str">
        <f>IF(L917="MISSING","MISSING",IF(O917=1,"PASS","DUPLICATE"))</f>
        <v>PASS</v>
      </c>
    </row>
    <row r="918" ht="22" customHeight="1">
      <c r="A918" s="15" t="inlineStr">
        <is>
          <t xml:space="preserve">Zechariah 3</t>
        </is>
      </c>
      <c r="B918" s="15">
        <v>914</v>
      </c>
      <c r="C918" s="15" t="inlineStr">
        <is>
          <t xml:space="preserve">Old Testament</t>
        </is>
      </c>
      <c r="D918" s="15">
        <v>38</v>
      </c>
      <c r="E918" s="15" t="inlineStr">
        <is>
          <t xml:space="preserve">Zechariah</t>
        </is>
      </c>
      <c r="F918" s="15">
        <v>3</v>
      </c>
      <c r="G918" s="15" t="inlineStr">
        <is>
          <t xml:space="preserve">v0.5</t>
        </is>
      </c>
      <c r="H918" s="15" t="inlineStr">
        <is>
          <t xml:space="preserve">Bible_Journey_Canon_Map_v0_5_Exile_Return_Persia.xlsx</t>
        </is>
      </c>
      <c r="I918" s="15" t="inlineStr">
        <is>
          <t xml:space="preserve">Coverage Audit</t>
        </is>
      </c>
      <c r="J918" s="15" t="inlineStr">
        <is>
          <t xml:space="preserve">CRS-05-029</t>
        </is>
      </c>
      <c r="K918" s="15" t="inlineStr">
        <is>
          <t xml:space="preserve">BLK-05-029</t>
        </is>
      </c>
      <c r="L918" s="15" t="inlineStr">
        <is>
          <t xml:space="preserve">Covered</t>
        </is>
      </c>
      <c r="M918" s="15" t="inlineStr">
        <is>
          <t xml:space="preserve">Single reading block</t>
        </is>
      </c>
      <c r="N918" s="15"/>
      <c r="O918" s="15">
        <v>1</v>
      </c>
      <c r="P918" s="10" t="str">
        <f>IF(L918="MISSING","MISSING",IF(O918=1,"PASS","DUPLICATE"))</f>
        <v>PASS</v>
      </c>
    </row>
    <row r="919" ht="22" customHeight="1">
      <c r="A919" s="15" t="inlineStr">
        <is>
          <t xml:space="preserve">Zechariah 4</t>
        </is>
      </c>
      <c r="B919" s="15">
        <v>915</v>
      </c>
      <c r="C919" s="15" t="inlineStr">
        <is>
          <t xml:space="preserve">Old Testament</t>
        </is>
      </c>
      <c r="D919" s="15">
        <v>38</v>
      </c>
      <c r="E919" s="15" t="inlineStr">
        <is>
          <t xml:space="preserve">Zechariah</t>
        </is>
      </c>
      <c r="F919" s="15">
        <v>4</v>
      </c>
      <c r="G919" s="15" t="inlineStr">
        <is>
          <t xml:space="preserve">v0.5</t>
        </is>
      </c>
      <c r="H919" s="15" t="inlineStr">
        <is>
          <t xml:space="preserve">Bible_Journey_Canon_Map_v0_5_Exile_Return_Persia.xlsx</t>
        </is>
      </c>
      <c r="I919" s="15" t="inlineStr">
        <is>
          <t xml:space="preserve">Coverage Audit</t>
        </is>
      </c>
      <c r="J919" s="15" t="inlineStr">
        <is>
          <t xml:space="preserve">CRS-05-029</t>
        </is>
      </c>
      <c r="K919" s="15" t="inlineStr">
        <is>
          <t xml:space="preserve">BLK-05-029</t>
        </is>
      </c>
      <c r="L919" s="15" t="inlineStr">
        <is>
          <t xml:space="preserve">Covered</t>
        </is>
      </c>
      <c r="M919" s="15" t="inlineStr">
        <is>
          <t xml:space="preserve">Single reading block</t>
        </is>
      </c>
      <c r="N919" s="15"/>
      <c r="O919" s="15">
        <v>1</v>
      </c>
      <c r="P919" s="10" t="str">
        <f>IF(L919="MISSING","MISSING",IF(O919=1,"PASS","DUPLICATE"))</f>
        <v>PASS</v>
      </c>
    </row>
    <row r="920" ht="22" customHeight="1">
      <c r="A920" s="15" t="inlineStr">
        <is>
          <t xml:space="preserve">Zechariah 5</t>
        </is>
      </c>
      <c r="B920" s="15">
        <v>916</v>
      </c>
      <c r="C920" s="15" t="inlineStr">
        <is>
          <t xml:space="preserve">Old Testament</t>
        </is>
      </c>
      <c r="D920" s="15">
        <v>38</v>
      </c>
      <c r="E920" s="15" t="inlineStr">
        <is>
          <t xml:space="preserve">Zechariah</t>
        </is>
      </c>
      <c r="F920" s="15">
        <v>5</v>
      </c>
      <c r="G920" s="15" t="inlineStr">
        <is>
          <t xml:space="preserve">v0.5</t>
        </is>
      </c>
      <c r="H920" s="15" t="inlineStr">
        <is>
          <t xml:space="preserve">Bible_Journey_Canon_Map_v0_5_Exile_Return_Persia.xlsx</t>
        </is>
      </c>
      <c r="I920" s="15" t="inlineStr">
        <is>
          <t xml:space="preserve">Coverage Audit</t>
        </is>
      </c>
      <c r="J920" s="15" t="inlineStr">
        <is>
          <t xml:space="preserve">CRS-05-029</t>
        </is>
      </c>
      <c r="K920" s="15" t="inlineStr">
        <is>
          <t xml:space="preserve">BLK-05-029</t>
        </is>
      </c>
      <c r="L920" s="15" t="inlineStr">
        <is>
          <t xml:space="preserve">Covered</t>
        </is>
      </c>
      <c r="M920" s="15" t="inlineStr">
        <is>
          <t xml:space="preserve">Single reading block</t>
        </is>
      </c>
      <c r="N920" s="15"/>
      <c r="O920" s="15">
        <v>1</v>
      </c>
      <c r="P920" s="10" t="str">
        <f>IF(L920="MISSING","MISSING",IF(O920=1,"PASS","DUPLICATE"))</f>
        <v>PASS</v>
      </c>
    </row>
    <row r="921" ht="22" customHeight="1">
      <c r="A921" s="15" t="inlineStr">
        <is>
          <t xml:space="preserve">Zechariah 6</t>
        </is>
      </c>
      <c r="B921" s="15">
        <v>917</v>
      </c>
      <c r="C921" s="15" t="inlineStr">
        <is>
          <t xml:space="preserve">Old Testament</t>
        </is>
      </c>
      <c r="D921" s="15">
        <v>38</v>
      </c>
      <c r="E921" s="15" t="inlineStr">
        <is>
          <t xml:space="preserve">Zechariah</t>
        </is>
      </c>
      <c r="F921" s="15">
        <v>6</v>
      </c>
      <c r="G921" s="15" t="inlineStr">
        <is>
          <t xml:space="preserve">v0.5</t>
        </is>
      </c>
      <c r="H921" s="15" t="inlineStr">
        <is>
          <t xml:space="preserve">Bible_Journey_Canon_Map_v0_5_Exile_Return_Persia.xlsx</t>
        </is>
      </c>
      <c r="I921" s="15" t="inlineStr">
        <is>
          <t xml:space="preserve">Coverage Audit</t>
        </is>
      </c>
      <c r="J921" s="15" t="inlineStr">
        <is>
          <t xml:space="preserve">CRS-05-029</t>
        </is>
      </c>
      <c r="K921" s="15" t="inlineStr">
        <is>
          <t xml:space="preserve">BLK-05-029</t>
        </is>
      </c>
      <c r="L921" s="15" t="inlineStr">
        <is>
          <t xml:space="preserve">Covered</t>
        </is>
      </c>
      <c r="M921" s="15" t="inlineStr">
        <is>
          <t xml:space="preserve">Single reading block</t>
        </is>
      </c>
      <c r="N921" s="15"/>
      <c r="O921" s="15">
        <v>1</v>
      </c>
      <c r="P921" s="10" t="str">
        <f>IF(L921="MISSING","MISSING",IF(O921=1,"PASS","DUPLICATE"))</f>
        <v>PASS</v>
      </c>
    </row>
    <row r="922" ht="22" customHeight="1">
      <c r="A922" s="15" t="inlineStr">
        <is>
          <t xml:space="preserve">Zechariah 7</t>
        </is>
      </c>
      <c r="B922" s="15">
        <v>918</v>
      </c>
      <c r="C922" s="15" t="inlineStr">
        <is>
          <t xml:space="preserve">Old Testament</t>
        </is>
      </c>
      <c r="D922" s="15">
        <v>38</v>
      </c>
      <c r="E922" s="15" t="inlineStr">
        <is>
          <t xml:space="preserve">Zechariah</t>
        </is>
      </c>
      <c r="F922" s="15">
        <v>7</v>
      </c>
      <c r="G922" s="15" t="inlineStr">
        <is>
          <t xml:space="preserve">v0.5</t>
        </is>
      </c>
      <c r="H922" s="15" t="inlineStr">
        <is>
          <t xml:space="preserve">Bible_Journey_Canon_Map_v0_5_Exile_Return_Persia.xlsx</t>
        </is>
      </c>
      <c r="I922" s="15" t="inlineStr">
        <is>
          <t xml:space="preserve">Coverage Audit</t>
        </is>
      </c>
      <c r="J922" s="15" t="inlineStr">
        <is>
          <t xml:space="preserve">CRS-05-030</t>
        </is>
      </c>
      <c r="K922" s="15" t="inlineStr">
        <is>
          <t xml:space="preserve">BLK-05-030</t>
        </is>
      </c>
      <c r="L922" s="15" t="inlineStr">
        <is>
          <t xml:space="preserve">Covered</t>
        </is>
      </c>
      <c r="M922" s="15" t="inlineStr">
        <is>
          <t xml:space="preserve">Single reading block</t>
        </is>
      </c>
      <c r="N922" s="15"/>
      <c r="O922" s="15">
        <v>1</v>
      </c>
      <c r="P922" s="10" t="str">
        <f>IF(L922="MISSING","MISSING",IF(O922=1,"PASS","DUPLICATE"))</f>
        <v>PASS</v>
      </c>
    </row>
    <row r="923" ht="22" customHeight="1">
      <c r="A923" s="15" t="inlineStr">
        <is>
          <t xml:space="preserve">Zechariah 8</t>
        </is>
      </c>
      <c r="B923" s="15">
        <v>919</v>
      </c>
      <c r="C923" s="15" t="inlineStr">
        <is>
          <t xml:space="preserve">Old Testament</t>
        </is>
      </c>
      <c r="D923" s="15">
        <v>38</v>
      </c>
      <c r="E923" s="15" t="inlineStr">
        <is>
          <t xml:space="preserve">Zechariah</t>
        </is>
      </c>
      <c r="F923" s="15">
        <v>8</v>
      </c>
      <c r="G923" s="15" t="inlineStr">
        <is>
          <t xml:space="preserve">v0.5</t>
        </is>
      </c>
      <c r="H923" s="15" t="inlineStr">
        <is>
          <t xml:space="preserve">Bible_Journey_Canon_Map_v0_5_Exile_Return_Persia.xlsx</t>
        </is>
      </c>
      <c r="I923" s="15" t="inlineStr">
        <is>
          <t xml:space="preserve">Coverage Audit</t>
        </is>
      </c>
      <c r="J923" s="15" t="inlineStr">
        <is>
          <t xml:space="preserve">CRS-05-030</t>
        </is>
      </c>
      <c r="K923" s="15" t="inlineStr">
        <is>
          <t xml:space="preserve">BLK-05-030</t>
        </is>
      </c>
      <c r="L923" s="15" t="inlineStr">
        <is>
          <t xml:space="preserve">Covered</t>
        </is>
      </c>
      <c r="M923" s="15" t="inlineStr">
        <is>
          <t xml:space="preserve">Single reading block</t>
        </is>
      </c>
      <c r="N923" s="15"/>
      <c r="O923" s="15">
        <v>1</v>
      </c>
      <c r="P923" s="10" t="str">
        <f>IF(L923="MISSING","MISSING",IF(O923=1,"PASS","DUPLICATE"))</f>
        <v>PASS</v>
      </c>
    </row>
    <row r="924" ht="22" customHeight="1">
      <c r="A924" s="15" t="inlineStr">
        <is>
          <t xml:space="preserve">Zechariah 9</t>
        </is>
      </c>
      <c r="B924" s="15">
        <v>920</v>
      </c>
      <c r="C924" s="15" t="inlineStr">
        <is>
          <t xml:space="preserve">Old Testament</t>
        </is>
      </c>
      <c r="D924" s="15">
        <v>38</v>
      </c>
      <c r="E924" s="15" t="inlineStr">
        <is>
          <t xml:space="preserve">Zechariah</t>
        </is>
      </c>
      <c r="F924" s="15">
        <v>9</v>
      </c>
      <c r="G924" s="15" t="inlineStr">
        <is>
          <t xml:space="preserve">v0.5</t>
        </is>
      </c>
      <c r="H924" s="15" t="inlineStr">
        <is>
          <t xml:space="preserve">Bible_Journey_Canon_Map_v0_5_Exile_Return_Persia.xlsx</t>
        </is>
      </c>
      <c r="I924" s="15" t="inlineStr">
        <is>
          <t xml:space="preserve">Coverage Audit</t>
        </is>
      </c>
      <c r="J924" s="15" t="inlineStr">
        <is>
          <t xml:space="preserve">CRS-05-033</t>
        </is>
      </c>
      <c r="K924" s="15" t="inlineStr">
        <is>
          <t xml:space="preserve">BLK-05-033</t>
        </is>
      </c>
      <c r="L924" s="15" t="inlineStr">
        <is>
          <t xml:space="preserve">Covered</t>
        </is>
      </c>
      <c r="M924" s="15" t="inlineStr">
        <is>
          <t xml:space="preserve">Single reading block</t>
        </is>
      </c>
      <c r="N924" s="15"/>
      <c r="O924" s="15">
        <v>1</v>
      </c>
      <c r="P924" s="10" t="str">
        <f>IF(L924="MISSING","MISSING",IF(O924=1,"PASS","DUPLICATE"))</f>
        <v>PASS</v>
      </c>
    </row>
    <row r="925" ht="22" customHeight="1">
      <c r="A925" s="15" t="inlineStr">
        <is>
          <t xml:space="preserve">Zechariah 10</t>
        </is>
      </c>
      <c r="B925" s="15">
        <v>921</v>
      </c>
      <c r="C925" s="15" t="inlineStr">
        <is>
          <t xml:space="preserve">Old Testament</t>
        </is>
      </c>
      <c r="D925" s="15">
        <v>38</v>
      </c>
      <c r="E925" s="15" t="inlineStr">
        <is>
          <t xml:space="preserve">Zechariah</t>
        </is>
      </c>
      <c r="F925" s="15">
        <v>10</v>
      </c>
      <c r="G925" s="15" t="inlineStr">
        <is>
          <t xml:space="preserve">v0.5</t>
        </is>
      </c>
      <c r="H925" s="15" t="inlineStr">
        <is>
          <t xml:space="preserve">Bible_Journey_Canon_Map_v0_5_Exile_Return_Persia.xlsx</t>
        </is>
      </c>
      <c r="I925" s="15" t="inlineStr">
        <is>
          <t xml:space="preserve">Coverage Audit</t>
        </is>
      </c>
      <c r="J925" s="15" t="inlineStr">
        <is>
          <t xml:space="preserve">CRS-05-033</t>
        </is>
      </c>
      <c r="K925" s="15" t="inlineStr">
        <is>
          <t xml:space="preserve">BLK-05-033</t>
        </is>
      </c>
      <c r="L925" s="15" t="inlineStr">
        <is>
          <t xml:space="preserve">Covered</t>
        </is>
      </c>
      <c r="M925" s="15" t="inlineStr">
        <is>
          <t xml:space="preserve">Single reading block</t>
        </is>
      </c>
      <c r="N925" s="15"/>
      <c r="O925" s="15">
        <v>1</v>
      </c>
      <c r="P925" s="10" t="str">
        <f>IF(L925="MISSING","MISSING",IF(O925=1,"PASS","DUPLICATE"))</f>
        <v>PASS</v>
      </c>
    </row>
    <row r="926" ht="22" customHeight="1">
      <c r="A926" s="15" t="inlineStr">
        <is>
          <t xml:space="preserve">Zechariah 11</t>
        </is>
      </c>
      <c r="B926" s="15">
        <v>922</v>
      </c>
      <c r="C926" s="15" t="inlineStr">
        <is>
          <t xml:space="preserve">Old Testament</t>
        </is>
      </c>
      <c r="D926" s="15">
        <v>38</v>
      </c>
      <c r="E926" s="15" t="inlineStr">
        <is>
          <t xml:space="preserve">Zechariah</t>
        </is>
      </c>
      <c r="F926" s="15">
        <v>11</v>
      </c>
      <c r="G926" s="15" t="inlineStr">
        <is>
          <t xml:space="preserve">v0.5</t>
        </is>
      </c>
      <c r="H926" s="15" t="inlineStr">
        <is>
          <t xml:space="preserve">Bible_Journey_Canon_Map_v0_5_Exile_Return_Persia.xlsx</t>
        </is>
      </c>
      <c r="I926" s="15" t="inlineStr">
        <is>
          <t xml:space="preserve">Coverage Audit</t>
        </is>
      </c>
      <c r="J926" s="15" t="inlineStr">
        <is>
          <t xml:space="preserve">CRS-05-033</t>
        </is>
      </c>
      <c r="K926" s="15" t="inlineStr">
        <is>
          <t xml:space="preserve">BLK-05-033</t>
        </is>
      </c>
      <c r="L926" s="15" t="inlineStr">
        <is>
          <t xml:space="preserve">Covered</t>
        </is>
      </c>
      <c r="M926" s="15" t="inlineStr">
        <is>
          <t xml:space="preserve">Single reading block</t>
        </is>
      </c>
      <c r="N926" s="15"/>
      <c r="O926" s="15">
        <v>1</v>
      </c>
      <c r="P926" s="10" t="str">
        <f>IF(L926="MISSING","MISSING",IF(O926=1,"PASS","DUPLICATE"))</f>
        <v>PASS</v>
      </c>
    </row>
    <row r="927" ht="22" customHeight="1">
      <c r="A927" s="15" t="inlineStr">
        <is>
          <t xml:space="preserve">Zechariah 12</t>
        </is>
      </c>
      <c r="B927" s="15">
        <v>923</v>
      </c>
      <c r="C927" s="15" t="inlineStr">
        <is>
          <t xml:space="preserve">Old Testament</t>
        </is>
      </c>
      <c r="D927" s="15">
        <v>38</v>
      </c>
      <c r="E927" s="15" t="inlineStr">
        <is>
          <t xml:space="preserve">Zechariah</t>
        </is>
      </c>
      <c r="F927" s="15">
        <v>12</v>
      </c>
      <c r="G927" s="15" t="inlineStr">
        <is>
          <t xml:space="preserve">v0.5</t>
        </is>
      </c>
      <c r="H927" s="15" t="inlineStr">
        <is>
          <t xml:space="preserve">Bible_Journey_Canon_Map_v0_5_Exile_Return_Persia.xlsx</t>
        </is>
      </c>
      <c r="I927" s="15" t="inlineStr">
        <is>
          <t xml:space="preserve">Coverage Audit</t>
        </is>
      </c>
      <c r="J927" s="15" t="inlineStr">
        <is>
          <t xml:space="preserve">CRS-05-033</t>
        </is>
      </c>
      <c r="K927" s="15" t="inlineStr">
        <is>
          <t xml:space="preserve">BLK-05-033</t>
        </is>
      </c>
      <c r="L927" s="15" t="inlineStr">
        <is>
          <t xml:space="preserve">Covered</t>
        </is>
      </c>
      <c r="M927" s="15" t="inlineStr">
        <is>
          <t xml:space="preserve">Single reading block</t>
        </is>
      </c>
      <c r="N927" s="15"/>
      <c r="O927" s="15">
        <v>1</v>
      </c>
      <c r="P927" s="10" t="str">
        <f>IF(L927="MISSING","MISSING",IF(O927=1,"PASS","DUPLICATE"))</f>
        <v>PASS</v>
      </c>
    </row>
    <row r="928" ht="22" customHeight="1">
      <c r="A928" s="15" t="inlineStr">
        <is>
          <t xml:space="preserve">Zechariah 13</t>
        </is>
      </c>
      <c r="B928" s="15">
        <v>924</v>
      </c>
      <c r="C928" s="15" t="inlineStr">
        <is>
          <t xml:space="preserve">Old Testament</t>
        </is>
      </c>
      <c r="D928" s="15">
        <v>38</v>
      </c>
      <c r="E928" s="15" t="inlineStr">
        <is>
          <t xml:space="preserve">Zechariah</t>
        </is>
      </c>
      <c r="F928" s="15">
        <v>13</v>
      </c>
      <c r="G928" s="15" t="inlineStr">
        <is>
          <t xml:space="preserve">v0.5</t>
        </is>
      </c>
      <c r="H928" s="15" t="inlineStr">
        <is>
          <t xml:space="preserve">Bible_Journey_Canon_Map_v0_5_Exile_Return_Persia.xlsx</t>
        </is>
      </c>
      <c r="I928" s="15" t="inlineStr">
        <is>
          <t xml:space="preserve">Coverage Audit</t>
        </is>
      </c>
      <c r="J928" s="15" t="inlineStr">
        <is>
          <t xml:space="preserve">CRS-05-033</t>
        </is>
      </c>
      <c r="K928" s="15" t="inlineStr">
        <is>
          <t xml:space="preserve">BLK-05-033</t>
        </is>
      </c>
      <c r="L928" s="15" t="inlineStr">
        <is>
          <t xml:space="preserve">Covered</t>
        </is>
      </c>
      <c r="M928" s="15" t="inlineStr">
        <is>
          <t xml:space="preserve">Single reading block</t>
        </is>
      </c>
      <c r="N928" s="15"/>
      <c r="O928" s="15">
        <v>1</v>
      </c>
      <c r="P928" s="10" t="str">
        <f>IF(L928="MISSING","MISSING",IF(O928=1,"PASS","DUPLICATE"))</f>
        <v>PASS</v>
      </c>
    </row>
    <row r="929" ht="22" customHeight="1">
      <c r="A929" s="15" t="inlineStr">
        <is>
          <t xml:space="preserve">Zechariah 14</t>
        </is>
      </c>
      <c r="B929" s="15">
        <v>925</v>
      </c>
      <c r="C929" s="15" t="inlineStr">
        <is>
          <t xml:space="preserve">Old Testament</t>
        </is>
      </c>
      <c r="D929" s="15">
        <v>38</v>
      </c>
      <c r="E929" s="15" t="inlineStr">
        <is>
          <t xml:space="preserve">Zechariah</t>
        </is>
      </c>
      <c r="F929" s="15">
        <v>14</v>
      </c>
      <c r="G929" s="15" t="inlineStr">
        <is>
          <t xml:space="preserve">v0.5</t>
        </is>
      </c>
      <c r="H929" s="15" t="inlineStr">
        <is>
          <t xml:space="preserve">Bible_Journey_Canon_Map_v0_5_Exile_Return_Persia.xlsx</t>
        </is>
      </c>
      <c r="I929" s="15" t="inlineStr">
        <is>
          <t xml:space="preserve">Coverage Audit</t>
        </is>
      </c>
      <c r="J929" s="15" t="inlineStr">
        <is>
          <t xml:space="preserve">CRS-05-033</t>
        </is>
      </c>
      <c r="K929" s="15" t="inlineStr">
        <is>
          <t xml:space="preserve">BLK-05-033</t>
        </is>
      </c>
      <c r="L929" s="15" t="inlineStr">
        <is>
          <t xml:space="preserve">Covered</t>
        </is>
      </c>
      <c r="M929" s="15" t="inlineStr">
        <is>
          <t xml:space="preserve">Single reading block</t>
        </is>
      </c>
      <c r="N929" s="15"/>
      <c r="O929" s="15">
        <v>1</v>
      </c>
      <c r="P929" s="10" t="str">
        <f>IF(L929="MISSING","MISSING",IF(O929=1,"PASS","DUPLICATE"))</f>
        <v>PASS</v>
      </c>
    </row>
    <row r="930" ht="22" customHeight="1">
      <c r="A930" s="15" t="inlineStr">
        <is>
          <t xml:space="preserve">Malachi 1</t>
        </is>
      </c>
      <c r="B930" s="15">
        <v>926</v>
      </c>
      <c r="C930" s="15" t="inlineStr">
        <is>
          <t xml:space="preserve">Old Testament</t>
        </is>
      </c>
      <c r="D930" s="15">
        <v>39</v>
      </c>
      <c r="E930" s="15" t="inlineStr">
        <is>
          <t xml:space="preserve">Malachi</t>
        </is>
      </c>
      <c r="F930" s="15">
        <v>1</v>
      </c>
      <c r="G930" s="15" t="inlineStr">
        <is>
          <t xml:space="preserve">v0.5</t>
        </is>
      </c>
      <c r="H930" s="15" t="inlineStr">
        <is>
          <t xml:space="preserve">Bible_Journey_Canon_Map_v0_5_Exile_Return_Persia.xlsx</t>
        </is>
      </c>
      <c r="I930" s="15" t="inlineStr">
        <is>
          <t xml:space="preserve">Coverage Audit</t>
        </is>
      </c>
      <c r="J930" s="15" t="inlineStr">
        <is>
          <t xml:space="preserve">CRS-05-046</t>
        </is>
      </c>
      <c r="K930" s="15" t="inlineStr">
        <is>
          <t xml:space="preserve">BLK-05-046</t>
        </is>
      </c>
      <c r="L930" s="15" t="inlineStr">
        <is>
          <t xml:space="preserve">Covered</t>
        </is>
      </c>
      <c r="M930" s="15" t="inlineStr">
        <is>
          <t xml:space="preserve">Single reading block</t>
        </is>
      </c>
      <c r="N930" s="15"/>
      <c r="O930" s="15">
        <v>1</v>
      </c>
      <c r="P930" s="10" t="str">
        <f>IF(L930="MISSING","MISSING",IF(O930=1,"PASS","DUPLICATE"))</f>
        <v>PASS</v>
      </c>
    </row>
    <row r="931" ht="22" customHeight="1">
      <c r="A931" s="15" t="inlineStr">
        <is>
          <t xml:space="preserve">Malachi 2</t>
        </is>
      </c>
      <c r="B931" s="15">
        <v>927</v>
      </c>
      <c r="C931" s="15" t="inlineStr">
        <is>
          <t xml:space="preserve">Old Testament</t>
        </is>
      </c>
      <c r="D931" s="15">
        <v>39</v>
      </c>
      <c r="E931" s="15" t="inlineStr">
        <is>
          <t xml:space="preserve">Malachi</t>
        </is>
      </c>
      <c r="F931" s="15">
        <v>2</v>
      </c>
      <c r="G931" s="15" t="inlineStr">
        <is>
          <t xml:space="preserve">v0.5</t>
        </is>
      </c>
      <c r="H931" s="15" t="inlineStr">
        <is>
          <t xml:space="preserve">Bible_Journey_Canon_Map_v0_5_Exile_Return_Persia.xlsx</t>
        </is>
      </c>
      <c r="I931" s="15" t="inlineStr">
        <is>
          <t xml:space="preserve">Coverage Audit</t>
        </is>
      </c>
      <c r="J931" s="15" t="inlineStr">
        <is>
          <t xml:space="preserve">CRS-05-046</t>
        </is>
      </c>
      <c r="K931" s="15" t="inlineStr">
        <is>
          <t xml:space="preserve">BLK-05-046</t>
        </is>
      </c>
      <c r="L931" s="15" t="inlineStr">
        <is>
          <t xml:space="preserve">Covered</t>
        </is>
      </c>
      <c r="M931" s="15" t="inlineStr">
        <is>
          <t xml:space="preserve">Single reading block</t>
        </is>
      </c>
      <c r="N931" s="15"/>
      <c r="O931" s="15">
        <v>1</v>
      </c>
      <c r="P931" s="10" t="str">
        <f>IF(L931="MISSING","MISSING",IF(O931=1,"PASS","DUPLICATE"))</f>
        <v>PASS</v>
      </c>
    </row>
    <row r="932" ht="22" customHeight="1">
      <c r="A932" s="15" t="inlineStr">
        <is>
          <t xml:space="preserve">Malachi 3</t>
        </is>
      </c>
      <c r="B932" s="15">
        <v>928</v>
      </c>
      <c r="C932" s="15" t="inlineStr">
        <is>
          <t xml:space="preserve">Old Testament</t>
        </is>
      </c>
      <c r="D932" s="15">
        <v>39</v>
      </c>
      <c r="E932" s="15" t="inlineStr">
        <is>
          <t xml:space="preserve">Malachi</t>
        </is>
      </c>
      <c r="F932" s="15">
        <v>3</v>
      </c>
      <c r="G932" s="15" t="inlineStr">
        <is>
          <t xml:space="preserve">v0.5</t>
        </is>
      </c>
      <c r="H932" s="15" t="inlineStr">
        <is>
          <t xml:space="preserve">Bible_Journey_Canon_Map_v0_5_Exile_Return_Persia.xlsx</t>
        </is>
      </c>
      <c r="I932" s="15" t="inlineStr">
        <is>
          <t xml:space="preserve">Coverage Audit</t>
        </is>
      </c>
      <c r="J932" s="15" t="inlineStr">
        <is>
          <t xml:space="preserve">CRS-05-046</t>
        </is>
      </c>
      <c r="K932" s="15" t="inlineStr">
        <is>
          <t xml:space="preserve">BLK-05-046</t>
        </is>
      </c>
      <c r="L932" s="15" t="inlineStr">
        <is>
          <t xml:space="preserve">Covered</t>
        </is>
      </c>
      <c r="M932" s="15" t="inlineStr">
        <is>
          <t xml:space="preserve">Single reading block</t>
        </is>
      </c>
      <c r="N932" s="15"/>
      <c r="O932" s="15">
        <v>1</v>
      </c>
      <c r="P932" s="10" t="str">
        <f>IF(L932="MISSING","MISSING",IF(O932=1,"PASS","DUPLICATE"))</f>
        <v>PASS</v>
      </c>
    </row>
    <row r="933" ht="22" customHeight="1">
      <c r="A933" s="15" t="inlineStr">
        <is>
          <t xml:space="preserve">Malachi 4</t>
        </is>
      </c>
      <c r="B933" s="15">
        <v>929</v>
      </c>
      <c r="C933" s="15" t="inlineStr">
        <is>
          <t xml:space="preserve">Old Testament</t>
        </is>
      </c>
      <c r="D933" s="15">
        <v>39</v>
      </c>
      <c r="E933" s="15" t="inlineStr">
        <is>
          <t xml:space="preserve">Malachi</t>
        </is>
      </c>
      <c r="F933" s="15">
        <v>4</v>
      </c>
      <c r="G933" s="15" t="inlineStr">
        <is>
          <t xml:space="preserve">v0.5</t>
        </is>
      </c>
      <c r="H933" s="15" t="inlineStr">
        <is>
          <t xml:space="preserve">Bible_Journey_Canon_Map_v0_5_Exile_Return_Persia.xlsx</t>
        </is>
      </c>
      <c r="I933" s="15" t="inlineStr">
        <is>
          <t xml:space="preserve">Coverage Audit</t>
        </is>
      </c>
      <c r="J933" s="15" t="inlineStr">
        <is>
          <t xml:space="preserve">CRS-05-046</t>
        </is>
      </c>
      <c r="K933" s="15" t="inlineStr">
        <is>
          <t xml:space="preserve">BLK-05-046</t>
        </is>
      </c>
      <c r="L933" s="15" t="inlineStr">
        <is>
          <t xml:space="preserve">Covered</t>
        </is>
      </c>
      <c r="M933" s="15" t="inlineStr">
        <is>
          <t xml:space="preserve">Single reading block</t>
        </is>
      </c>
      <c r="N933" s="15"/>
      <c r="O933" s="15">
        <v>1</v>
      </c>
      <c r="P933" s="10" t="str">
        <f>IF(L933="MISSING","MISSING",IF(O933=1,"PASS","DUPLICATE"))</f>
        <v>PASS</v>
      </c>
    </row>
    <row r="934" ht="22" customHeight="1">
      <c r="A934" s="15" t="inlineStr">
        <is>
          <t xml:space="preserve">Matthew 1</t>
        </is>
      </c>
      <c r="B934" s="15">
        <v>930</v>
      </c>
      <c r="C934" s="15" t="inlineStr">
        <is>
          <t xml:space="preserve">New Testament</t>
        </is>
      </c>
      <c r="D934" s="15">
        <v>40</v>
      </c>
      <c r="E934" s="15" t="inlineStr">
        <is>
          <t xml:space="preserve">Matthew</t>
        </is>
      </c>
      <c r="F934" s="15">
        <v>1</v>
      </c>
      <c r="G934" s="15" t="inlineStr">
        <is>
          <t xml:space="preserve">v0.7</t>
        </is>
      </c>
      <c r="H934" s="15" t="inlineStr">
        <is>
          <t xml:space="preserve">Bible_Journey_Canon_Map_v0_7_Gospel_Chronology.xlsx</t>
        </is>
      </c>
      <c r="I934" s="15" t="inlineStr">
        <is>
          <t xml:space="preserve">Coverage Index</t>
        </is>
      </c>
      <c r="J934" s="15" t="inlineStr">
        <is>
          <t xml:space="preserve">CRS-07-003</t>
        </is>
      </c>
      <c r="K934" s="15" t="inlineStr">
        <is>
          <t xml:space="preserve">BLK-07-003; BLK-07-005</t>
        </is>
      </c>
      <c r="L934" s="15"/>
      <c r="M934" s="15" t="inlineStr">
        <is>
          <t xml:space="preserve">All canonical chapters are represented in the v0.7 reading set map; release requires verse-level continuity validation.</t>
        </is>
      </c>
      <c r="N934" s="15"/>
      <c r="O934" s="15">
        <v>1</v>
      </c>
      <c r="P934" s="10" t="str">
        <f>IF(L934="MISSING","MISSING",IF(O934=1,"PASS","DUPLICATE"))</f>
        <v>PASS</v>
      </c>
    </row>
    <row r="935" ht="22" customHeight="1">
      <c r="A935" s="15" t="inlineStr">
        <is>
          <t xml:space="preserve">Matthew 2</t>
        </is>
      </c>
      <c r="B935" s="15">
        <v>931</v>
      </c>
      <c r="C935" s="15" t="inlineStr">
        <is>
          <t xml:space="preserve">New Testament</t>
        </is>
      </c>
      <c r="D935" s="15">
        <v>40</v>
      </c>
      <c r="E935" s="15" t="inlineStr">
        <is>
          <t xml:space="preserve">Matthew</t>
        </is>
      </c>
      <c r="F935" s="15">
        <v>2</v>
      </c>
      <c r="G935" s="15" t="inlineStr">
        <is>
          <t xml:space="preserve">v0.7</t>
        </is>
      </c>
      <c r="H935" s="15" t="inlineStr">
        <is>
          <t xml:space="preserve">Bible_Journey_Canon_Map_v0_7_Gospel_Chronology.xlsx</t>
        </is>
      </c>
      <c r="I935" s="15" t="inlineStr">
        <is>
          <t xml:space="preserve">Coverage Index</t>
        </is>
      </c>
      <c r="J935" s="15" t="inlineStr">
        <is>
          <t xml:space="preserve">CRS-07-007</t>
        </is>
      </c>
      <c r="K935" s="15" t="inlineStr">
        <is>
          <t xml:space="preserve">BLK-07-007</t>
        </is>
      </c>
      <c r="L935" s="15"/>
      <c r="M935" s="15" t="inlineStr">
        <is>
          <t xml:space="preserve">All canonical chapters are represented in the v0.7 reading set map; release requires verse-level continuity validation.</t>
        </is>
      </c>
      <c r="N935" s="15"/>
      <c r="O935" s="15">
        <v>1</v>
      </c>
      <c r="P935" s="10" t="str">
        <f>IF(L935="MISSING","MISSING",IF(O935=1,"PASS","DUPLICATE"))</f>
        <v>PASS</v>
      </c>
    </row>
    <row r="936" ht="22" customHeight="1">
      <c r="A936" s="15" t="inlineStr">
        <is>
          <t xml:space="preserve">Matthew 3</t>
        </is>
      </c>
      <c r="B936" s="15">
        <v>932</v>
      </c>
      <c r="C936" s="15" t="inlineStr">
        <is>
          <t xml:space="preserve">New Testament</t>
        </is>
      </c>
      <c r="D936" s="15">
        <v>40</v>
      </c>
      <c r="E936" s="15" t="inlineStr">
        <is>
          <t xml:space="preserve">Matthew</t>
        </is>
      </c>
      <c r="F936" s="15">
        <v>3</v>
      </c>
      <c r="G936" s="15" t="inlineStr">
        <is>
          <t xml:space="preserve">v0.7</t>
        </is>
      </c>
      <c r="H936" s="15" t="inlineStr">
        <is>
          <t xml:space="preserve">Bible_Journey_Canon_Map_v0_7_Gospel_Chronology.xlsx</t>
        </is>
      </c>
      <c r="I936" s="15" t="inlineStr">
        <is>
          <t xml:space="preserve">Coverage Index</t>
        </is>
      </c>
      <c r="J936" s="15" t="inlineStr">
        <is>
          <t xml:space="preserve">CRS-07-010</t>
        </is>
      </c>
      <c r="K936" s="15" t="inlineStr">
        <is>
          <t xml:space="preserve">BLK-07-011</t>
        </is>
      </c>
      <c r="L936" s="15"/>
      <c r="M936" s="15" t="inlineStr">
        <is>
          <t xml:space="preserve">All canonical chapters are represented in the v0.7 reading set map; release requires verse-level continuity validation.</t>
        </is>
      </c>
      <c r="N936" s="15"/>
      <c r="O936" s="15">
        <v>1</v>
      </c>
      <c r="P936" s="10" t="str">
        <f>IF(L936="MISSING","MISSING",IF(O936=1,"PASS","DUPLICATE"))</f>
        <v>PASS</v>
      </c>
    </row>
    <row r="937" ht="22" customHeight="1">
      <c r="A937" s="15" t="inlineStr">
        <is>
          <t xml:space="preserve">Matthew 4</t>
        </is>
      </c>
      <c r="B937" s="15">
        <v>933</v>
      </c>
      <c r="C937" s="15" t="inlineStr">
        <is>
          <t xml:space="preserve">New Testament</t>
        </is>
      </c>
      <c r="D937" s="15">
        <v>40</v>
      </c>
      <c r="E937" s="15" t="inlineStr">
        <is>
          <t xml:space="preserve">Matthew</t>
        </is>
      </c>
      <c r="F937" s="15">
        <v>4</v>
      </c>
      <c r="G937" s="15" t="inlineStr">
        <is>
          <t xml:space="preserve">v0.7</t>
        </is>
      </c>
      <c r="H937" s="15" t="inlineStr">
        <is>
          <t xml:space="preserve">Bible_Journey_Canon_Map_v0_7_Gospel_Chronology.xlsx</t>
        </is>
      </c>
      <c r="I937" s="15" t="inlineStr">
        <is>
          <t xml:space="preserve">Coverage Index</t>
        </is>
      </c>
      <c r="J937" s="15" t="inlineStr">
        <is>
          <t xml:space="preserve">CRS-07-011</t>
        </is>
      </c>
      <c r="K937" s="15" t="inlineStr">
        <is>
          <t xml:space="preserve">BLK-07-015; BLK-07-024; BLK-07-028; BLK-07-197</t>
        </is>
      </c>
      <c r="L937" s="15"/>
      <c r="M937" s="15" t="inlineStr">
        <is>
          <t xml:space="preserve">All canonical chapters are represented in the v0.7 reading set map; release requires verse-level continuity validation.</t>
        </is>
      </c>
      <c r="N937" s="15"/>
      <c r="O937" s="15">
        <v>1</v>
      </c>
      <c r="P937" s="10" t="str">
        <f>IF(L937="MISSING","MISSING",IF(O937=1,"PASS","DUPLICATE"))</f>
        <v>PASS</v>
      </c>
    </row>
    <row r="938" ht="22" customHeight="1">
      <c r="A938" s="15" t="inlineStr">
        <is>
          <t xml:space="preserve">Matthew 5</t>
        </is>
      </c>
      <c r="B938" s="15">
        <v>934</v>
      </c>
      <c r="C938" s="15" t="inlineStr">
        <is>
          <t xml:space="preserve">New Testament</t>
        </is>
      </c>
      <c r="D938" s="15">
        <v>40</v>
      </c>
      <c r="E938" s="15" t="inlineStr">
        <is>
          <t xml:space="preserve">Matthew</t>
        </is>
      </c>
      <c r="F938" s="15">
        <v>5</v>
      </c>
      <c r="G938" s="15" t="inlineStr">
        <is>
          <t xml:space="preserve">v0.7</t>
        </is>
      </c>
      <c r="H938" s="15" t="inlineStr">
        <is>
          <t xml:space="preserve">Bible_Journey_Canon_Map_v0_7_Gospel_Chronology.xlsx</t>
        </is>
      </c>
      <c r="I938" s="15" t="inlineStr">
        <is>
          <t xml:space="preserve">Coverage Index</t>
        </is>
      </c>
      <c r="J938" s="15" t="inlineStr">
        <is>
          <t xml:space="preserve">CRS-07-030</t>
        </is>
      </c>
      <c r="K938" s="15" t="inlineStr">
        <is>
          <t xml:space="preserve">BLK-07-054</t>
        </is>
      </c>
      <c r="L938" s="15"/>
      <c r="M938" s="15" t="inlineStr">
        <is>
          <t xml:space="preserve">All canonical chapters are represented in the v0.7 reading set map; release requires verse-level continuity validation.</t>
        </is>
      </c>
      <c r="N938" s="15"/>
      <c r="O938" s="15">
        <v>1</v>
      </c>
      <c r="P938" s="10" t="str">
        <f>IF(L938="MISSING","MISSING",IF(O938=1,"PASS","DUPLICATE"))</f>
        <v>PASS</v>
      </c>
    </row>
    <row r="939" ht="22" customHeight="1">
      <c r="A939" s="15" t="inlineStr">
        <is>
          <t xml:space="preserve">Matthew 6</t>
        </is>
      </c>
      <c r="B939" s="15">
        <v>935</v>
      </c>
      <c r="C939" s="15" t="inlineStr">
        <is>
          <t xml:space="preserve">New Testament</t>
        </is>
      </c>
      <c r="D939" s="15">
        <v>40</v>
      </c>
      <c r="E939" s="15" t="inlineStr">
        <is>
          <t xml:space="preserve">Matthew</t>
        </is>
      </c>
      <c r="F939" s="15">
        <v>6</v>
      </c>
      <c r="G939" s="15" t="inlineStr">
        <is>
          <t xml:space="preserve">v0.7</t>
        </is>
      </c>
      <c r="H939" s="15" t="inlineStr">
        <is>
          <t xml:space="preserve">Bible_Journey_Canon_Map_v0_7_Gospel_Chronology.xlsx</t>
        </is>
      </c>
      <c r="I939" s="15" t="inlineStr">
        <is>
          <t xml:space="preserve">Coverage Index</t>
        </is>
      </c>
      <c r="J939" s="15" t="inlineStr">
        <is>
          <t xml:space="preserve">CRS-07-030</t>
        </is>
      </c>
      <c r="K939" s="15" t="inlineStr">
        <is>
          <t xml:space="preserve">BLK-07-054</t>
        </is>
      </c>
      <c r="L939" s="15"/>
      <c r="M939" s="15" t="inlineStr">
        <is>
          <t xml:space="preserve">All canonical chapters are represented in the v0.7 reading set map; release requires verse-level continuity validation.</t>
        </is>
      </c>
      <c r="N939" s="15"/>
      <c r="O939" s="15">
        <v>1</v>
      </c>
      <c r="P939" s="10" t="str">
        <f>IF(L939="MISSING","MISSING",IF(O939=1,"PASS","DUPLICATE"))</f>
        <v>PASS</v>
      </c>
    </row>
    <row r="940" ht="22" customHeight="1">
      <c r="A940" s="15" t="inlineStr">
        <is>
          <t xml:space="preserve">Matthew 7</t>
        </is>
      </c>
      <c r="B940" s="15">
        <v>936</v>
      </c>
      <c r="C940" s="15" t="inlineStr">
        <is>
          <t xml:space="preserve">New Testament</t>
        </is>
      </c>
      <c r="D940" s="15">
        <v>40</v>
      </c>
      <c r="E940" s="15" t="inlineStr">
        <is>
          <t xml:space="preserve">Matthew</t>
        </is>
      </c>
      <c r="F940" s="15">
        <v>7</v>
      </c>
      <c r="G940" s="15" t="inlineStr">
        <is>
          <t xml:space="preserve">v0.7</t>
        </is>
      </c>
      <c r="H940" s="15" t="inlineStr">
        <is>
          <t xml:space="preserve">Bible_Journey_Canon_Map_v0_7_Gospel_Chronology.xlsx</t>
        </is>
      </c>
      <c r="I940" s="15" t="inlineStr">
        <is>
          <t xml:space="preserve">Coverage Index</t>
        </is>
      </c>
      <c r="J940" s="15" t="inlineStr">
        <is>
          <t xml:space="preserve">CRS-07-030</t>
        </is>
      </c>
      <c r="K940" s="15" t="inlineStr">
        <is>
          <t xml:space="preserve">BLK-07-054</t>
        </is>
      </c>
      <c r="L940" s="15"/>
      <c r="M940" s="15" t="inlineStr">
        <is>
          <t xml:space="preserve">All canonical chapters are represented in the v0.7 reading set map; release requires verse-level continuity validation.</t>
        </is>
      </c>
      <c r="N940" s="15"/>
      <c r="O940" s="15">
        <v>1</v>
      </c>
      <c r="P940" s="10" t="str">
        <f>IF(L940="MISSING","MISSING",IF(O940=1,"PASS","DUPLICATE"))</f>
        <v>PASS</v>
      </c>
    </row>
    <row r="941" ht="22" customHeight="1">
      <c r="A941" s="15" t="inlineStr">
        <is>
          <t xml:space="preserve">Matthew 8</t>
        </is>
      </c>
      <c r="B941" s="15">
        <v>937</v>
      </c>
      <c r="C941" s="15" t="inlineStr">
        <is>
          <t xml:space="preserve">New Testament</t>
        </is>
      </c>
      <c r="D941" s="15">
        <v>40</v>
      </c>
      <c r="E941" s="15" t="inlineStr">
        <is>
          <t xml:space="preserve">Matthew</t>
        </is>
      </c>
      <c r="F941" s="15">
        <v>8</v>
      </c>
      <c r="G941" s="15" t="inlineStr">
        <is>
          <t xml:space="preserve">v0.7</t>
        </is>
      </c>
      <c r="H941" s="15" t="inlineStr">
        <is>
          <t xml:space="preserve">Bible_Journey_Canon_Map_v0_7_Gospel_Chronology.xlsx</t>
        </is>
      </c>
      <c r="I941" s="15" t="inlineStr">
        <is>
          <t xml:space="preserve">Coverage Index</t>
        </is>
      </c>
      <c r="J941" s="15" t="inlineStr">
        <is>
          <t xml:space="preserve">CRS-07-022</t>
        </is>
      </c>
      <c r="K941" s="15" t="inlineStr">
        <is>
          <t xml:space="preserve">BLK-07-033; BLK-07-036; BLK-07-056; BLK-07-071; BLK-07-074; BLK-07-198</t>
        </is>
      </c>
      <c r="L941" s="15"/>
      <c r="M941" s="15" t="inlineStr">
        <is>
          <t xml:space="preserve">All canonical chapters are represented in the v0.7 reading set map; release requires verse-level continuity validation.</t>
        </is>
      </c>
      <c r="N941" s="15"/>
      <c r="O941" s="15">
        <v>1</v>
      </c>
      <c r="P941" s="10" t="str">
        <f>IF(L941="MISSING","MISSING",IF(O941=1,"PASS","DUPLICATE"))</f>
        <v>PASS</v>
      </c>
    </row>
    <row r="942" ht="22" customHeight="1">
      <c r="A942" s="15" t="inlineStr">
        <is>
          <t xml:space="preserve">Matthew 9</t>
        </is>
      </c>
      <c r="B942" s="15">
        <v>938</v>
      </c>
      <c r="C942" s="15" t="inlineStr">
        <is>
          <t xml:space="preserve">New Testament</t>
        </is>
      </c>
      <c r="D942" s="15">
        <v>40</v>
      </c>
      <c r="E942" s="15" t="inlineStr">
        <is>
          <t xml:space="preserve">Matthew</t>
        </is>
      </c>
      <c r="F942" s="15">
        <v>9</v>
      </c>
      <c r="G942" s="15" t="inlineStr">
        <is>
          <t xml:space="preserve">v0.7</t>
        </is>
      </c>
      <c r="H942" s="15" t="inlineStr">
        <is>
          <t xml:space="preserve">Bible_Journey_Canon_Map_v0_7_Gospel_Chronology.xlsx</t>
        </is>
      </c>
      <c r="I942" s="15" t="inlineStr">
        <is>
          <t xml:space="preserve">Coverage Index</t>
        </is>
      </c>
      <c r="J942" s="15" t="inlineStr">
        <is>
          <t xml:space="preserve">CRS-07-025</t>
        </is>
      </c>
      <c r="K942" s="15" t="inlineStr">
        <is>
          <t xml:space="preserve">BLK-07-040; BLK-07-043; BLK-07-046; BLK-07-077; BLK-07-079</t>
        </is>
      </c>
      <c r="L942" s="15"/>
      <c r="M942" s="15" t="inlineStr">
        <is>
          <t xml:space="preserve">All canonical chapters are represented in the v0.7 reading set map; release requires verse-level continuity validation.</t>
        </is>
      </c>
      <c r="N942" s="15"/>
      <c r="O942" s="15">
        <v>1</v>
      </c>
      <c r="P942" s="10" t="str">
        <f>IF(L942="MISSING","MISSING",IF(O942=1,"PASS","DUPLICATE"))</f>
        <v>PASS</v>
      </c>
    </row>
    <row r="943" ht="22" customHeight="1">
      <c r="A943" s="15" t="inlineStr">
        <is>
          <t xml:space="preserve">Matthew 10</t>
        </is>
      </c>
      <c r="B943" s="15">
        <v>939</v>
      </c>
      <c r="C943" s="15" t="inlineStr">
        <is>
          <t xml:space="preserve">New Testament</t>
        </is>
      </c>
      <c r="D943" s="15">
        <v>40</v>
      </c>
      <c r="E943" s="15" t="inlineStr">
        <is>
          <t xml:space="preserve">Matthew</t>
        </is>
      </c>
      <c r="F943" s="15">
        <v>10</v>
      </c>
      <c r="G943" s="15" t="inlineStr">
        <is>
          <t xml:space="preserve">v0.7</t>
        </is>
      </c>
      <c r="H943" s="15" t="inlineStr">
        <is>
          <t xml:space="preserve">Bible_Journey_Canon_Map_v0_7_Gospel_Chronology.xlsx</t>
        </is>
      </c>
      <c r="I943" s="15" t="inlineStr">
        <is>
          <t xml:space="preserve">Coverage Index</t>
        </is>
      </c>
      <c r="J943" s="15" t="inlineStr">
        <is>
          <t xml:space="preserve">CRS-07-029</t>
        </is>
      </c>
      <c r="K943" s="15" t="inlineStr">
        <is>
          <t xml:space="preserve">BLK-07-052; BLK-07-081</t>
        </is>
      </c>
      <c r="L943" s="15"/>
      <c r="M943" s="15" t="inlineStr">
        <is>
          <t xml:space="preserve">All canonical chapters are represented in the v0.7 reading set map; release requires verse-level continuity validation.</t>
        </is>
      </c>
      <c r="N943" s="15"/>
      <c r="O943" s="15">
        <v>1</v>
      </c>
      <c r="P943" s="10" t="str">
        <f>IF(L943="MISSING","MISSING",IF(O943=1,"PASS","DUPLICATE"))</f>
        <v>PASS</v>
      </c>
    </row>
    <row r="944" ht="22" customHeight="1">
      <c r="A944" s="15" t="inlineStr">
        <is>
          <t xml:space="preserve">Matthew 11</t>
        </is>
      </c>
      <c r="B944" s="15">
        <v>940</v>
      </c>
      <c r="C944" s="15" t="inlineStr">
        <is>
          <t xml:space="preserve">New Testament</t>
        </is>
      </c>
      <c r="D944" s="15">
        <v>40</v>
      </c>
      <c r="E944" s="15" t="inlineStr">
        <is>
          <t xml:space="preserve">Matthew</t>
        </is>
      </c>
      <c r="F944" s="15">
        <v>11</v>
      </c>
      <c r="G944" s="15" t="inlineStr">
        <is>
          <t xml:space="preserve">v0.7</t>
        </is>
      </c>
      <c r="H944" s="15" t="inlineStr">
        <is>
          <t xml:space="preserve">Bible_Journey_Canon_Map_v0_7_Gospel_Chronology.xlsx</t>
        </is>
      </c>
      <c r="I944" s="15" t="inlineStr">
        <is>
          <t xml:space="preserve">Coverage Index</t>
        </is>
      </c>
      <c r="J944" s="15" t="inlineStr">
        <is>
          <t xml:space="preserve">CRS-07-033</t>
        </is>
      </c>
      <c r="K944" s="15" t="inlineStr">
        <is>
          <t xml:space="preserve">BLK-07-059</t>
        </is>
      </c>
      <c r="L944" s="15"/>
      <c r="M944" s="15" t="inlineStr">
        <is>
          <t xml:space="preserve">All canonical chapters are represented in the v0.7 reading set map; release requires verse-level continuity validation.</t>
        </is>
      </c>
      <c r="N944" s="15"/>
      <c r="O944" s="15">
        <v>1</v>
      </c>
      <c r="P944" s="10" t="str">
        <f>IF(L944="MISSING","MISSING",IF(O944=1,"PASS","DUPLICATE"))</f>
        <v>PASS</v>
      </c>
    </row>
    <row r="945" ht="22" customHeight="1">
      <c r="A945" s="15" t="inlineStr">
        <is>
          <t xml:space="preserve">Matthew 12</t>
        </is>
      </c>
      <c r="B945" s="15">
        <v>941</v>
      </c>
      <c r="C945" s="15" t="inlineStr">
        <is>
          <t xml:space="preserve">New Testament</t>
        </is>
      </c>
      <c r="D945" s="15">
        <v>40</v>
      </c>
      <c r="E945" s="15" t="inlineStr">
        <is>
          <t xml:space="preserve">Matthew</t>
        </is>
      </c>
      <c r="F945" s="15">
        <v>12</v>
      </c>
      <c r="G945" s="15" t="inlineStr">
        <is>
          <t xml:space="preserve">v0.7</t>
        </is>
      </c>
      <c r="H945" s="15" t="inlineStr">
        <is>
          <t xml:space="preserve">Bible_Journey_Canon_Map_v0_7_Gospel_Chronology.xlsx</t>
        </is>
      </c>
      <c r="I945" s="15" t="inlineStr">
        <is>
          <t xml:space="preserve">Coverage Index</t>
        </is>
      </c>
      <c r="J945" s="15" t="inlineStr">
        <is>
          <t xml:space="preserve">CRS-07-028</t>
        </is>
      </c>
      <c r="K945" s="15" t="inlineStr">
        <is>
          <t xml:space="preserve">BLK-07-049; BLK-07-064; BLK-07-199</t>
        </is>
      </c>
      <c r="L945" s="15"/>
      <c r="M945" s="15" t="inlineStr">
        <is>
          <t xml:space="preserve">All canonical chapters are represented in the v0.7 reading set map; release requires verse-level continuity validation.</t>
        </is>
      </c>
      <c r="N945" s="15"/>
      <c r="O945" s="15">
        <v>1</v>
      </c>
      <c r="P945" s="10" t="str">
        <f>IF(L945="MISSING","MISSING",IF(O945=1,"PASS","DUPLICATE"))</f>
        <v>PASS</v>
      </c>
    </row>
    <row r="946" ht="22" customHeight="1">
      <c r="A946" s="15" t="inlineStr">
        <is>
          <t xml:space="preserve">Matthew 13</t>
        </is>
      </c>
      <c r="B946" s="15">
        <v>942</v>
      </c>
      <c r="C946" s="15" t="inlineStr">
        <is>
          <t xml:space="preserve">New Testament</t>
        </is>
      </c>
      <c r="D946" s="15">
        <v>40</v>
      </c>
      <c r="E946" s="15" t="inlineStr">
        <is>
          <t xml:space="preserve">Matthew</t>
        </is>
      </c>
      <c r="F946" s="15">
        <v>13</v>
      </c>
      <c r="G946" s="15" t="inlineStr">
        <is>
          <t xml:space="preserve">v0.7</t>
        </is>
      </c>
      <c r="H946" s="15" t="inlineStr">
        <is>
          <t xml:space="preserve">Bible_Journey_Canon_Map_v0_7_Gospel_Chronology.xlsx</t>
        </is>
      </c>
      <c r="I946" s="15" t="inlineStr">
        <is>
          <t xml:space="preserve">Coverage Index</t>
        </is>
      </c>
      <c r="J946" s="15" t="inlineStr">
        <is>
          <t xml:space="preserve">CRS-07-036</t>
        </is>
      </c>
      <c r="K946" s="15" t="inlineStr">
        <is>
          <t xml:space="preserve">BLK-07-068; BLK-07-087</t>
        </is>
      </c>
      <c r="L946" s="15"/>
      <c r="M946" s="15" t="inlineStr">
        <is>
          <t xml:space="preserve">All canonical chapters are represented in the v0.7 reading set map; release requires verse-level continuity validation.</t>
        </is>
      </c>
      <c r="N946" s="15"/>
      <c r="O946" s="15">
        <v>1</v>
      </c>
      <c r="P946" s="10" t="str">
        <f>IF(L946="MISSING","MISSING",IF(O946=1,"PASS","DUPLICATE"))</f>
        <v>PASS</v>
      </c>
    </row>
    <row r="947" ht="22" customHeight="1">
      <c r="A947" s="15" t="inlineStr">
        <is>
          <t xml:space="preserve">Matthew 14</t>
        </is>
      </c>
      <c r="B947" s="15">
        <v>943</v>
      </c>
      <c r="C947" s="15" t="inlineStr">
        <is>
          <t xml:space="preserve">New Testament</t>
        </is>
      </c>
      <c r="D947" s="15">
        <v>40</v>
      </c>
      <c r="E947" s="15" t="inlineStr">
        <is>
          <t xml:space="preserve">Matthew</t>
        </is>
      </c>
      <c r="F947" s="15">
        <v>14</v>
      </c>
      <c r="G947" s="15" t="inlineStr">
        <is>
          <t xml:space="preserve">v0.7</t>
        </is>
      </c>
      <c r="H947" s="15" t="inlineStr">
        <is>
          <t xml:space="preserve">Bible_Journey_Canon_Map_v0_7_Gospel_Chronology.xlsx</t>
        </is>
      </c>
      <c r="I947" s="15" t="inlineStr">
        <is>
          <t xml:space="preserve">Coverage Index</t>
        </is>
      </c>
      <c r="J947" s="15" t="inlineStr">
        <is>
          <t xml:space="preserve">CRS-07-042</t>
        </is>
      </c>
      <c r="K947" s="15" t="inlineStr">
        <is>
          <t xml:space="preserve">BLK-07-084; BLK-07-089; BLK-07-093; BLK-07-097</t>
        </is>
      </c>
      <c r="L947" s="15"/>
      <c r="M947" s="15" t="inlineStr">
        <is>
          <t xml:space="preserve">All canonical chapters are represented in the v0.7 reading set map; release requires verse-level continuity validation.</t>
        </is>
      </c>
      <c r="N947" s="15"/>
      <c r="O947" s="15">
        <v>1</v>
      </c>
      <c r="P947" s="10" t="str">
        <f>IF(L947="MISSING","MISSING",IF(O947=1,"PASS","DUPLICATE"))</f>
        <v>PASS</v>
      </c>
    </row>
    <row r="948" ht="22" customHeight="1">
      <c r="A948" s="15" t="inlineStr">
        <is>
          <t xml:space="preserve">Matthew 15</t>
        </is>
      </c>
      <c r="B948" s="15">
        <v>944</v>
      </c>
      <c r="C948" s="15" t="inlineStr">
        <is>
          <t xml:space="preserve">New Testament</t>
        </is>
      </c>
      <c r="D948" s="15">
        <v>40</v>
      </c>
      <c r="E948" s="15" t="inlineStr">
        <is>
          <t xml:space="preserve">Matthew</t>
        </is>
      </c>
      <c r="F948" s="15">
        <v>15</v>
      </c>
      <c r="G948" s="15" t="inlineStr">
        <is>
          <t xml:space="preserve">v0.7</t>
        </is>
      </c>
      <c r="H948" s="15" t="inlineStr">
        <is>
          <t xml:space="preserve">Bible_Journey_Canon_Map_v0_7_Gospel_Chronology.xlsx</t>
        </is>
      </c>
      <c r="I948" s="15" t="inlineStr">
        <is>
          <t xml:space="preserve">Coverage Index</t>
        </is>
      </c>
      <c r="J948" s="15" t="inlineStr">
        <is>
          <t xml:space="preserve">CRS-07-047</t>
        </is>
      </c>
      <c r="K948" s="15" t="inlineStr">
        <is>
          <t xml:space="preserve">BLK-07-097; BLK-07-099; BLK-07-101</t>
        </is>
      </c>
      <c r="L948" s="15"/>
      <c r="M948" s="15" t="inlineStr">
        <is>
          <t xml:space="preserve">All canonical chapters are represented in the v0.7 reading set map; release requires verse-level continuity validation.</t>
        </is>
      </c>
      <c r="N948" s="15"/>
      <c r="O948" s="15">
        <v>1</v>
      </c>
      <c r="P948" s="10" t="str">
        <f>IF(L948="MISSING","MISSING",IF(O948=1,"PASS","DUPLICATE"))</f>
        <v>PASS</v>
      </c>
    </row>
    <row r="949" ht="22" customHeight="1">
      <c r="A949" s="15" t="inlineStr">
        <is>
          <t xml:space="preserve">Matthew 16</t>
        </is>
      </c>
      <c r="B949" s="15">
        <v>945</v>
      </c>
      <c r="C949" s="15" t="inlineStr">
        <is>
          <t xml:space="preserve">New Testament</t>
        </is>
      </c>
      <c r="D949" s="15">
        <v>40</v>
      </c>
      <c r="E949" s="15" t="inlineStr">
        <is>
          <t xml:space="preserve">Matthew</t>
        </is>
      </c>
      <c r="F949" s="15">
        <v>16</v>
      </c>
      <c r="G949" s="15" t="inlineStr">
        <is>
          <t xml:space="preserve">v0.7</t>
        </is>
      </c>
      <c r="H949" s="15" t="inlineStr">
        <is>
          <t xml:space="preserve">Bible_Journey_Canon_Map_v0_7_Gospel_Chronology.xlsx</t>
        </is>
      </c>
      <c r="I949" s="15" t="inlineStr">
        <is>
          <t xml:space="preserve">Coverage Index</t>
        </is>
      </c>
      <c r="J949" s="15" t="inlineStr">
        <is>
          <t xml:space="preserve">CRS-07-050</t>
        </is>
      </c>
      <c r="K949" s="15" t="inlineStr">
        <is>
          <t xml:space="preserve">BLK-07-103; BLK-07-105</t>
        </is>
      </c>
      <c r="L949" s="15"/>
      <c r="M949" s="15" t="inlineStr">
        <is>
          <t xml:space="preserve">All canonical chapters are represented in the v0.7 reading set map; release requires verse-level continuity validation.</t>
        </is>
      </c>
      <c r="N949" s="15"/>
      <c r="O949" s="15">
        <v>1</v>
      </c>
      <c r="P949" s="10" t="str">
        <f>IF(L949="MISSING","MISSING",IF(O949=1,"PASS","DUPLICATE"))</f>
        <v>PASS</v>
      </c>
    </row>
    <row r="950" ht="22" customHeight="1">
      <c r="A950" s="15" t="inlineStr">
        <is>
          <t xml:space="preserve">Matthew 17</t>
        </is>
      </c>
      <c r="B950" s="15">
        <v>946</v>
      </c>
      <c r="C950" s="15" t="inlineStr">
        <is>
          <t xml:space="preserve">New Testament</t>
        </is>
      </c>
      <c r="D950" s="15">
        <v>40</v>
      </c>
      <c r="E950" s="15" t="inlineStr">
        <is>
          <t xml:space="preserve">Matthew</t>
        </is>
      </c>
      <c r="F950" s="15">
        <v>17</v>
      </c>
      <c r="G950" s="15" t="inlineStr">
        <is>
          <t xml:space="preserve">v0.7</t>
        </is>
      </c>
      <c r="H950" s="15" t="inlineStr">
        <is>
          <t xml:space="preserve">Bible_Journey_Canon_Map_v0_7_Gospel_Chronology.xlsx</t>
        </is>
      </c>
      <c r="I950" s="15" t="inlineStr">
        <is>
          <t xml:space="preserve">Coverage Index</t>
        </is>
      </c>
      <c r="J950" s="15" t="inlineStr">
        <is>
          <t xml:space="preserve">CRS-07-052</t>
        </is>
      </c>
      <c r="K950" s="15" t="inlineStr">
        <is>
          <t xml:space="preserve">BLK-07-108; BLK-07-111; BLK-07-113</t>
        </is>
      </c>
      <c r="L950" s="15"/>
      <c r="M950" s="15" t="inlineStr">
        <is>
          <t xml:space="preserve">All canonical chapters are represented in the v0.7 reading set map; release requires verse-level continuity validation.</t>
        </is>
      </c>
      <c r="N950" s="15"/>
      <c r="O950" s="15">
        <v>1</v>
      </c>
      <c r="P950" s="10" t="str">
        <f>IF(L950="MISSING","MISSING",IF(O950=1,"PASS","DUPLICATE"))</f>
        <v>PASS</v>
      </c>
    </row>
    <row r="951" ht="22" customHeight="1">
      <c r="A951" s="15" t="inlineStr">
        <is>
          <t xml:space="preserve">Matthew 18</t>
        </is>
      </c>
      <c r="B951" s="15">
        <v>947</v>
      </c>
      <c r="C951" s="15" t="inlineStr">
        <is>
          <t xml:space="preserve">New Testament</t>
        </is>
      </c>
      <c r="D951" s="15">
        <v>40</v>
      </c>
      <c r="E951" s="15" t="inlineStr">
        <is>
          <t xml:space="preserve">Matthew</t>
        </is>
      </c>
      <c r="F951" s="15">
        <v>18</v>
      </c>
      <c r="G951" s="15" t="inlineStr">
        <is>
          <t xml:space="preserve">v0.7</t>
        </is>
      </c>
      <c r="H951" s="15" t="inlineStr">
        <is>
          <t xml:space="preserve">Bible_Journey_Canon_Map_v0_7_Gospel_Chronology.xlsx</t>
        </is>
      </c>
      <c r="I951" s="15" t="inlineStr">
        <is>
          <t xml:space="preserve">Coverage Index</t>
        </is>
      </c>
      <c r="J951" s="15" t="inlineStr">
        <is>
          <t xml:space="preserve">CRS-07-054</t>
        </is>
      </c>
      <c r="K951" s="15" t="inlineStr">
        <is>
          <t xml:space="preserve">BLK-07-113</t>
        </is>
      </c>
      <c r="L951" s="15"/>
      <c r="M951" s="15" t="inlineStr">
        <is>
          <t xml:space="preserve">All canonical chapters are represented in the v0.7 reading set map; release requires verse-level continuity validation.</t>
        </is>
      </c>
      <c r="N951" s="15"/>
      <c r="O951" s="15">
        <v>1</v>
      </c>
      <c r="P951" s="10" t="str">
        <f>IF(L951="MISSING","MISSING",IF(O951=1,"PASS","DUPLICATE"))</f>
        <v>PASS</v>
      </c>
    </row>
    <row r="952" ht="22" customHeight="1">
      <c r="A952" s="15" t="inlineStr">
        <is>
          <t xml:space="preserve">Matthew 19</t>
        </is>
      </c>
      <c r="B952" s="15">
        <v>948</v>
      </c>
      <c r="C952" s="15" t="inlineStr">
        <is>
          <t xml:space="preserve">New Testament</t>
        </is>
      </c>
      <c r="D952" s="15">
        <v>40</v>
      </c>
      <c r="E952" s="15" t="inlineStr">
        <is>
          <t xml:space="preserve">Matthew</t>
        </is>
      </c>
      <c r="F952" s="15">
        <v>19</v>
      </c>
      <c r="G952" s="15" t="inlineStr">
        <is>
          <t xml:space="preserve">v0.7</t>
        </is>
      </c>
      <c r="H952" s="15" t="inlineStr">
        <is>
          <t xml:space="preserve">Bible_Journey_Canon_Map_v0_7_Gospel_Chronology.xlsx</t>
        </is>
      </c>
      <c r="I952" s="15" t="inlineStr">
        <is>
          <t xml:space="preserve">Coverage Index</t>
        </is>
      </c>
      <c r="J952" s="15" t="inlineStr">
        <is>
          <t xml:space="preserve">CRS-07-069</t>
        </is>
      </c>
      <c r="K952" s="15" t="inlineStr">
        <is>
          <t xml:space="preserve">BLK-07-133</t>
        </is>
      </c>
      <c r="L952" s="15"/>
      <c r="M952" s="15" t="inlineStr">
        <is>
          <t xml:space="preserve">All canonical chapters are represented in the v0.7 reading set map; release requires verse-level continuity validation.</t>
        </is>
      </c>
      <c r="N952" s="15"/>
      <c r="O952" s="15">
        <v>1</v>
      </c>
      <c r="P952" s="10" t="str">
        <f>IF(L952="MISSING","MISSING",IF(O952=1,"PASS","DUPLICATE"))</f>
        <v>PASS</v>
      </c>
    </row>
    <row r="953" ht="22" customHeight="1">
      <c r="A953" s="15" t="inlineStr">
        <is>
          <t xml:space="preserve">Matthew 20</t>
        </is>
      </c>
      <c r="B953" s="15">
        <v>949</v>
      </c>
      <c r="C953" s="15" t="inlineStr">
        <is>
          <t xml:space="preserve">New Testament</t>
        </is>
      </c>
      <c r="D953" s="15">
        <v>40</v>
      </c>
      <c r="E953" s="15" t="inlineStr">
        <is>
          <t xml:space="preserve">Matthew</t>
        </is>
      </c>
      <c r="F953" s="15">
        <v>20</v>
      </c>
      <c r="G953" s="15" t="inlineStr">
        <is>
          <t xml:space="preserve">v0.7</t>
        </is>
      </c>
      <c r="H953" s="15" t="inlineStr">
        <is>
          <t xml:space="preserve">Bible_Journey_Canon_Map_v0_7_Gospel_Chronology.xlsx</t>
        </is>
      </c>
      <c r="I953" s="15" t="inlineStr">
        <is>
          <t xml:space="preserve">Coverage Index</t>
        </is>
      </c>
      <c r="J953" s="15" t="inlineStr">
        <is>
          <t xml:space="preserve">CRS-07-070</t>
        </is>
      </c>
      <c r="K953" s="15" t="inlineStr">
        <is>
          <t xml:space="preserve">BLK-07-136; BLK-07-139; BLK-07-200</t>
        </is>
      </c>
      <c r="L953" s="15"/>
      <c r="M953" s="15" t="inlineStr">
        <is>
          <t xml:space="preserve">All canonical chapters are represented in the v0.7 reading set map; release requires verse-level continuity validation.</t>
        </is>
      </c>
      <c r="N953" s="15"/>
      <c r="O953" s="15">
        <v>1</v>
      </c>
      <c r="P953" s="10" t="str">
        <f>IF(L953="MISSING","MISSING",IF(O953=1,"PASS","DUPLICATE"))</f>
        <v>PASS</v>
      </c>
    </row>
    <row r="954" ht="22" customHeight="1">
      <c r="A954" s="15" t="inlineStr">
        <is>
          <t xml:space="preserve">Matthew 21</t>
        </is>
      </c>
      <c r="B954" s="15">
        <v>950</v>
      </c>
      <c r="C954" s="15" t="inlineStr">
        <is>
          <t xml:space="preserve">New Testament</t>
        </is>
      </c>
      <c r="D954" s="15">
        <v>40</v>
      </c>
      <c r="E954" s="15" t="inlineStr">
        <is>
          <t xml:space="preserve">Matthew</t>
        </is>
      </c>
      <c r="F954" s="15">
        <v>21</v>
      </c>
      <c r="G954" s="15" t="inlineStr">
        <is>
          <t xml:space="preserve">v0.7</t>
        </is>
      </c>
      <c r="H954" s="15" t="inlineStr">
        <is>
          <t xml:space="preserve">Bible_Journey_Canon_Map_v0_7_Gospel_Chronology.xlsx</t>
        </is>
      </c>
      <c r="I954" s="15" t="inlineStr">
        <is>
          <t xml:space="preserve">Coverage Index</t>
        </is>
      </c>
      <c r="J954" s="15" t="inlineStr">
        <is>
          <t xml:space="preserve">CRS-07-075</t>
        </is>
      </c>
      <c r="K954" s="15" t="inlineStr">
        <is>
          <t xml:space="preserve">BLK-07-147; BLK-07-151; BLK-07-154</t>
        </is>
      </c>
      <c r="L954" s="15"/>
      <c r="M954" s="15" t="inlineStr">
        <is>
          <t xml:space="preserve">All canonical chapters are represented in the v0.7 reading set map; release requires verse-level continuity validation.</t>
        </is>
      </c>
      <c r="N954" s="15"/>
      <c r="O954" s="15">
        <v>1</v>
      </c>
      <c r="P954" s="10" t="str">
        <f>IF(L954="MISSING","MISSING",IF(O954=1,"PASS","DUPLICATE"))</f>
        <v>PASS</v>
      </c>
    </row>
    <row r="955" ht="22" customHeight="1">
      <c r="A955" s="15" t="inlineStr">
        <is>
          <t xml:space="preserve">Matthew 22</t>
        </is>
      </c>
      <c r="B955" s="15">
        <v>951</v>
      </c>
      <c r="C955" s="15" t="inlineStr">
        <is>
          <t xml:space="preserve">New Testament</t>
        </is>
      </c>
      <c r="D955" s="15">
        <v>40</v>
      </c>
      <c r="E955" s="15" t="inlineStr">
        <is>
          <t xml:space="preserve">Matthew</t>
        </is>
      </c>
      <c r="F955" s="15">
        <v>22</v>
      </c>
      <c r="G955" s="15" t="inlineStr">
        <is>
          <t xml:space="preserve">v0.7</t>
        </is>
      </c>
      <c r="H955" s="15" t="inlineStr">
        <is>
          <t xml:space="preserve">Bible_Journey_Canon_Map_v0_7_Gospel_Chronology.xlsx</t>
        </is>
      </c>
      <c r="I955" s="15" t="inlineStr">
        <is>
          <t xml:space="preserve">Coverage Index</t>
        </is>
      </c>
      <c r="J955" s="15" t="inlineStr">
        <is>
          <t xml:space="preserve">CRS-07-077</t>
        </is>
      </c>
      <c r="K955" s="15" t="inlineStr">
        <is>
          <t xml:space="preserve">BLK-07-154</t>
        </is>
      </c>
      <c r="L955" s="15"/>
      <c r="M955" s="15" t="inlineStr">
        <is>
          <t xml:space="preserve">All canonical chapters are represented in the v0.7 reading set map; release requires verse-level continuity validation.</t>
        </is>
      </c>
      <c r="N955" s="15"/>
      <c r="O955" s="15">
        <v>1</v>
      </c>
      <c r="P955" s="10" t="str">
        <f>IF(L955="MISSING","MISSING",IF(O955=1,"PASS","DUPLICATE"))</f>
        <v>PASS</v>
      </c>
    </row>
    <row r="956" ht="22" customHeight="1">
      <c r="A956" s="15" t="inlineStr">
        <is>
          <t xml:space="preserve">Matthew 23</t>
        </is>
      </c>
      <c r="B956" s="15">
        <v>952</v>
      </c>
      <c r="C956" s="15" t="inlineStr">
        <is>
          <t xml:space="preserve">New Testament</t>
        </is>
      </c>
      <c r="D956" s="15">
        <v>40</v>
      </c>
      <c r="E956" s="15" t="inlineStr">
        <is>
          <t xml:space="preserve">Matthew</t>
        </is>
      </c>
      <c r="F956" s="15">
        <v>23</v>
      </c>
      <c r="G956" s="15" t="inlineStr">
        <is>
          <t xml:space="preserve">v0.7</t>
        </is>
      </c>
      <c r="H956" s="15" t="inlineStr">
        <is>
          <t xml:space="preserve">Bible_Journey_Canon_Map_v0_7_Gospel_Chronology.xlsx</t>
        </is>
      </c>
      <c r="I956" s="15" t="inlineStr">
        <is>
          <t xml:space="preserve">Coverage Index</t>
        </is>
      </c>
      <c r="J956" s="15" t="inlineStr">
        <is>
          <t xml:space="preserve">CRS-07-077</t>
        </is>
      </c>
      <c r="K956" s="15" t="inlineStr">
        <is>
          <t xml:space="preserve">BLK-07-154</t>
        </is>
      </c>
      <c r="L956" s="15"/>
      <c r="M956" s="15" t="inlineStr">
        <is>
          <t xml:space="preserve">All canonical chapters are represented in the v0.7 reading set map; release requires verse-level continuity validation.</t>
        </is>
      </c>
      <c r="N956" s="15"/>
      <c r="O956" s="15">
        <v>1</v>
      </c>
      <c r="P956" s="10" t="str">
        <f>IF(L956="MISSING","MISSING",IF(O956=1,"PASS","DUPLICATE"))</f>
        <v>PASS</v>
      </c>
    </row>
    <row r="957" ht="22" customHeight="1">
      <c r="A957" s="15" t="inlineStr">
        <is>
          <t xml:space="preserve">Matthew 24</t>
        </is>
      </c>
      <c r="B957" s="15">
        <v>953</v>
      </c>
      <c r="C957" s="15" t="inlineStr">
        <is>
          <t xml:space="preserve">New Testament</t>
        </is>
      </c>
      <c r="D957" s="15">
        <v>40</v>
      </c>
      <c r="E957" s="15" t="inlineStr">
        <is>
          <t xml:space="preserve">Matthew</t>
        </is>
      </c>
      <c r="F957" s="15">
        <v>24</v>
      </c>
      <c r="G957" s="15" t="inlineStr">
        <is>
          <t xml:space="preserve">v0.7</t>
        </is>
      </c>
      <c r="H957" s="15" t="inlineStr">
        <is>
          <t xml:space="preserve">Bible_Journey_Canon_Map_v0_7_Gospel_Chronology.xlsx</t>
        </is>
      </c>
      <c r="I957" s="15" t="inlineStr">
        <is>
          <t xml:space="preserve">Coverage Index</t>
        </is>
      </c>
      <c r="J957" s="15" t="inlineStr">
        <is>
          <t xml:space="preserve">CRS-07-079</t>
        </is>
      </c>
      <c r="K957" s="15" t="inlineStr">
        <is>
          <t xml:space="preserve">BLK-07-158</t>
        </is>
      </c>
      <c r="L957" s="15"/>
      <c r="M957" s="15" t="inlineStr">
        <is>
          <t xml:space="preserve">All canonical chapters are represented in the v0.7 reading set map; release requires verse-level continuity validation.</t>
        </is>
      </c>
      <c r="N957" s="15"/>
      <c r="O957" s="15">
        <v>1</v>
      </c>
      <c r="P957" s="10" t="str">
        <f>IF(L957="MISSING","MISSING",IF(O957=1,"PASS","DUPLICATE"))</f>
        <v>PASS</v>
      </c>
    </row>
    <row r="958" ht="22" customHeight="1">
      <c r="A958" s="15" t="inlineStr">
        <is>
          <t xml:space="preserve">Matthew 25</t>
        </is>
      </c>
      <c r="B958" s="15">
        <v>954</v>
      </c>
      <c r="C958" s="15" t="inlineStr">
        <is>
          <t xml:space="preserve">New Testament</t>
        </is>
      </c>
      <c r="D958" s="15">
        <v>40</v>
      </c>
      <c r="E958" s="15" t="inlineStr">
        <is>
          <t xml:space="preserve">Matthew</t>
        </is>
      </c>
      <c r="F958" s="15">
        <v>25</v>
      </c>
      <c r="G958" s="15" t="inlineStr">
        <is>
          <t xml:space="preserve">v0.7</t>
        </is>
      </c>
      <c r="H958" s="15" t="inlineStr">
        <is>
          <t xml:space="preserve">Bible_Journey_Canon_Map_v0_7_Gospel_Chronology.xlsx</t>
        </is>
      </c>
      <c r="I958" s="15" t="inlineStr">
        <is>
          <t xml:space="preserve">Coverage Index</t>
        </is>
      </c>
      <c r="J958" s="15" t="inlineStr">
        <is>
          <t xml:space="preserve">CRS-07-079</t>
        </is>
      </c>
      <c r="K958" s="15" t="inlineStr">
        <is>
          <t xml:space="preserve">BLK-07-158</t>
        </is>
      </c>
      <c r="L958" s="15"/>
      <c r="M958" s="15" t="inlineStr">
        <is>
          <t xml:space="preserve">All canonical chapters are represented in the v0.7 reading set map; release requires verse-level continuity validation.</t>
        </is>
      </c>
      <c r="N958" s="15"/>
      <c r="O958" s="15">
        <v>1</v>
      </c>
      <c r="P958" s="10" t="str">
        <f>IF(L958="MISSING","MISSING",IF(O958=1,"PASS","DUPLICATE"))</f>
        <v>PASS</v>
      </c>
    </row>
    <row r="959" ht="22" customHeight="1">
      <c r="A959" s="15" t="inlineStr">
        <is>
          <t xml:space="preserve">Matthew 26</t>
        </is>
      </c>
      <c r="B959" s="15">
        <v>955</v>
      </c>
      <c r="C959" s="15" t="inlineStr">
        <is>
          <t xml:space="preserve">New Testament</t>
        </is>
      </c>
      <c r="D959" s="15">
        <v>40</v>
      </c>
      <c r="E959" s="15" t="inlineStr">
        <is>
          <t xml:space="preserve">Matthew</t>
        </is>
      </c>
      <c r="F959" s="15">
        <v>26</v>
      </c>
      <c r="G959" s="15" t="inlineStr">
        <is>
          <t xml:space="preserve">v0.7</t>
        </is>
      </c>
      <c r="H959" s="15" t="inlineStr">
        <is>
          <t xml:space="preserve">Bible_Journey_Canon_Map_v0_7_Gospel_Chronology.xlsx</t>
        </is>
      </c>
      <c r="I959" s="15" t="inlineStr">
        <is>
          <t xml:space="preserve">Coverage Index</t>
        </is>
      </c>
      <c r="J959" s="15" t="inlineStr">
        <is>
          <t xml:space="preserve">CRS-07-074</t>
        </is>
      </c>
      <c r="K959" s="15" t="inlineStr">
        <is>
          <t xml:space="preserve">BLK-07-145; BLK-07-161; BLK-07-161; BLK-07-164; BLK-07-168; BLK-07-172</t>
        </is>
      </c>
      <c r="L959" s="15"/>
      <c r="M959" s="15" t="inlineStr">
        <is>
          <t xml:space="preserve">All canonical chapters are represented in the v0.7 reading set map; release requires verse-level continuity validation.</t>
        </is>
      </c>
      <c r="N959" s="15"/>
      <c r="O959" s="15">
        <v>1</v>
      </c>
      <c r="P959" s="10" t="str">
        <f>IF(L959="MISSING","MISSING",IF(O959=1,"PASS","DUPLICATE"))</f>
        <v>PASS</v>
      </c>
    </row>
    <row r="960" ht="22" customHeight="1">
      <c r="A960" s="15" t="inlineStr">
        <is>
          <t xml:space="preserve">Matthew 27</t>
        </is>
      </c>
      <c r="B960" s="15">
        <v>956</v>
      </c>
      <c r="C960" s="15" t="inlineStr">
        <is>
          <t xml:space="preserve">New Testament</t>
        </is>
      </c>
      <c r="D960" s="15">
        <v>40</v>
      </c>
      <c r="E960" s="15" t="inlineStr">
        <is>
          <t xml:space="preserve">Matthew</t>
        </is>
      </c>
      <c r="F960" s="15">
        <v>27</v>
      </c>
      <c r="G960" s="15" t="inlineStr">
        <is>
          <t xml:space="preserve">v0.7</t>
        </is>
      </c>
      <c r="H960" s="15" t="inlineStr">
        <is>
          <t xml:space="preserve">Bible_Journey_Canon_Map_v0_7_Gospel_Chronology.xlsx</t>
        </is>
      </c>
      <c r="I960" s="15" t="inlineStr">
        <is>
          <t xml:space="preserve">Coverage Index</t>
        </is>
      </c>
      <c r="J960" s="15" t="inlineStr">
        <is>
          <t xml:space="preserve">CRS-07-085</t>
        </is>
      </c>
      <c r="K960" s="15" t="inlineStr">
        <is>
          <t xml:space="preserve">BLK-07-176; BLK-07-180; BLK-07-184</t>
        </is>
      </c>
      <c r="L960" s="15"/>
      <c r="M960" s="15" t="inlineStr">
        <is>
          <t xml:space="preserve">All canonical chapters are represented in the v0.7 reading set map; release requires verse-level continuity validation.</t>
        </is>
      </c>
      <c r="N960" s="15"/>
      <c r="O960" s="15">
        <v>1</v>
      </c>
      <c r="P960" s="10" t="str">
        <f>IF(L960="MISSING","MISSING",IF(O960=1,"PASS","DUPLICATE"))</f>
        <v>PASS</v>
      </c>
    </row>
    <row r="961" ht="22" customHeight="1">
      <c r="A961" s="15" t="inlineStr">
        <is>
          <t xml:space="preserve">Matthew 28</t>
        </is>
      </c>
      <c r="B961" s="15">
        <v>957</v>
      </c>
      <c r="C961" s="15" t="inlineStr">
        <is>
          <t xml:space="preserve">New Testament</t>
        </is>
      </c>
      <c r="D961" s="15">
        <v>40</v>
      </c>
      <c r="E961" s="15" t="inlineStr">
        <is>
          <t xml:space="preserve">Matthew</t>
        </is>
      </c>
      <c r="F961" s="15">
        <v>28</v>
      </c>
      <c r="G961" s="15" t="inlineStr">
        <is>
          <t xml:space="preserve">v0.7</t>
        </is>
      </c>
      <c r="H961" s="15" t="inlineStr">
        <is>
          <t xml:space="preserve">Bible_Journey_Canon_Map_v0_7_Gospel_Chronology.xlsx</t>
        </is>
      </c>
      <c r="I961" s="15" t="inlineStr">
        <is>
          <t xml:space="preserve">Coverage Index</t>
        </is>
      </c>
      <c r="J961" s="15" t="inlineStr">
        <is>
          <t xml:space="preserve">CRS-07-088</t>
        </is>
      </c>
      <c r="K961" s="15" t="inlineStr">
        <is>
          <t xml:space="preserve">BLK-07-188; BLK-07-191</t>
        </is>
      </c>
      <c r="L961" s="15"/>
      <c r="M961" s="15" t="inlineStr">
        <is>
          <t xml:space="preserve">All canonical chapters are represented in the v0.7 reading set map; release requires verse-level continuity validation.</t>
        </is>
      </c>
      <c r="N961" s="15"/>
      <c r="O961" s="15">
        <v>1</v>
      </c>
      <c r="P961" s="10" t="str">
        <f>IF(L961="MISSING","MISSING",IF(O961=1,"PASS","DUPLICATE"))</f>
        <v>PASS</v>
      </c>
    </row>
    <row r="962" ht="22" customHeight="1">
      <c r="A962" s="15" t="inlineStr">
        <is>
          <t xml:space="preserve">Mark 1</t>
        </is>
      </c>
      <c r="B962" s="15">
        <v>958</v>
      </c>
      <c r="C962" s="15" t="inlineStr">
        <is>
          <t xml:space="preserve">New Testament</t>
        </is>
      </c>
      <c r="D962" s="15">
        <v>41</v>
      </c>
      <c r="E962" s="15" t="inlineStr">
        <is>
          <t xml:space="preserve">Mark</t>
        </is>
      </c>
      <c r="F962" s="15">
        <v>1</v>
      </c>
      <c r="G962" s="15" t="inlineStr">
        <is>
          <t xml:space="preserve">v0.7</t>
        </is>
      </c>
      <c r="H962" s="15" t="inlineStr">
        <is>
          <t xml:space="preserve">Bible_Journey_Canon_Map_v0_7_Gospel_Chronology.xlsx</t>
        </is>
      </c>
      <c r="I962" s="15" t="inlineStr">
        <is>
          <t xml:space="preserve">Coverage Index</t>
        </is>
      </c>
      <c r="J962" s="15" t="inlineStr">
        <is>
          <t xml:space="preserve">CRS-07-010</t>
        </is>
      </c>
      <c r="K962" s="15" t="inlineStr">
        <is>
          <t xml:space="preserve">BLK-07-010; BLK-07-014; BLK-07-023; BLK-07-027; BLK-07-030; BLK-07-032; BLK-07-035</t>
        </is>
      </c>
      <c r="L962" s="15"/>
      <c r="M962" s="15" t="inlineStr">
        <is>
          <t xml:space="preserve">All canonical chapters are represented in the v0.7 reading set map; release requires verse-level continuity validation.</t>
        </is>
      </c>
      <c r="N962" s="15"/>
      <c r="O962" s="15">
        <v>1</v>
      </c>
      <c r="P962" s="10" t="str">
        <f>IF(L962="MISSING","MISSING",IF(O962=1,"PASS","DUPLICATE"))</f>
        <v>PASS</v>
      </c>
    </row>
    <row r="963" ht="22" customHeight="1">
      <c r="A963" s="15" t="inlineStr">
        <is>
          <t xml:space="preserve">Mark 2</t>
        </is>
      </c>
      <c r="B963" s="15">
        <v>959</v>
      </c>
      <c r="C963" s="15" t="inlineStr">
        <is>
          <t xml:space="preserve">New Testament</t>
        </is>
      </c>
      <c r="D963" s="15">
        <v>41</v>
      </c>
      <c r="E963" s="15" t="inlineStr">
        <is>
          <t xml:space="preserve">Mark</t>
        </is>
      </c>
      <c r="F963" s="15">
        <v>2</v>
      </c>
      <c r="G963" s="15" t="inlineStr">
        <is>
          <t xml:space="preserve">v0.7</t>
        </is>
      </c>
      <c r="H963" s="15" t="inlineStr">
        <is>
          <t xml:space="preserve">Bible_Journey_Canon_Map_v0_7_Gospel_Chronology.xlsx</t>
        </is>
      </c>
      <c r="I963" s="15" t="inlineStr">
        <is>
          <t xml:space="preserve">Coverage Index</t>
        </is>
      </c>
      <c r="J963" s="15" t="inlineStr">
        <is>
          <t xml:space="preserve">CRS-07-025</t>
        </is>
      </c>
      <c r="K963" s="15" t="inlineStr">
        <is>
          <t xml:space="preserve">BLK-07-039; BLK-07-042; BLK-07-045; BLK-07-048</t>
        </is>
      </c>
      <c r="L963" s="15"/>
      <c r="M963" s="15" t="inlineStr">
        <is>
          <t xml:space="preserve">All canonical chapters are represented in the v0.7 reading set map; release requires verse-level continuity validation.</t>
        </is>
      </c>
      <c r="N963" s="15"/>
      <c r="O963" s="15">
        <v>1</v>
      </c>
      <c r="P963" s="10" t="str">
        <f>IF(L963="MISSING","MISSING",IF(O963=1,"PASS","DUPLICATE"))</f>
        <v>PASS</v>
      </c>
    </row>
    <row r="964" ht="22" customHeight="1">
      <c r="A964" s="15" t="inlineStr">
        <is>
          <t xml:space="preserve">Mark 3</t>
        </is>
      </c>
      <c r="B964" s="15">
        <v>960</v>
      </c>
      <c r="C964" s="15" t="inlineStr">
        <is>
          <t xml:space="preserve">New Testament</t>
        </is>
      </c>
      <c r="D964" s="15">
        <v>41</v>
      </c>
      <c r="E964" s="15" t="inlineStr">
        <is>
          <t xml:space="preserve">Mark</t>
        </is>
      </c>
      <c r="F964" s="15">
        <v>3</v>
      </c>
      <c r="G964" s="15" t="inlineStr">
        <is>
          <t xml:space="preserve">v0.7</t>
        </is>
      </c>
      <c r="H964" s="15" t="inlineStr">
        <is>
          <t xml:space="preserve">Bible_Journey_Canon_Map_v0_7_Gospel_Chronology.xlsx</t>
        </is>
      </c>
      <c r="I964" s="15" t="inlineStr">
        <is>
          <t xml:space="preserve">Coverage Index</t>
        </is>
      </c>
      <c r="J964" s="15" t="inlineStr">
        <is>
          <t xml:space="preserve">CRS-07-028</t>
        </is>
      </c>
      <c r="K964" s="15" t="inlineStr">
        <is>
          <t xml:space="preserve">BLK-07-048; BLK-07-051; BLK-07-063</t>
        </is>
      </c>
      <c r="L964" s="15"/>
      <c r="M964" s="15" t="inlineStr">
        <is>
          <t xml:space="preserve">All canonical chapters are represented in the v0.7 reading set map; release requires verse-level continuity validation.</t>
        </is>
      </c>
      <c r="N964" s="15"/>
      <c r="O964" s="15">
        <v>1</v>
      </c>
      <c r="P964" s="10" t="str">
        <f>IF(L964="MISSING","MISSING",IF(O964=1,"PASS","DUPLICATE"))</f>
        <v>PASS</v>
      </c>
    </row>
    <row r="965" ht="22" customHeight="1">
      <c r="A965" s="15" t="inlineStr">
        <is>
          <t xml:space="preserve">Mark 4</t>
        </is>
      </c>
      <c r="B965" s="15">
        <v>961</v>
      </c>
      <c r="C965" s="15" t="inlineStr">
        <is>
          <t xml:space="preserve">New Testament</t>
        </is>
      </c>
      <c r="D965" s="15">
        <v>41</v>
      </c>
      <c r="E965" s="15" t="inlineStr">
        <is>
          <t xml:space="preserve">Mark</t>
        </is>
      </c>
      <c r="F965" s="15">
        <v>4</v>
      </c>
      <c r="G965" s="15" t="inlineStr">
        <is>
          <t xml:space="preserve">v0.7</t>
        </is>
      </c>
      <c r="H965" s="15" t="inlineStr">
        <is>
          <t xml:space="preserve">Bible_Journey_Canon_Map_v0_7_Gospel_Chronology.xlsx</t>
        </is>
      </c>
      <c r="I965" s="15" t="inlineStr">
        <is>
          <t xml:space="preserve">Coverage Index</t>
        </is>
      </c>
      <c r="J965" s="15" t="inlineStr">
        <is>
          <t xml:space="preserve">CRS-07-036</t>
        </is>
      </c>
      <c r="K965" s="15" t="inlineStr">
        <is>
          <t xml:space="preserve">BLK-07-067; BLK-07-070</t>
        </is>
      </c>
      <c r="L965" s="15"/>
      <c r="M965" s="15" t="inlineStr">
        <is>
          <t xml:space="preserve">All canonical chapters are represented in the v0.7 reading set map; release requires verse-level continuity validation.</t>
        </is>
      </c>
      <c r="N965" s="15"/>
      <c r="O965" s="15">
        <v>1</v>
      </c>
      <c r="P965" s="10" t="str">
        <f>IF(L965="MISSING","MISSING",IF(O965=1,"PASS","DUPLICATE"))</f>
        <v>PASS</v>
      </c>
    </row>
    <row r="966" ht="22" customHeight="1">
      <c r="A966" s="15" t="inlineStr">
        <is>
          <t xml:space="preserve">Mark 5</t>
        </is>
      </c>
      <c r="B966" s="15">
        <v>962</v>
      </c>
      <c r="C966" s="15" t="inlineStr">
        <is>
          <t xml:space="preserve">New Testament</t>
        </is>
      </c>
      <c r="D966" s="15">
        <v>41</v>
      </c>
      <c r="E966" s="15" t="inlineStr">
        <is>
          <t xml:space="preserve">Mark</t>
        </is>
      </c>
      <c r="F966" s="15">
        <v>5</v>
      </c>
      <c r="G966" s="15" t="inlineStr">
        <is>
          <t xml:space="preserve">v0.7</t>
        </is>
      </c>
      <c r="H966" s="15" t="inlineStr">
        <is>
          <t xml:space="preserve">Bible_Journey_Canon_Map_v0_7_Gospel_Chronology.xlsx</t>
        </is>
      </c>
      <c r="I966" s="15" t="inlineStr">
        <is>
          <t xml:space="preserve">Coverage Index</t>
        </is>
      </c>
      <c r="J966" s="15" t="inlineStr">
        <is>
          <t xml:space="preserve">CRS-07-038</t>
        </is>
      </c>
      <c r="K966" s="15" t="inlineStr">
        <is>
          <t xml:space="preserve">BLK-07-073; BLK-07-076</t>
        </is>
      </c>
      <c r="L966" s="15"/>
      <c r="M966" s="15" t="inlineStr">
        <is>
          <t xml:space="preserve">All canonical chapters are represented in the v0.7 reading set map; release requires verse-level continuity validation.</t>
        </is>
      </c>
      <c r="N966" s="15"/>
      <c r="O966" s="15">
        <v>1</v>
      </c>
      <c r="P966" s="10" t="str">
        <f>IF(L966="MISSING","MISSING",IF(O966=1,"PASS","DUPLICATE"))</f>
        <v>PASS</v>
      </c>
    </row>
    <row r="967" ht="22" customHeight="1">
      <c r="A967" s="15" t="inlineStr">
        <is>
          <t xml:space="preserve">Mark 6</t>
        </is>
      </c>
      <c r="B967" s="15">
        <v>963</v>
      </c>
      <c r="C967" s="15" t="inlineStr">
        <is>
          <t xml:space="preserve">New Testament</t>
        </is>
      </c>
      <c r="D967" s="15">
        <v>41</v>
      </c>
      <c r="E967" s="15" t="inlineStr">
        <is>
          <t xml:space="preserve">Mark</t>
        </is>
      </c>
      <c r="F967" s="15">
        <v>6</v>
      </c>
      <c r="G967" s="15" t="inlineStr">
        <is>
          <t xml:space="preserve">v0.7</t>
        </is>
      </c>
      <c r="H967" s="15" t="inlineStr">
        <is>
          <t xml:space="preserve">Bible_Journey_Canon_Map_v0_7_Gospel_Chronology.xlsx</t>
        </is>
      </c>
      <c r="I967" s="15" t="inlineStr">
        <is>
          <t xml:space="preserve">Coverage Index</t>
        </is>
      </c>
      <c r="J967" s="15" t="inlineStr">
        <is>
          <t xml:space="preserve">CRS-07-041</t>
        </is>
      </c>
      <c r="K967" s="15" t="inlineStr">
        <is>
          <t xml:space="preserve">BLK-07-080; BLK-07-083; BLK-07-086; BLK-07-088; BLK-07-092; BLK-07-096</t>
        </is>
      </c>
      <c r="L967" s="15"/>
      <c r="M967" s="15" t="inlineStr">
        <is>
          <t xml:space="preserve">All canonical chapters are represented in the v0.7 reading set map; release requires verse-level continuity validation.</t>
        </is>
      </c>
      <c r="N967" s="15"/>
      <c r="O967" s="15">
        <v>1</v>
      </c>
      <c r="P967" s="10" t="str">
        <f>IF(L967="MISSING","MISSING",IF(O967=1,"PASS","DUPLICATE"))</f>
        <v>PASS</v>
      </c>
    </row>
    <row r="968" ht="22" customHeight="1">
      <c r="A968" s="15" t="inlineStr">
        <is>
          <t xml:space="preserve">Mark 7</t>
        </is>
      </c>
      <c r="B968" s="15">
        <v>964</v>
      </c>
      <c r="C968" s="15" t="inlineStr">
        <is>
          <t xml:space="preserve">New Testament</t>
        </is>
      </c>
      <c r="D968" s="15">
        <v>41</v>
      </c>
      <c r="E968" s="15" t="inlineStr">
        <is>
          <t xml:space="preserve">Mark</t>
        </is>
      </c>
      <c r="F968" s="15">
        <v>7</v>
      </c>
      <c r="G968" s="15" t="inlineStr">
        <is>
          <t xml:space="preserve">v0.7</t>
        </is>
      </c>
      <c r="H968" s="15" t="inlineStr">
        <is>
          <t xml:space="preserve">Bible_Journey_Canon_Map_v0_7_Gospel_Chronology.xlsx</t>
        </is>
      </c>
      <c r="I968" s="15" t="inlineStr">
        <is>
          <t xml:space="preserve">Coverage Index</t>
        </is>
      </c>
      <c r="J968" s="15" t="inlineStr">
        <is>
          <t xml:space="preserve">CRS-07-047</t>
        </is>
      </c>
      <c r="K968" s="15" t="inlineStr">
        <is>
          <t xml:space="preserve">BLK-07-096; BLK-07-098</t>
        </is>
      </c>
      <c r="L968" s="15"/>
      <c r="M968" s="15" t="inlineStr">
        <is>
          <t xml:space="preserve">All canonical chapters are represented in the v0.7 reading set map; release requires verse-level continuity validation.</t>
        </is>
      </c>
      <c r="N968" s="15"/>
      <c r="O968" s="15">
        <v>1</v>
      </c>
      <c r="P968" s="10" t="str">
        <f>IF(L968="MISSING","MISSING",IF(O968=1,"PASS","DUPLICATE"))</f>
        <v>PASS</v>
      </c>
    </row>
    <row r="969" ht="22" customHeight="1">
      <c r="A969" s="15" t="inlineStr">
        <is>
          <t xml:space="preserve">Mark 8</t>
        </is>
      </c>
      <c r="B969" s="15">
        <v>965</v>
      </c>
      <c r="C969" s="15" t="inlineStr">
        <is>
          <t xml:space="preserve">New Testament</t>
        </is>
      </c>
      <c r="D969" s="15">
        <v>41</v>
      </c>
      <c r="E969" s="15" t="inlineStr">
        <is>
          <t xml:space="preserve">Mark</t>
        </is>
      </c>
      <c r="F969" s="15">
        <v>8</v>
      </c>
      <c r="G969" s="15" t="inlineStr">
        <is>
          <t xml:space="preserve">v0.7</t>
        </is>
      </c>
      <c r="H969" s="15" t="inlineStr">
        <is>
          <t xml:space="preserve">Bible_Journey_Canon_Map_v0_7_Gospel_Chronology.xlsx</t>
        </is>
      </c>
      <c r="I969" s="15" t="inlineStr">
        <is>
          <t xml:space="preserve">Coverage Index</t>
        </is>
      </c>
      <c r="J969" s="15" t="inlineStr">
        <is>
          <t xml:space="preserve">CRS-07-049</t>
        </is>
      </c>
      <c r="K969" s="15" t="inlineStr">
        <is>
          <t xml:space="preserve">BLK-07-100; BLK-07-102; BLK-07-104</t>
        </is>
      </c>
      <c r="L969" s="15"/>
      <c r="M969" s="15" t="inlineStr">
        <is>
          <t xml:space="preserve">All canonical chapters are represented in the v0.7 reading set map; release requires verse-level continuity validation.</t>
        </is>
      </c>
      <c r="N969" s="15"/>
      <c r="O969" s="15">
        <v>1</v>
      </c>
      <c r="P969" s="10" t="str">
        <f>IF(L969="MISSING","MISSING",IF(O969=1,"PASS","DUPLICATE"))</f>
        <v>PASS</v>
      </c>
    </row>
    <row r="970" ht="22" customHeight="1">
      <c r="A970" s="15" t="inlineStr">
        <is>
          <t xml:space="preserve">Mark 9</t>
        </is>
      </c>
      <c r="B970" s="15">
        <v>966</v>
      </c>
      <c r="C970" s="15" t="inlineStr">
        <is>
          <t xml:space="preserve">New Testament</t>
        </is>
      </c>
      <c r="D970" s="15">
        <v>41</v>
      </c>
      <c r="E970" s="15" t="inlineStr">
        <is>
          <t xml:space="preserve">Mark</t>
        </is>
      </c>
      <c r="F970" s="15">
        <v>9</v>
      </c>
      <c r="G970" s="15" t="inlineStr">
        <is>
          <t xml:space="preserve">v0.7</t>
        </is>
      </c>
      <c r="H970" s="15" t="inlineStr">
        <is>
          <t xml:space="preserve">Bible_Journey_Canon_Map_v0_7_Gospel_Chronology.xlsx</t>
        </is>
      </c>
      <c r="I970" s="15" t="inlineStr">
        <is>
          <t xml:space="preserve">Coverage Index</t>
        </is>
      </c>
      <c r="J970" s="15" t="inlineStr">
        <is>
          <t xml:space="preserve">CRS-07-051</t>
        </is>
      </c>
      <c r="K970" s="15" t="inlineStr">
        <is>
          <t xml:space="preserve">BLK-07-104; BLK-07-107; BLK-07-110; BLK-07-114</t>
        </is>
      </c>
      <c r="L970" s="15"/>
      <c r="M970" s="15" t="inlineStr">
        <is>
          <t xml:space="preserve">All canonical chapters are represented in the v0.7 reading set map; release requires verse-level continuity validation.</t>
        </is>
      </c>
      <c r="N970" s="15"/>
      <c r="O970" s="15">
        <v>1</v>
      </c>
      <c r="P970" s="10" t="str">
        <f>IF(L970="MISSING","MISSING",IF(O970=1,"PASS","DUPLICATE"))</f>
        <v>PASS</v>
      </c>
    </row>
    <row r="971" ht="22" customHeight="1">
      <c r="A971" s="15" t="inlineStr">
        <is>
          <t xml:space="preserve">Mark 10</t>
        </is>
      </c>
      <c r="B971" s="15">
        <v>967</v>
      </c>
      <c r="C971" s="15" t="inlineStr">
        <is>
          <t xml:space="preserve">New Testament</t>
        </is>
      </c>
      <c r="D971" s="15">
        <v>41</v>
      </c>
      <c r="E971" s="15" t="inlineStr">
        <is>
          <t xml:space="preserve">Mark</t>
        </is>
      </c>
      <c r="F971" s="15">
        <v>10</v>
      </c>
      <c r="G971" s="15" t="inlineStr">
        <is>
          <t xml:space="preserve">v0.7</t>
        </is>
      </c>
      <c r="H971" s="15" t="inlineStr">
        <is>
          <t xml:space="preserve">Bible_Journey_Canon_Map_v0_7_Gospel_Chronology.xlsx</t>
        </is>
      </c>
      <c r="I971" s="15" t="inlineStr">
        <is>
          <t xml:space="preserve">Coverage Index</t>
        </is>
      </c>
      <c r="J971" s="15" t="inlineStr">
        <is>
          <t xml:space="preserve">CRS-07-069</t>
        </is>
      </c>
      <c r="K971" s="15" t="inlineStr">
        <is>
          <t xml:space="preserve">BLK-07-132; BLK-07-135; BLK-07-138</t>
        </is>
      </c>
      <c r="L971" s="15"/>
      <c r="M971" s="15" t="inlineStr">
        <is>
          <t xml:space="preserve">All canonical chapters are represented in the v0.7 reading set map; release requires verse-level continuity validation.</t>
        </is>
      </c>
      <c r="N971" s="15"/>
      <c r="O971" s="15">
        <v>1</v>
      </c>
      <c r="P971" s="10" t="str">
        <f>IF(L971="MISSING","MISSING",IF(O971=1,"PASS","DUPLICATE"))</f>
        <v>PASS</v>
      </c>
    </row>
    <row r="972" ht="22" customHeight="1">
      <c r="A972" s="15" t="inlineStr">
        <is>
          <t xml:space="preserve">Mark 11</t>
        </is>
      </c>
      <c r="B972" s="15">
        <v>968</v>
      </c>
      <c r="C972" s="15" t="inlineStr">
        <is>
          <t xml:space="preserve">New Testament</t>
        </is>
      </c>
      <c r="D972" s="15">
        <v>41</v>
      </c>
      <c r="E972" s="15" t="inlineStr">
        <is>
          <t xml:space="preserve">Mark</t>
        </is>
      </c>
      <c r="F972" s="15">
        <v>11</v>
      </c>
      <c r="G972" s="15" t="inlineStr">
        <is>
          <t xml:space="preserve">v0.7</t>
        </is>
      </c>
      <c r="H972" s="15" t="inlineStr">
        <is>
          <t xml:space="preserve">Bible_Journey_Canon_Map_v0_7_Gospel_Chronology.xlsx</t>
        </is>
      </c>
      <c r="I972" s="15" t="inlineStr">
        <is>
          <t xml:space="preserve">Coverage Index</t>
        </is>
      </c>
      <c r="J972" s="15" t="inlineStr">
        <is>
          <t xml:space="preserve">CRS-07-075</t>
        </is>
      </c>
      <c r="K972" s="15" t="inlineStr">
        <is>
          <t xml:space="preserve">BLK-07-146; BLK-07-150; BLK-07-153</t>
        </is>
      </c>
      <c r="L972" s="15"/>
      <c r="M972" s="15" t="inlineStr">
        <is>
          <t xml:space="preserve">All canonical chapters are represented in the v0.7 reading set map; release requires verse-level continuity validation.</t>
        </is>
      </c>
      <c r="N972" s="15"/>
      <c r="O972" s="15">
        <v>1</v>
      </c>
      <c r="P972" s="10" t="str">
        <f>IF(L972="MISSING","MISSING",IF(O972=1,"PASS","DUPLICATE"))</f>
        <v>PASS</v>
      </c>
    </row>
    <row r="973" ht="22" customHeight="1">
      <c r="A973" s="15" t="inlineStr">
        <is>
          <t xml:space="preserve">Mark 12</t>
        </is>
      </c>
      <c r="B973" s="15">
        <v>969</v>
      </c>
      <c r="C973" s="15" t="inlineStr">
        <is>
          <t xml:space="preserve">New Testament</t>
        </is>
      </c>
      <c r="D973" s="15">
        <v>41</v>
      </c>
      <c r="E973" s="15" t="inlineStr">
        <is>
          <t xml:space="preserve">Mark</t>
        </is>
      </c>
      <c r="F973" s="15">
        <v>12</v>
      </c>
      <c r="G973" s="15" t="inlineStr">
        <is>
          <t xml:space="preserve">v0.7</t>
        </is>
      </c>
      <c r="H973" s="15" t="inlineStr">
        <is>
          <t xml:space="preserve">Bible_Journey_Canon_Map_v0_7_Gospel_Chronology.xlsx</t>
        </is>
      </c>
      <c r="I973" s="15" t="inlineStr">
        <is>
          <t xml:space="preserve">Coverage Index</t>
        </is>
      </c>
      <c r="J973" s="15" t="inlineStr">
        <is>
          <t xml:space="preserve">CRS-07-077</t>
        </is>
      </c>
      <c r="K973" s="15" t="inlineStr">
        <is>
          <t xml:space="preserve">BLK-07-153</t>
        </is>
      </c>
      <c r="L973" s="15"/>
      <c r="M973" s="15" t="inlineStr">
        <is>
          <t xml:space="preserve">All canonical chapters are represented in the v0.7 reading set map; release requires verse-level continuity validation.</t>
        </is>
      </c>
      <c r="N973" s="15"/>
      <c r="O973" s="15">
        <v>1</v>
      </c>
      <c r="P973" s="10" t="str">
        <f>IF(L973="MISSING","MISSING",IF(O973=1,"PASS","DUPLICATE"))</f>
        <v>PASS</v>
      </c>
    </row>
    <row r="974" ht="22" customHeight="1">
      <c r="A974" s="15" t="inlineStr">
        <is>
          <t xml:space="preserve">Mark 13</t>
        </is>
      </c>
      <c r="B974" s="15">
        <v>970</v>
      </c>
      <c r="C974" s="15" t="inlineStr">
        <is>
          <t xml:space="preserve">New Testament</t>
        </is>
      </c>
      <c r="D974" s="15">
        <v>41</v>
      </c>
      <c r="E974" s="15" t="inlineStr">
        <is>
          <t xml:space="preserve">Mark</t>
        </is>
      </c>
      <c r="F974" s="15">
        <v>13</v>
      </c>
      <c r="G974" s="15" t="inlineStr">
        <is>
          <t xml:space="preserve">v0.7</t>
        </is>
      </c>
      <c r="H974" s="15" t="inlineStr">
        <is>
          <t xml:space="preserve">Bible_Journey_Canon_Map_v0_7_Gospel_Chronology.xlsx</t>
        </is>
      </c>
      <c r="I974" s="15" t="inlineStr">
        <is>
          <t xml:space="preserve">Coverage Index</t>
        </is>
      </c>
      <c r="J974" s="15" t="inlineStr">
        <is>
          <t xml:space="preserve">CRS-07-079</t>
        </is>
      </c>
      <c r="K974" s="15" t="inlineStr">
        <is>
          <t xml:space="preserve">BLK-07-157</t>
        </is>
      </c>
      <c r="L974" s="15"/>
      <c r="M974" s="15" t="inlineStr">
        <is>
          <t xml:space="preserve">All canonical chapters are represented in the v0.7 reading set map; release requires verse-level continuity validation.</t>
        </is>
      </c>
      <c r="N974" s="15"/>
      <c r="O974" s="15">
        <v>1</v>
      </c>
      <c r="P974" s="10" t="str">
        <f>IF(L974="MISSING","MISSING",IF(O974=1,"PASS","DUPLICATE"))</f>
        <v>PASS</v>
      </c>
    </row>
    <row r="975" ht="22" customHeight="1">
      <c r="A975" s="15" t="inlineStr">
        <is>
          <t xml:space="preserve">Mark 14</t>
        </is>
      </c>
      <c r="B975" s="15">
        <v>971</v>
      </c>
      <c r="C975" s="15" t="inlineStr">
        <is>
          <t xml:space="preserve">New Testament</t>
        </is>
      </c>
      <c r="D975" s="15">
        <v>41</v>
      </c>
      <c r="E975" s="15" t="inlineStr">
        <is>
          <t xml:space="preserve">Mark</t>
        </is>
      </c>
      <c r="F975" s="15">
        <v>14</v>
      </c>
      <c r="G975" s="15" t="inlineStr">
        <is>
          <t xml:space="preserve">v0.7</t>
        </is>
      </c>
      <c r="H975" s="15" t="inlineStr">
        <is>
          <t xml:space="preserve">Bible_Journey_Canon_Map_v0_7_Gospel_Chronology.xlsx</t>
        </is>
      </c>
      <c r="I975" s="15" t="inlineStr">
        <is>
          <t xml:space="preserve">Coverage Index</t>
        </is>
      </c>
      <c r="J975" s="15" t="inlineStr">
        <is>
          <t xml:space="preserve">CRS-07-074</t>
        </is>
      </c>
      <c r="K975" s="15" t="inlineStr">
        <is>
          <t xml:space="preserve">BLK-07-144; BLK-07-160; BLK-07-160; BLK-07-163; BLK-07-167; BLK-07-171</t>
        </is>
      </c>
      <c r="L975" s="15"/>
      <c r="M975" s="15" t="inlineStr">
        <is>
          <t xml:space="preserve">All canonical chapters are represented in the v0.7 reading set map; release requires verse-level continuity validation.</t>
        </is>
      </c>
      <c r="N975" s="15"/>
      <c r="O975" s="15">
        <v>1</v>
      </c>
      <c r="P975" s="10" t="str">
        <f>IF(L975="MISSING","MISSING",IF(O975=1,"PASS","DUPLICATE"))</f>
        <v>PASS</v>
      </c>
    </row>
    <row r="976" ht="22" customHeight="1">
      <c r="A976" s="15" t="inlineStr">
        <is>
          <t xml:space="preserve">Mark 15</t>
        </is>
      </c>
      <c r="B976" s="15">
        <v>972</v>
      </c>
      <c r="C976" s="15" t="inlineStr">
        <is>
          <t xml:space="preserve">New Testament</t>
        </is>
      </c>
      <c r="D976" s="15">
        <v>41</v>
      </c>
      <c r="E976" s="15" t="inlineStr">
        <is>
          <t xml:space="preserve">Mark</t>
        </is>
      </c>
      <c r="F976" s="15">
        <v>15</v>
      </c>
      <c r="G976" s="15" t="inlineStr">
        <is>
          <t xml:space="preserve">v0.7</t>
        </is>
      </c>
      <c r="H976" s="15" t="inlineStr">
        <is>
          <t xml:space="preserve">Bible_Journey_Canon_Map_v0_7_Gospel_Chronology.xlsx</t>
        </is>
      </c>
      <c r="I976" s="15" t="inlineStr">
        <is>
          <t xml:space="preserve">Coverage Index</t>
        </is>
      </c>
      <c r="J976" s="15" t="inlineStr">
        <is>
          <t xml:space="preserve">CRS-07-085</t>
        </is>
      </c>
      <c r="K976" s="15" t="inlineStr">
        <is>
          <t xml:space="preserve">BLK-07-175; BLK-07-179; BLK-07-183</t>
        </is>
      </c>
      <c r="L976" s="15"/>
      <c r="M976" s="15" t="inlineStr">
        <is>
          <t xml:space="preserve">All canonical chapters are represented in the v0.7 reading set map; release requires verse-level continuity validation.</t>
        </is>
      </c>
      <c r="N976" s="15"/>
      <c r="O976" s="15">
        <v>1</v>
      </c>
      <c r="P976" s="10" t="str">
        <f>IF(L976="MISSING","MISSING",IF(O976=1,"PASS","DUPLICATE"))</f>
        <v>PASS</v>
      </c>
    </row>
    <row r="977" ht="22" customHeight="1">
      <c r="A977" s="15" t="inlineStr">
        <is>
          <t xml:space="preserve">Mark 16</t>
        </is>
      </c>
      <c r="B977" s="15">
        <v>973</v>
      </c>
      <c r="C977" s="15" t="inlineStr">
        <is>
          <t xml:space="preserve">New Testament</t>
        </is>
      </c>
      <c r="D977" s="15">
        <v>41</v>
      </c>
      <c r="E977" s="15" t="inlineStr">
        <is>
          <t xml:space="preserve">Mark</t>
        </is>
      </c>
      <c r="F977" s="15">
        <v>16</v>
      </c>
      <c r="G977" s="15" t="inlineStr">
        <is>
          <t xml:space="preserve">v0.7</t>
        </is>
      </c>
      <c r="H977" s="15" t="inlineStr">
        <is>
          <t xml:space="preserve">Bible_Journey_Canon_Map_v0_7_Gospel_Chronology.xlsx</t>
        </is>
      </c>
      <c r="I977" s="15" t="inlineStr">
        <is>
          <t xml:space="preserve">Coverage Index</t>
        </is>
      </c>
      <c r="J977" s="15" t="inlineStr">
        <is>
          <t xml:space="preserve">CRS-07-088</t>
        </is>
      </c>
      <c r="K977" s="15" t="inlineStr">
        <is>
          <t xml:space="preserve">BLK-07-187; BLK-07-194</t>
        </is>
      </c>
      <c r="L977" s="15"/>
      <c r="M977" s="15" t="inlineStr">
        <is>
          <t xml:space="preserve">All canonical chapters are represented in the v0.7 reading set map; release requires verse-level continuity validation.</t>
        </is>
      </c>
      <c r="N977" s="15"/>
      <c r="O977" s="15">
        <v>1</v>
      </c>
      <c r="P977" s="10" t="str">
        <f>IF(L977="MISSING","MISSING",IF(O977=1,"PASS","DUPLICATE"))</f>
        <v>PASS</v>
      </c>
    </row>
    <row r="978" ht="22" customHeight="1">
      <c r="A978" s="15" t="inlineStr">
        <is>
          <t xml:space="preserve">Luke 1</t>
        </is>
      </c>
      <c r="B978" s="15">
        <v>974</v>
      </c>
      <c r="C978" s="15" t="inlineStr">
        <is>
          <t xml:space="preserve">New Testament</t>
        </is>
      </c>
      <c r="D978" s="15">
        <v>42</v>
      </c>
      <c r="E978" s="15" t="inlineStr">
        <is>
          <t xml:space="preserve">Luke</t>
        </is>
      </c>
      <c r="F978" s="15">
        <v>1</v>
      </c>
      <c r="G978" s="15" t="inlineStr">
        <is>
          <t xml:space="preserve">v0.7</t>
        </is>
      </c>
      <c r="H978" s="15" t="inlineStr">
        <is>
          <t xml:space="preserve">Bible_Journey_Canon_Map_v0_7_Gospel_Chronology.xlsx</t>
        </is>
      </c>
      <c r="I978" s="15" t="inlineStr">
        <is>
          <t xml:space="preserve">Coverage Index</t>
        </is>
      </c>
      <c r="J978" s="15" t="inlineStr">
        <is>
          <t xml:space="preserve">CRS-07-001</t>
        </is>
      </c>
      <c r="K978" s="15" t="inlineStr">
        <is>
          <t xml:space="preserve">BLK-07-001; BLK-07-004; BLK-07-006</t>
        </is>
      </c>
      <c r="L978" s="15"/>
      <c r="M978" s="15" t="inlineStr">
        <is>
          <t xml:space="preserve">All canonical chapters are represented in the v0.7 reading set map; release requires verse-level continuity validation.</t>
        </is>
      </c>
      <c r="N978" s="15"/>
      <c r="O978" s="15">
        <v>1</v>
      </c>
      <c r="P978" s="10" t="str">
        <f>IF(L978="MISSING","MISSING",IF(O978=1,"PASS","DUPLICATE"))</f>
        <v>PASS</v>
      </c>
    </row>
    <row r="979" ht="22" customHeight="1">
      <c r="A979" s="15" t="inlineStr">
        <is>
          <t xml:space="preserve">Luke 2</t>
        </is>
      </c>
      <c r="B979" s="15">
        <v>975</v>
      </c>
      <c r="C979" s="15" t="inlineStr">
        <is>
          <t xml:space="preserve">New Testament</t>
        </is>
      </c>
      <c r="D979" s="15">
        <v>42</v>
      </c>
      <c r="E979" s="15" t="inlineStr">
        <is>
          <t xml:space="preserve">Luke</t>
        </is>
      </c>
      <c r="F979" s="15">
        <v>2</v>
      </c>
      <c r="G979" s="15" t="inlineStr">
        <is>
          <t xml:space="preserve">v0.7</t>
        </is>
      </c>
      <c r="H979" s="15" t="inlineStr">
        <is>
          <t xml:space="preserve">Bible_Journey_Canon_Map_v0_7_Gospel_Chronology.xlsx</t>
        </is>
      </c>
      <c r="I979" s="15" t="inlineStr">
        <is>
          <t xml:space="preserve">Coverage Index</t>
        </is>
      </c>
      <c r="J979" s="15" t="inlineStr">
        <is>
          <t xml:space="preserve">CRS-07-006</t>
        </is>
      </c>
      <c r="K979" s="15" t="inlineStr">
        <is>
          <t xml:space="preserve">BLK-07-006; BLK-07-008</t>
        </is>
      </c>
      <c r="L979" s="15"/>
      <c r="M979" s="15" t="inlineStr">
        <is>
          <t xml:space="preserve">All canonical chapters are represented in the v0.7 reading set map; release requires verse-level continuity validation.</t>
        </is>
      </c>
      <c r="N979" s="15"/>
      <c r="O979" s="15">
        <v>1</v>
      </c>
      <c r="P979" s="10" t="str">
        <f>IF(L979="MISSING","MISSING",IF(O979=1,"PASS","DUPLICATE"))</f>
        <v>PASS</v>
      </c>
    </row>
    <row r="980" ht="22" customHeight="1">
      <c r="A980" s="15" t="inlineStr">
        <is>
          <t xml:space="preserve">Luke 3</t>
        </is>
      </c>
      <c r="B980" s="15">
        <v>976</v>
      </c>
      <c r="C980" s="15" t="inlineStr">
        <is>
          <t xml:space="preserve">New Testament</t>
        </is>
      </c>
      <c r="D980" s="15">
        <v>42</v>
      </c>
      <c r="E980" s="15" t="inlineStr">
        <is>
          <t xml:space="preserve">Luke</t>
        </is>
      </c>
      <c r="F980" s="15">
        <v>3</v>
      </c>
      <c r="G980" s="15" t="inlineStr">
        <is>
          <t xml:space="preserve">v0.7</t>
        </is>
      </c>
      <c r="H980" s="15" t="inlineStr">
        <is>
          <t xml:space="preserve">Bible_Journey_Canon_Map_v0_7_Gospel_Chronology.xlsx</t>
        </is>
      </c>
      <c r="I980" s="15" t="inlineStr">
        <is>
          <t xml:space="preserve">Coverage Index</t>
        </is>
      </c>
      <c r="J980" s="15" t="inlineStr">
        <is>
          <t xml:space="preserve">CRS-07-010</t>
        </is>
      </c>
      <c r="K980" s="15" t="inlineStr">
        <is>
          <t xml:space="preserve">BLK-07-012; BLK-07-013</t>
        </is>
      </c>
      <c r="L980" s="15"/>
      <c r="M980" s="15" t="inlineStr">
        <is>
          <t xml:space="preserve">All canonical chapters are represented in the v0.7 reading set map; release requires verse-level continuity validation.</t>
        </is>
      </c>
      <c r="N980" s="15"/>
      <c r="O980" s="15">
        <v>1</v>
      </c>
      <c r="P980" s="10" t="str">
        <f>IF(L980="MISSING","MISSING",IF(O980=1,"PASS","DUPLICATE"))</f>
        <v>PASS</v>
      </c>
    </row>
    <row r="981" ht="22" customHeight="1">
      <c r="A981" s="15" t="inlineStr">
        <is>
          <t xml:space="preserve">Luke 4</t>
        </is>
      </c>
      <c r="B981" s="15">
        <v>977</v>
      </c>
      <c r="C981" s="15" t="inlineStr">
        <is>
          <t xml:space="preserve">New Testament</t>
        </is>
      </c>
      <c r="D981" s="15">
        <v>42</v>
      </c>
      <c r="E981" s="15" t="inlineStr">
        <is>
          <t xml:space="preserve">Luke</t>
        </is>
      </c>
      <c r="F981" s="15">
        <v>4</v>
      </c>
      <c r="G981" s="15" t="inlineStr">
        <is>
          <t xml:space="preserve">v0.7</t>
        </is>
      </c>
      <c r="H981" s="15" t="inlineStr">
        <is>
          <t xml:space="preserve">Bible_Journey_Canon_Map_v0_7_Gospel_Chronology.xlsx</t>
        </is>
      </c>
      <c r="I981" s="15" t="inlineStr">
        <is>
          <t xml:space="preserve">Coverage Index</t>
        </is>
      </c>
      <c r="J981" s="15" t="inlineStr">
        <is>
          <t xml:space="preserve">CRS-07-011</t>
        </is>
      </c>
      <c r="K981" s="15" t="inlineStr">
        <is>
          <t xml:space="preserve">BLK-07-016; BLK-07-026; BLK-07-031; BLK-07-034; BLK-07-196</t>
        </is>
      </c>
      <c r="L981" s="15"/>
      <c r="M981" s="15" t="inlineStr">
        <is>
          <t xml:space="preserve">All canonical chapters are represented in the v0.7 reading set map; release requires verse-level continuity validation.</t>
        </is>
      </c>
      <c r="N981" s="15"/>
      <c r="O981" s="15">
        <v>1</v>
      </c>
      <c r="P981" s="10" t="str">
        <f>IF(L981="MISSING","MISSING",IF(O981=1,"PASS","DUPLICATE"))</f>
        <v>PASS</v>
      </c>
    </row>
    <row r="982" ht="22" customHeight="1">
      <c r="A982" s="15" t="inlineStr">
        <is>
          <t xml:space="preserve">Luke 5</t>
        </is>
      </c>
      <c r="B982" s="15">
        <v>978</v>
      </c>
      <c r="C982" s="15" t="inlineStr">
        <is>
          <t xml:space="preserve">New Testament</t>
        </is>
      </c>
      <c r="D982" s="15">
        <v>42</v>
      </c>
      <c r="E982" s="15" t="inlineStr">
        <is>
          <t xml:space="preserve">Luke</t>
        </is>
      </c>
      <c r="F982" s="15">
        <v>5</v>
      </c>
      <c r="G982" s="15" t="inlineStr">
        <is>
          <t xml:space="preserve">v0.7</t>
        </is>
      </c>
      <c r="H982" s="15" t="inlineStr">
        <is>
          <t xml:space="preserve">Bible_Journey_Canon_Map_v0_7_Gospel_Chronology.xlsx</t>
        </is>
      </c>
      <c r="I982" s="15" t="inlineStr">
        <is>
          <t xml:space="preserve">Coverage Index</t>
        </is>
      </c>
      <c r="J982" s="15" t="inlineStr">
        <is>
          <t xml:space="preserve">CRS-07-020</t>
        </is>
      </c>
      <c r="K982" s="15" t="inlineStr">
        <is>
          <t xml:space="preserve">BLK-07-029; BLK-07-037; BLK-07-041; BLK-07-044; BLK-07-047</t>
        </is>
      </c>
      <c r="L982" s="15"/>
      <c r="M982" s="15" t="inlineStr">
        <is>
          <t xml:space="preserve">All canonical chapters are represented in the v0.7 reading set map; release requires verse-level continuity validation.</t>
        </is>
      </c>
      <c r="N982" s="15"/>
      <c r="O982" s="15">
        <v>1</v>
      </c>
      <c r="P982" s="10" t="str">
        <f>IF(L982="MISSING","MISSING",IF(O982=1,"PASS","DUPLICATE"))</f>
        <v>PASS</v>
      </c>
    </row>
    <row r="983" ht="22" customHeight="1">
      <c r="A983" s="15" t="inlineStr">
        <is>
          <t xml:space="preserve">Luke 6</t>
        </is>
      </c>
      <c r="B983" s="15">
        <v>979</v>
      </c>
      <c r="C983" s="15" t="inlineStr">
        <is>
          <t xml:space="preserve">New Testament</t>
        </is>
      </c>
      <c r="D983" s="15">
        <v>42</v>
      </c>
      <c r="E983" s="15" t="inlineStr">
        <is>
          <t xml:space="preserve">Luke</t>
        </is>
      </c>
      <c r="F983" s="15">
        <v>6</v>
      </c>
      <c r="G983" s="15" t="inlineStr">
        <is>
          <t xml:space="preserve">v0.7</t>
        </is>
      </c>
      <c r="H983" s="15" t="inlineStr">
        <is>
          <t xml:space="preserve">Bible_Journey_Canon_Map_v0_7_Gospel_Chronology.xlsx</t>
        </is>
      </c>
      <c r="I983" s="15" t="inlineStr">
        <is>
          <t xml:space="preserve">Coverage Index</t>
        </is>
      </c>
      <c r="J983" s="15" t="inlineStr">
        <is>
          <t xml:space="preserve">CRS-07-028</t>
        </is>
      </c>
      <c r="K983" s="15" t="inlineStr">
        <is>
          <t xml:space="preserve">BLK-07-050; BLK-07-053; BLK-07-055</t>
        </is>
      </c>
      <c r="L983" s="15"/>
      <c r="M983" s="15" t="inlineStr">
        <is>
          <t xml:space="preserve">All canonical chapters are represented in the v0.7 reading set map; release requires verse-level continuity validation.</t>
        </is>
      </c>
      <c r="N983" s="15"/>
      <c r="O983" s="15">
        <v>1</v>
      </c>
      <c r="P983" s="10" t="str">
        <f>IF(L983="MISSING","MISSING",IF(O983=1,"PASS","DUPLICATE"))</f>
        <v>PASS</v>
      </c>
    </row>
    <row r="984" ht="22" customHeight="1">
      <c r="A984" s="15" t="inlineStr">
        <is>
          <t xml:space="preserve">Luke 7</t>
        </is>
      </c>
      <c r="B984" s="15">
        <v>980</v>
      </c>
      <c r="C984" s="15" t="inlineStr">
        <is>
          <t xml:space="preserve">New Testament</t>
        </is>
      </c>
      <c r="D984" s="15">
        <v>42</v>
      </c>
      <c r="E984" s="15" t="inlineStr">
        <is>
          <t xml:space="preserve">Luke</t>
        </is>
      </c>
      <c r="F984" s="15">
        <v>7</v>
      </c>
      <c r="G984" s="15" t="inlineStr">
        <is>
          <t xml:space="preserve">v0.7</t>
        </is>
      </c>
      <c r="H984" s="15" t="inlineStr">
        <is>
          <t xml:space="preserve">Bible_Journey_Canon_Map_v0_7_Gospel_Chronology.xlsx</t>
        </is>
      </c>
      <c r="I984" s="15" t="inlineStr">
        <is>
          <t xml:space="preserve">Coverage Index</t>
        </is>
      </c>
      <c r="J984" s="15" t="inlineStr">
        <is>
          <t xml:space="preserve">CRS-07-031</t>
        </is>
      </c>
      <c r="K984" s="15" t="inlineStr">
        <is>
          <t xml:space="preserve">BLK-07-057; BLK-07-058; BLK-07-060; BLK-07-061</t>
        </is>
      </c>
      <c r="L984" s="15"/>
      <c r="M984" s="15" t="inlineStr">
        <is>
          <t xml:space="preserve">All canonical chapters are represented in the v0.7 reading set map; release requires verse-level continuity validation.</t>
        </is>
      </c>
      <c r="N984" s="15"/>
      <c r="O984" s="15">
        <v>1</v>
      </c>
      <c r="P984" s="10" t="str">
        <f>IF(L984="MISSING","MISSING",IF(O984=1,"PASS","DUPLICATE"))</f>
        <v>PASS</v>
      </c>
    </row>
    <row r="985" ht="22" customHeight="1">
      <c r="A985" s="15" t="inlineStr">
        <is>
          <t xml:space="preserve">Luke 8</t>
        </is>
      </c>
      <c r="B985" s="15">
        <v>981</v>
      </c>
      <c r="C985" s="15" t="inlineStr">
        <is>
          <t xml:space="preserve">New Testament</t>
        </is>
      </c>
      <c r="D985" s="15">
        <v>42</v>
      </c>
      <c r="E985" s="15" t="inlineStr">
        <is>
          <t xml:space="preserve">Luke</t>
        </is>
      </c>
      <c r="F985" s="15">
        <v>8</v>
      </c>
      <c r="G985" s="15" t="inlineStr">
        <is>
          <t xml:space="preserve">v0.7</t>
        </is>
      </c>
      <c r="H985" s="15" t="inlineStr">
        <is>
          <t xml:space="preserve">Bible_Journey_Canon_Map_v0_7_Gospel_Chronology.xlsx</t>
        </is>
      </c>
      <c r="I985" s="15" t="inlineStr">
        <is>
          <t xml:space="preserve">Coverage Index</t>
        </is>
      </c>
      <c r="J985" s="15" t="inlineStr">
        <is>
          <t xml:space="preserve">CRS-07-035</t>
        </is>
      </c>
      <c r="K985" s="15" t="inlineStr">
        <is>
          <t xml:space="preserve">BLK-07-062; BLK-07-065; BLK-07-069; BLK-07-072; BLK-07-075; BLK-07-078</t>
        </is>
      </c>
      <c r="L985" s="15"/>
      <c r="M985" s="15" t="inlineStr">
        <is>
          <t xml:space="preserve">All canonical chapters are represented in the v0.7 reading set map; release requires verse-level continuity validation.</t>
        </is>
      </c>
      <c r="N985" s="15"/>
      <c r="O985" s="15">
        <v>1</v>
      </c>
      <c r="P985" s="10" t="str">
        <f>IF(L985="MISSING","MISSING",IF(O985=1,"PASS","DUPLICATE"))</f>
        <v>PASS</v>
      </c>
    </row>
    <row r="986" ht="22" customHeight="1">
      <c r="A986" s="15" t="inlineStr">
        <is>
          <t xml:space="preserve">Luke 9</t>
        </is>
      </c>
      <c r="B986" s="15">
        <v>982</v>
      </c>
      <c r="C986" s="15" t="inlineStr">
        <is>
          <t xml:space="preserve">New Testament</t>
        </is>
      </c>
      <c r="D986" s="15">
        <v>42</v>
      </c>
      <c r="E986" s="15" t="inlineStr">
        <is>
          <t xml:space="preserve">Luke</t>
        </is>
      </c>
      <c r="F986" s="15">
        <v>9</v>
      </c>
      <c r="G986" s="15" t="inlineStr">
        <is>
          <t xml:space="preserve">v0.7</t>
        </is>
      </c>
      <c r="H986" s="15" t="inlineStr">
        <is>
          <t xml:space="preserve">Bible_Journey_Canon_Map_v0_7_Gospel_Chronology.xlsx</t>
        </is>
      </c>
      <c r="I986" s="15" t="inlineStr">
        <is>
          <t xml:space="preserve">Coverage Index</t>
        </is>
      </c>
      <c r="J986" s="15" t="inlineStr">
        <is>
          <t xml:space="preserve">CRS-07-041</t>
        </is>
      </c>
      <c r="K986" s="15" t="inlineStr">
        <is>
          <t xml:space="preserve">BLK-07-082; BLK-07-085; BLK-07-090; BLK-07-106; BLK-07-109; BLK-07-112; BLK-07-115; BLK-07-122</t>
        </is>
      </c>
      <c r="L986" s="15"/>
      <c r="M986" s="15" t="inlineStr">
        <is>
          <t xml:space="preserve">All canonical chapters are represented in the v0.7 reading set map; release requires verse-level continuity validation.</t>
        </is>
      </c>
      <c r="N986" s="15"/>
      <c r="O986" s="15">
        <v>1</v>
      </c>
      <c r="P986" s="10" t="str">
        <f>IF(L986="MISSING","MISSING",IF(O986=1,"PASS","DUPLICATE"))</f>
        <v>PASS</v>
      </c>
    </row>
    <row r="987" ht="22" customHeight="1">
      <c r="A987" s="15" t="inlineStr">
        <is>
          <t xml:space="preserve">Luke 10</t>
        </is>
      </c>
      <c r="B987" s="15">
        <v>983</v>
      </c>
      <c r="C987" s="15" t="inlineStr">
        <is>
          <t xml:space="preserve">New Testament</t>
        </is>
      </c>
      <c r="D987" s="15">
        <v>42</v>
      </c>
      <c r="E987" s="15" t="inlineStr">
        <is>
          <t xml:space="preserve">Luke</t>
        </is>
      </c>
      <c r="F987" s="15">
        <v>10</v>
      </c>
      <c r="G987" s="15" t="inlineStr">
        <is>
          <t xml:space="preserve">v0.7</t>
        </is>
      </c>
      <c r="H987" s="15" t="inlineStr">
        <is>
          <t xml:space="preserve">Bible_Journey_Canon_Map_v0_7_Gospel_Chronology.xlsx</t>
        </is>
      </c>
      <c r="I987" s="15" t="inlineStr">
        <is>
          <t xml:space="preserve">Coverage Index</t>
        </is>
      </c>
      <c r="J987" s="15" t="inlineStr">
        <is>
          <t xml:space="preserve">CRS-07-060</t>
        </is>
      </c>
      <c r="K987" s="15" t="inlineStr">
        <is>
          <t xml:space="preserve">BLK-07-122; BLK-07-123</t>
        </is>
      </c>
      <c r="L987" s="15"/>
      <c r="M987" s="15" t="inlineStr">
        <is>
          <t xml:space="preserve">All canonical chapters are represented in the v0.7 reading set map; release requires verse-level continuity validation.</t>
        </is>
      </c>
      <c r="N987" s="15"/>
      <c r="O987" s="15">
        <v>1</v>
      </c>
      <c r="P987" s="10" t="str">
        <f>IF(L987="MISSING","MISSING",IF(O987=1,"PASS","DUPLICATE"))</f>
        <v>PASS</v>
      </c>
    </row>
    <row r="988" ht="22" customHeight="1">
      <c r="A988" s="15" t="inlineStr">
        <is>
          <t xml:space="preserve">Luke 11</t>
        </is>
      </c>
      <c r="B988" s="15">
        <v>984</v>
      </c>
      <c r="C988" s="15" t="inlineStr">
        <is>
          <t xml:space="preserve">New Testament</t>
        </is>
      </c>
      <c r="D988" s="15">
        <v>42</v>
      </c>
      <c r="E988" s="15" t="inlineStr">
        <is>
          <t xml:space="preserve">Luke</t>
        </is>
      </c>
      <c r="F988" s="15">
        <v>11</v>
      </c>
      <c r="G988" s="15" t="inlineStr">
        <is>
          <t xml:space="preserve">v0.7</t>
        </is>
      </c>
      <c r="H988" s="15" t="inlineStr">
        <is>
          <t xml:space="preserve">Bible_Journey_Canon_Map_v0_7_Gospel_Chronology.xlsx</t>
        </is>
      </c>
      <c r="I988" s="15" t="inlineStr">
        <is>
          <t xml:space="preserve">Coverage Index</t>
        </is>
      </c>
      <c r="J988" s="15" t="inlineStr">
        <is>
          <t xml:space="preserve">CRS-07-035</t>
        </is>
      </c>
      <c r="K988" s="15" t="inlineStr">
        <is>
          <t xml:space="preserve">BLK-07-066; BLK-07-124; BLK-07-124</t>
        </is>
      </c>
      <c r="L988" s="15"/>
      <c r="M988" s="15" t="inlineStr">
        <is>
          <t xml:space="preserve">All canonical chapters are represented in the v0.7 reading set map; release requires verse-level continuity validation.</t>
        </is>
      </c>
      <c r="N988" s="15"/>
      <c r="O988" s="15">
        <v>1</v>
      </c>
      <c r="P988" s="10" t="str">
        <f>IF(L988="MISSING","MISSING",IF(O988=1,"PASS","DUPLICATE"))</f>
        <v>PASS</v>
      </c>
    </row>
    <row r="989" ht="22" customHeight="1">
      <c r="A989" s="15" t="inlineStr">
        <is>
          <t xml:space="preserve">Luke 12</t>
        </is>
      </c>
      <c r="B989" s="15">
        <v>985</v>
      </c>
      <c r="C989" s="15" t="inlineStr">
        <is>
          <t xml:space="preserve">New Testament</t>
        </is>
      </c>
      <c r="D989" s="15">
        <v>42</v>
      </c>
      <c r="E989" s="15" t="inlineStr">
        <is>
          <t xml:space="preserve">Luke</t>
        </is>
      </c>
      <c r="F989" s="15">
        <v>12</v>
      </c>
      <c r="G989" s="15" t="inlineStr">
        <is>
          <t xml:space="preserve">v0.7</t>
        </is>
      </c>
      <c r="H989" s="15" t="inlineStr">
        <is>
          <t xml:space="preserve">Bible_Journey_Canon_Map_v0_7_Gospel_Chronology.xlsx</t>
        </is>
      </c>
      <c r="I989" s="15" t="inlineStr">
        <is>
          <t xml:space="preserve">Coverage Index</t>
        </is>
      </c>
      <c r="J989" s="15" t="inlineStr">
        <is>
          <t xml:space="preserve">CRS-07-063</t>
        </is>
      </c>
      <c r="K989" s="15" t="inlineStr">
        <is>
          <t xml:space="preserve">BLK-07-125</t>
        </is>
      </c>
      <c r="L989" s="15"/>
      <c r="M989" s="15" t="inlineStr">
        <is>
          <t xml:space="preserve">All canonical chapters are represented in the v0.7 reading set map; release requires verse-level continuity validation.</t>
        </is>
      </c>
      <c r="N989" s="15"/>
      <c r="O989" s="15">
        <v>1</v>
      </c>
      <c r="P989" s="10" t="str">
        <f>IF(L989="MISSING","MISSING",IF(O989=1,"PASS","DUPLICATE"))</f>
        <v>PASS</v>
      </c>
    </row>
    <row r="990" ht="22" customHeight="1">
      <c r="A990" s="15" t="inlineStr">
        <is>
          <t xml:space="preserve">Luke 13</t>
        </is>
      </c>
      <c r="B990" s="15">
        <v>986</v>
      </c>
      <c r="C990" s="15" t="inlineStr">
        <is>
          <t xml:space="preserve">New Testament</t>
        </is>
      </c>
      <c r="D990" s="15">
        <v>42</v>
      </c>
      <c r="E990" s="15" t="inlineStr">
        <is>
          <t xml:space="preserve">Luke</t>
        </is>
      </c>
      <c r="F990" s="15">
        <v>13</v>
      </c>
      <c r="G990" s="15" t="inlineStr">
        <is>
          <t xml:space="preserve">v0.7</t>
        </is>
      </c>
      <c r="H990" s="15" t="inlineStr">
        <is>
          <t xml:space="preserve">Bible_Journey_Canon_Map_v0_7_Gospel_Chronology.xlsx</t>
        </is>
      </c>
      <c r="I990" s="15" t="inlineStr">
        <is>
          <t xml:space="preserve">Coverage Index</t>
        </is>
      </c>
      <c r="J990" s="15" t="inlineStr">
        <is>
          <t xml:space="preserve">CRS-07-064</t>
        </is>
      </c>
      <c r="K990" s="15" t="inlineStr">
        <is>
          <t xml:space="preserve">BLK-07-126</t>
        </is>
      </c>
      <c r="L990" s="15"/>
      <c r="M990" s="15" t="inlineStr">
        <is>
          <t xml:space="preserve">All canonical chapters are represented in the v0.7 reading set map; release requires verse-level continuity validation.</t>
        </is>
      </c>
      <c r="N990" s="15"/>
      <c r="O990" s="15">
        <v>1</v>
      </c>
      <c r="P990" s="10" t="str">
        <f>IF(L990="MISSING","MISSING",IF(O990=1,"PASS","DUPLICATE"))</f>
        <v>PASS</v>
      </c>
    </row>
    <row r="991" ht="22" customHeight="1">
      <c r="A991" s="15" t="inlineStr">
        <is>
          <t xml:space="preserve">Luke 14</t>
        </is>
      </c>
      <c r="B991" s="15">
        <v>987</v>
      </c>
      <c r="C991" s="15" t="inlineStr">
        <is>
          <t xml:space="preserve">New Testament</t>
        </is>
      </c>
      <c r="D991" s="15">
        <v>42</v>
      </c>
      <c r="E991" s="15" t="inlineStr">
        <is>
          <t xml:space="preserve">Luke</t>
        </is>
      </c>
      <c r="F991" s="15">
        <v>14</v>
      </c>
      <c r="G991" s="15" t="inlineStr">
        <is>
          <t xml:space="preserve">v0.7</t>
        </is>
      </c>
      <c r="H991" s="15" t="inlineStr">
        <is>
          <t xml:space="preserve">Bible_Journey_Canon_Map_v0_7_Gospel_Chronology.xlsx</t>
        </is>
      </c>
      <c r="I991" s="15" t="inlineStr">
        <is>
          <t xml:space="preserve">Coverage Index</t>
        </is>
      </c>
      <c r="J991" s="15" t="inlineStr">
        <is>
          <t xml:space="preserve">CRS-07-065</t>
        </is>
      </c>
      <c r="K991" s="15" t="inlineStr">
        <is>
          <t xml:space="preserve">BLK-07-127</t>
        </is>
      </c>
      <c r="L991" s="15"/>
      <c r="M991" s="15" t="inlineStr">
        <is>
          <t xml:space="preserve">All canonical chapters are represented in the v0.7 reading set map; release requires verse-level continuity validation.</t>
        </is>
      </c>
      <c r="N991" s="15"/>
      <c r="O991" s="15">
        <v>1</v>
      </c>
      <c r="P991" s="10" t="str">
        <f>IF(L991="MISSING","MISSING",IF(O991=1,"PASS","DUPLICATE"))</f>
        <v>PASS</v>
      </c>
    </row>
    <row r="992" ht="22" customHeight="1">
      <c r="A992" s="15" t="inlineStr">
        <is>
          <t xml:space="preserve">Luke 15</t>
        </is>
      </c>
      <c r="B992" s="15">
        <v>988</v>
      </c>
      <c r="C992" s="15" t="inlineStr">
        <is>
          <t xml:space="preserve">New Testament</t>
        </is>
      </c>
      <c r="D992" s="15">
        <v>42</v>
      </c>
      <c r="E992" s="15" t="inlineStr">
        <is>
          <t xml:space="preserve">Luke</t>
        </is>
      </c>
      <c r="F992" s="15">
        <v>15</v>
      </c>
      <c r="G992" s="15" t="inlineStr">
        <is>
          <t xml:space="preserve">v0.7</t>
        </is>
      </c>
      <c r="H992" s="15" t="inlineStr">
        <is>
          <t xml:space="preserve">Bible_Journey_Canon_Map_v0_7_Gospel_Chronology.xlsx</t>
        </is>
      </c>
      <c r="I992" s="15" t="inlineStr">
        <is>
          <t xml:space="preserve">Coverage Index</t>
        </is>
      </c>
      <c r="J992" s="15" t="inlineStr">
        <is>
          <t xml:space="preserve">CRS-07-066</t>
        </is>
      </c>
      <c r="K992" s="15" t="inlineStr">
        <is>
          <t xml:space="preserve">BLK-07-128</t>
        </is>
      </c>
      <c r="L992" s="15"/>
      <c r="M992" s="15" t="inlineStr">
        <is>
          <t xml:space="preserve">All canonical chapters are represented in the v0.7 reading set map; release requires verse-level continuity validation.</t>
        </is>
      </c>
      <c r="N992" s="15"/>
      <c r="O992" s="15">
        <v>1</v>
      </c>
      <c r="P992" s="10" t="str">
        <f>IF(L992="MISSING","MISSING",IF(O992=1,"PASS","DUPLICATE"))</f>
        <v>PASS</v>
      </c>
    </row>
    <row r="993" ht="22" customHeight="1">
      <c r="A993" s="15" t="inlineStr">
        <is>
          <t xml:space="preserve">Luke 16</t>
        </is>
      </c>
      <c r="B993" s="15">
        <v>989</v>
      </c>
      <c r="C993" s="15" t="inlineStr">
        <is>
          <t xml:space="preserve">New Testament</t>
        </is>
      </c>
      <c r="D993" s="15">
        <v>42</v>
      </c>
      <c r="E993" s="15" t="inlineStr">
        <is>
          <t xml:space="preserve">Luke</t>
        </is>
      </c>
      <c r="F993" s="15">
        <v>16</v>
      </c>
      <c r="G993" s="15" t="inlineStr">
        <is>
          <t xml:space="preserve">v0.7</t>
        </is>
      </c>
      <c r="H993" s="15" t="inlineStr">
        <is>
          <t xml:space="preserve">Bible_Journey_Canon_Map_v0_7_Gospel_Chronology.xlsx</t>
        </is>
      </c>
      <c r="I993" s="15" t="inlineStr">
        <is>
          <t xml:space="preserve">Coverage Index</t>
        </is>
      </c>
      <c r="J993" s="15" t="inlineStr">
        <is>
          <t xml:space="preserve">CRS-07-067</t>
        </is>
      </c>
      <c r="K993" s="15" t="inlineStr">
        <is>
          <t xml:space="preserve">BLK-07-129</t>
        </is>
      </c>
      <c r="L993" s="15"/>
      <c r="M993" s="15" t="inlineStr">
        <is>
          <t xml:space="preserve">All canonical chapters are represented in the v0.7 reading set map; release requires verse-level continuity validation.</t>
        </is>
      </c>
      <c r="N993" s="15"/>
      <c r="O993" s="15">
        <v>1</v>
      </c>
      <c r="P993" s="10" t="str">
        <f>IF(L993="MISSING","MISSING",IF(O993=1,"PASS","DUPLICATE"))</f>
        <v>PASS</v>
      </c>
    </row>
    <row r="994" ht="22" customHeight="1">
      <c r="A994" s="15" t="inlineStr">
        <is>
          <t xml:space="preserve">Luke 17</t>
        </is>
      </c>
      <c r="B994" s="15">
        <v>990</v>
      </c>
      <c r="C994" s="15" t="inlineStr">
        <is>
          <t xml:space="preserve">New Testament</t>
        </is>
      </c>
      <c r="D994" s="15">
        <v>42</v>
      </c>
      <c r="E994" s="15" t="inlineStr">
        <is>
          <t xml:space="preserve">Luke</t>
        </is>
      </c>
      <c r="F994" s="15">
        <v>17</v>
      </c>
      <c r="G994" s="15" t="inlineStr">
        <is>
          <t xml:space="preserve">v0.7</t>
        </is>
      </c>
      <c r="H994" s="15" t="inlineStr">
        <is>
          <t xml:space="preserve">Bible_Journey_Canon_Map_v0_7_Gospel_Chronology.xlsx</t>
        </is>
      </c>
      <c r="I994" s="15" t="inlineStr">
        <is>
          <t xml:space="preserve">Coverage Index</t>
        </is>
      </c>
      <c r="J994" s="15" t="inlineStr">
        <is>
          <t xml:space="preserve">CRS-07-068</t>
        </is>
      </c>
      <c r="K994" s="15" t="inlineStr">
        <is>
          <t xml:space="preserve">BLK-07-130</t>
        </is>
      </c>
      <c r="L994" s="15"/>
      <c r="M994" s="15" t="inlineStr">
        <is>
          <t xml:space="preserve">All canonical chapters are represented in the v0.7 reading set map; release requires verse-level continuity validation.</t>
        </is>
      </c>
      <c r="N994" s="15"/>
      <c r="O994" s="15">
        <v>1</v>
      </c>
      <c r="P994" s="10" t="str">
        <f>IF(L994="MISSING","MISSING",IF(O994=1,"PASS","DUPLICATE"))</f>
        <v>PASS</v>
      </c>
    </row>
    <row r="995" ht="22" customHeight="1">
      <c r="A995" s="15" t="inlineStr">
        <is>
          <t xml:space="preserve">Luke 18</t>
        </is>
      </c>
      <c r="B995" s="15">
        <v>991</v>
      </c>
      <c r="C995" s="15" t="inlineStr">
        <is>
          <t xml:space="preserve">New Testament</t>
        </is>
      </c>
      <c r="D995" s="15">
        <v>42</v>
      </c>
      <c r="E995" s="15" t="inlineStr">
        <is>
          <t xml:space="preserve">Luke</t>
        </is>
      </c>
      <c r="F995" s="15">
        <v>18</v>
      </c>
      <c r="G995" s="15" t="inlineStr">
        <is>
          <t xml:space="preserve">v0.7</t>
        </is>
      </c>
      <c r="H995" s="15" t="inlineStr">
        <is>
          <t xml:space="preserve">Bible_Journey_Canon_Map_v0_7_Gospel_Chronology.xlsx</t>
        </is>
      </c>
      <c r="I995" s="15" t="inlineStr">
        <is>
          <t xml:space="preserve">Coverage Index</t>
        </is>
      </c>
      <c r="J995" s="15" t="inlineStr">
        <is>
          <t xml:space="preserve">CRS-07-069</t>
        </is>
      </c>
      <c r="K995" s="15" t="inlineStr">
        <is>
          <t xml:space="preserve">BLK-07-131; BLK-07-134; BLK-07-137; BLK-07-140</t>
        </is>
      </c>
      <c r="L995" s="15"/>
      <c r="M995" s="15" t="inlineStr">
        <is>
          <t xml:space="preserve">All canonical chapters are represented in the v0.7 reading set map; release requires verse-level continuity validation.</t>
        </is>
      </c>
      <c r="N995" s="15"/>
      <c r="O995" s="15">
        <v>1</v>
      </c>
      <c r="P995" s="10" t="str">
        <f>IF(L995="MISSING","MISSING",IF(O995=1,"PASS","DUPLICATE"))</f>
        <v>PASS</v>
      </c>
    </row>
    <row r="996" ht="22" customHeight="1">
      <c r="A996" s="15" t="inlineStr">
        <is>
          <t xml:space="preserve">Luke 19</t>
        </is>
      </c>
      <c r="B996" s="15">
        <v>992</v>
      </c>
      <c r="C996" s="15" t="inlineStr">
        <is>
          <t xml:space="preserve">New Testament</t>
        </is>
      </c>
      <c r="D996" s="15">
        <v>42</v>
      </c>
      <c r="E996" s="15" t="inlineStr">
        <is>
          <t xml:space="preserve">Luke</t>
        </is>
      </c>
      <c r="F996" s="15">
        <v>19</v>
      </c>
      <c r="G996" s="15" t="inlineStr">
        <is>
          <t xml:space="preserve">v0.7</t>
        </is>
      </c>
      <c r="H996" s="15" t="inlineStr">
        <is>
          <t xml:space="preserve">Bible_Journey_Canon_Map_v0_7_Gospel_Chronology.xlsx</t>
        </is>
      </c>
      <c r="I996" s="15" t="inlineStr">
        <is>
          <t xml:space="preserve">Coverage Index</t>
        </is>
      </c>
      <c r="J996" s="15" t="inlineStr">
        <is>
          <t xml:space="preserve">CRS-07-072</t>
        </is>
      </c>
      <c r="K996" s="15" t="inlineStr">
        <is>
          <t xml:space="preserve">BLK-07-141; BLK-07-148; BLK-07-152</t>
        </is>
      </c>
      <c r="L996" s="15"/>
      <c r="M996" s="15" t="inlineStr">
        <is>
          <t xml:space="preserve">All canonical chapters are represented in the v0.7 reading set map; release requires verse-level continuity validation.</t>
        </is>
      </c>
      <c r="N996" s="15"/>
      <c r="O996" s="15">
        <v>1</v>
      </c>
      <c r="P996" s="10" t="str">
        <f>IF(L996="MISSING","MISSING",IF(O996=1,"PASS","DUPLICATE"))</f>
        <v>PASS</v>
      </c>
    </row>
    <row r="997" ht="22" customHeight="1">
      <c r="A997" s="15" t="inlineStr">
        <is>
          <t xml:space="preserve">Luke 20</t>
        </is>
      </c>
      <c r="B997" s="15">
        <v>993</v>
      </c>
      <c r="C997" s="15" t="inlineStr">
        <is>
          <t xml:space="preserve">New Testament</t>
        </is>
      </c>
      <c r="D997" s="15">
        <v>42</v>
      </c>
      <c r="E997" s="15" t="inlineStr">
        <is>
          <t xml:space="preserve">Luke</t>
        </is>
      </c>
      <c r="F997" s="15">
        <v>20</v>
      </c>
      <c r="G997" s="15" t="inlineStr">
        <is>
          <t xml:space="preserve">v0.7</t>
        </is>
      </c>
      <c r="H997" s="15" t="inlineStr">
        <is>
          <t xml:space="preserve">Bible_Journey_Canon_Map_v0_7_Gospel_Chronology.xlsx</t>
        </is>
      </c>
      <c r="I997" s="15" t="inlineStr">
        <is>
          <t xml:space="preserve">Coverage Index</t>
        </is>
      </c>
      <c r="J997" s="15" t="inlineStr">
        <is>
          <t xml:space="preserve">CRS-07-077</t>
        </is>
      </c>
      <c r="K997" s="15" t="inlineStr">
        <is>
          <t xml:space="preserve">BLK-07-155</t>
        </is>
      </c>
      <c r="L997" s="15"/>
      <c r="M997" s="15" t="inlineStr">
        <is>
          <t xml:space="preserve">All canonical chapters are represented in the v0.7 reading set map; release requires verse-level continuity validation.</t>
        </is>
      </c>
      <c r="N997" s="15"/>
      <c r="O997" s="15">
        <v>1</v>
      </c>
      <c r="P997" s="10" t="str">
        <f>IF(L997="MISSING","MISSING",IF(O997=1,"PASS","DUPLICATE"))</f>
        <v>PASS</v>
      </c>
    </row>
    <row r="998" ht="22" customHeight="1">
      <c r="A998" s="15" t="inlineStr">
        <is>
          <t xml:space="preserve">Luke 21</t>
        </is>
      </c>
      <c r="B998" s="15">
        <v>994</v>
      </c>
      <c r="C998" s="15" t="inlineStr">
        <is>
          <t xml:space="preserve">New Testament</t>
        </is>
      </c>
      <c r="D998" s="15">
        <v>42</v>
      </c>
      <c r="E998" s="15" t="inlineStr">
        <is>
          <t xml:space="preserve">Luke</t>
        </is>
      </c>
      <c r="F998" s="15">
        <v>21</v>
      </c>
      <c r="G998" s="15" t="inlineStr">
        <is>
          <t xml:space="preserve">v0.7</t>
        </is>
      </c>
      <c r="H998" s="15" t="inlineStr">
        <is>
          <t xml:space="preserve">Bible_Journey_Canon_Map_v0_7_Gospel_Chronology.xlsx</t>
        </is>
      </c>
      <c r="I998" s="15" t="inlineStr">
        <is>
          <t xml:space="preserve">Coverage Index</t>
        </is>
      </c>
      <c r="J998" s="15" t="inlineStr">
        <is>
          <t xml:space="preserve">CRS-07-077</t>
        </is>
      </c>
      <c r="K998" s="15" t="inlineStr">
        <is>
          <t xml:space="preserve">BLK-07-155; BLK-07-159; BLK-07-201</t>
        </is>
      </c>
      <c r="L998" s="15"/>
      <c r="M998" s="15" t="inlineStr">
        <is>
          <t xml:space="preserve">All canonical chapters are represented in the v0.7 reading set map; release requires verse-level continuity validation.</t>
        </is>
      </c>
      <c r="N998" s="15"/>
      <c r="O998" s="15">
        <v>1</v>
      </c>
      <c r="P998" s="10" t="str">
        <f>IF(L998="MISSING","MISSING",IF(O998=1,"PASS","DUPLICATE"))</f>
        <v>PASS</v>
      </c>
    </row>
    <row r="999" ht="22" customHeight="1">
      <c r="A999" s="15" t="inlineStr">
        <is>
          <t xml:space="preserve">Luke 22</t>
        </is>
      </c>
      <c r="B999" s="15">
        <v>995</v>
      </c>
      <c r="C999" s="15" t="inlineStr">
        <is>
          <t xml:space="preserve">New Testament</t>
        </is>
      </c>
      <c r="D999" s="15">
        <v>42</v>
      </c>
      <c r="E999" s="15" t="inlineStr">
        <is>
          <t xml:space="preserve">Luke</t>
        </is>
      </c>
      <c r="F999" s="15">
        <v>22</v>
      </c>
      <c r="G999" s="15" t="inlineStr">
        <is>
          <t xml:space="preserve">v0.7</t>
        </is>
      </c>
      <c r="H999" s="15" t="inlineStr">
        <is>
          <t xml:space="preserve">Bible_Journey_Canon_Map_v0_7_Gospel_Chronology.xlsx</t>
        </is>
      </c>
      <c r="I999" s="15" t="inlineStr">
        <is>
          <t xml:space="preserve">Coverage Index</t>
        </is>
      </c>
      <c r="J999" s="15" t="inlineStr">
        <is>
          <t xml:space="preserve">CRS-07-080</t>
        </is>
      </c>
      <c r="K999" s="15" t="inlineStr">
        <is>
          <t xml:space="preserve">BLK-07-162; BLK-07-165; BLK-07-169; BLK-07-173</t>
        </is>
      </c>
      <c r="L999" s="15"/>
      <c r="M999" s="15" t="inlineStr">
        <is>
          <t xml:space="preserve">All canonical chapters are represented in the v0.7 reading set map; release requires verse-level continuity validation.</t>
        </is>
      </c>
      <c r="N999" s="15"/>
      <c r="O999" s="15">
        <v>1</v>
      </c>
      <c r="P999" s="10" t="str">
        <f>IF(L999="MISSING","MISSING",IF(O999=1,"PASS","DUPLICATE"))</f>
        <v>PASS</v>
      </c>
    </row>
    <row r="1000" ht="22" customHeight="1">
      <c r="A1000" s="15" t="inlineStr">
        <is>
          <t xml:space="preserve">Luke 23</t>
        </is>
      </c>
      <c r="B1000" s="15">
        <v>996</v>
      </c>
      <c r="C1000" s="15" t="inlineStr">
        <is>
          <t xml:space="preserve">New Testament</t>
        </is>
      </c>
      <c r="D1000" s="15">
        <v>42</v>
      </c>
      <c r="E1000" s="15" t="inlineStr">
        <is>
          <t xml:space="preserve">Luke</t>
        </is>
      </c>
      <c r="F1000" s="15">
        <v>23</v>
      </c>
      <c r="G1000" s="15" t="inlineStr">
        <is>
          <t xml:space="preserve">v0.7</t>
        </is>
      </c>
      <c r="H1000" s="15" t="inlineStr">
        <is>
          <t xml:space="preserve">Bible_Journey_Canon_Map_v0_7_Gospel_Chronology.xlsx</t>
        </is>
      </c>
      <c r="I1000" s="15" t="inlineStr">
        <is>
          <t xml:space="preserve">Coverage Index</t>
        </is>
      </c>
      <c r="J1000" s="15" t="inlineStr">
        <is>
          <t xml:space="preserve">CRS-07-085</t>
        </is>
      </c>
      <c r="K1000" s="15" t="inlineStr">
        <is>
          <t xml:space="preserve">BLK-07-177; BLK-07-181; BLK-07-185</t>
        </is>
      </c>
      <c r="L1000" s="15"/>
      <c r="M1000" s="15" t="inlineStr">
        <is>
          <t xml:space="preserve">All canonical chapters are represented in the v0.7 reading set map; release requires verse-level continuity validation.</t>
        </is>
      </c>
      <c r="N1000" s="15"/>
      <c r="O1000" s="15">
        <v>1</v>
      </c>
      <c r="P1000" s="10" t="str">
        <f>IF(L1000="MISSING","MISSING",IF(O1000=1,"PASS","DUPLICATE"))</f>
        <v>PASS</v>
      </c>
    </row>
    <row r="1001" ht="22" customHeight="1">
      <c r="A1001" s="15" t="inlineStr">
        <is>
          <t xml:space="preserve">Luke 24</t>
        </is>
      </c>
      <c r="B1001" s="15">
        <v>997</v>
      </c>
      <c r="C1001" s="15" t="inlineStr">
        <is>
          <t xml:space="preserve">New Testament</t>
        </is>
      </c>
      <c r="D1001" s="15">
        <v>42</v>
      </c>
      <c r="E1001" s="15" t="inlineStr">
        <is>
          <t xml:space="preserve">Luke</t>
        </is>
      </c>
      <c r="F1001" s="15">
        <v>24</v>
      </c>
      <c r="G1001" s="15" t="inlineStr">
        <is>
          <t xml:space="preserve">v0.7</t>
        </is>
      </c>
      <c r="H1001" s="15" t="inlineStr">
        <is>
          <t xml:space="preserve">Bible_Journey_Canon_Map_v0_7_Gospel_Chronology.xlsx</t>
        </is>
      </c>
      <c r="I1001" s="15" t="inlineStr">
        <is>
          <t xml:space="preserve">Coverage Index</t>
        </is>
      </c>
      <c r="J1001" s="15" t="inlineStr">
        <is>
          <t xml:space="preserve">CRS-07-088</t>
        </is>
      </c>
      <c r="K1001" s="15" t="inlineStr">
        <is>
          <t xml:space="preserve">BLK-07-189; BLK-07-192</t>
        </is>
      </c>
      <c r="L1001" s="15"/>
      <c r="M1001" s="15" t="inlineStr">
        <is>
          <t xml:space="preserve">All canonical chapters are represented in the v0.7 reading set map; release requires verse-level continuity validation.</t>
        </is>
      </c>
      <c r="N1001" s="15"/>
      <c r="O1001" s="15">
        <v>1</v>
      </c>
      <c r="P1001" s="10" t="str">
        <f>IF(L1001="MISSING","MISSING",IF(O1001=1,"PASS","DUPLICATE"))</f>
        <v>PASS</v>
      </c>
    </row>
    <row r="1002" ht="22" customHeight="1">
      <c r="A1002" s="15" t="inlineStr">
        <is>
          <t xml:space="preserve">John 1</t>
        </is>
      </c>
      <c r="B1002" s="15">
        <v>998</v>
      </c>
      <c r="C1002" s="15" t="inlineStr">
        <is>
          <t xml:space="preserve">New Testament</t>
        </is>
      </c>
      <c r="D1002" s="15">
        <v>43</v>
      </c>
      <c r="E1002" s="15" t="inlineStr">
        <is>
          <t xml:space="preserve">John</t>
        </is>
      </c>
      <c r="F1002" s="15">
        <v>1</v>
      </c>
      <c r="G1002" s="15" t="inlineStr">
        <is>
          <t xml:space="preserve">v0.7</t>
        </is>
      </c>
      <c r="H1002" s="15" t="inlineStr">
        <is>
          <t xml:space="preserve">Bible_Journey_Canon_Map_v0_7_Gospel_Chronology.xlsx</t>
        </is>
      </c>
      <c r="I1002" s="15" t="inlineStr">
        <is>
          <t xml:space="preserve">Coverage Index</t>
        </is>
      </c>
      <c r="J1002" s="15" t="inlineStr">
        <is>
          <t xml:space="preserve">CRS-07-002</t>
        </is>
      </c>
      <c r="K1002" s="15" t="inlineStr">
        <is>
          <t xml:space="preserve">BLK-07-002; BLK-07-009; BLK-07-017</t>
        </is>
      </c>
      <c r="L1002" s="15"/>
      <c r="M1002" s="15" t="inlineStr">
        <is>
          <t xml:space="preserve">All canonical chapters are represented in the v0.7 reading set map; release requires verse-level continuity validation.</t>
        </is>
      </c>
      <c r="N1002" s="15"/>
      <c r="O1002" s="15">
        <v>1</v>
      </c>
      <c r="P1002" s="10" t="str">
        <f>IF(L1002="MISSING","MISSING",IF(O1002=1,"PASS","DUPLICATE"))</f>
        <v>PASS</v>
      </c>
    </row>
    <row r="1003" ht="22" customHeight="1">
      <c r="A1003" s="15" t="inlineStr">
        <is>
          <t xml:space="preserve">John 2</t>
        </is>
      </c>
      <c r="B1003" s="15">
        <v>999</v>
      </c>
      <c r="C1003" s="15" t="inlineStr">
        <is>
          <t xml:space="preserve">New Testament</t>
        </is>
      </c>
      <c r="D1003" s="15">
        <v>43</v>
      </c>
      <c r="E1003" s="15" t="inlineStr">
        <is>
          <t xml:space="preserve">John</t>
        </is>
      </c>
      <c r="F1003" s="15">
        <v>2</v>
      </c>
      <c r="G1003" s="15" t="inlineStr">
        <is>
          <t xml:space="preserve">v0.7</t>
        </is>
      </c>
      <c r="H1003" s="15" t="inlineStr">
        <is>
          <t xml:space="preserve">Bible_Journey_Canon_Map_v0_7_Gospel_Chronology.xlsx</t>
        </is>
      </c>
      <c r="I1003" s="15" t="inlineStr">
        <is>
          <t xml:space="preserve">Coverage Index</t>
        </is>
      </c>
      <c r="J1003" s="15" t="inlineStr">
        <is>
          <t xml:space="preserve">CRS-07-013</t>
        </is>
      </c>
      <c r="K1003" s="15" t="inlineStr">
        <is>
          <t xml:space="preserve">BLK-07-018; BLK-07-019</t>
        </is>
      </c>
      <c r="L1003" s="15"/>
      <c r="M1003" s="15" t="inlineStr">
        <is>
          <t xml:space="preserve">All canonical chapters are represented in the v0.7 reading set map; release requires verse-level continuity validation.</t>
        </is>
      </c>
      <c r="N1003" s="15"/>
      <c r="O1003" s="15">
        <v>1</v>
      </c>
      <c r="P1003" s="10" t="str">
        <f>IF(L1003="MISSING","MISSING",IF(O1003=1,"PASS","DUPLICATE"))</f>
        <v>PASS</v>
      </c>
    </row>
    <row r="1004" ht="22" customHeight="1">
      <c r="A1004" s="15" t="inlineStr">
        <is>
          <t xml:space="preserve">John 3</t>
        </is>
      </c>
      <c r="B1004" s="15">
        <v>1000</v>
      </c>
      <c r="C1004" s="15" t="inlineStr">
        <is>
          <t xml:space="preserve">New Testament</t>
        </is>
      </c>
      <c r="D1004" s="15">
        <v>43</v>
      </c>
      <c r="E1004" s="15" t="inlineStr">
        <is>
          <t xml:space="preserve">John</t>
        </is>
      </c>
      <c r="F1004" s="15">
        <v>3</v>
      </c>
      <c r="G1004" s="15" t="inlineStr">
        <is>
          <t xml:space="preserve">v0.7</t>
        </is>
      </c>
      <c r="H1004" s="15" t="inlineStr">
        <is>
          <t xml:space="preserve">Bible_Journey_Canon_Map_v0_7_Gospel_Chronology.xlsx</t>
        </is>
      </c>
      <c r="I1004" s="15" t="inlineStr">
        <is>
          <t xml:space="preserve">Coverage Index</t>
        </is>
      </c>
      <c r="J1004" s="15" t="inlineStr">
        <is>
          <t xml:space="preserve">CRS-07-015</t>
        </is>
      </c>
      <c r="K1004" s="15" t="inlineStr">
        <is>
          <t xml:space="preserve">BLK-07-020; BLK-07-021</t>
        </is>
      </c>
      <c r="L1004" s="15"/>
      <c r="M1004" s="15" t="inlineStr">
        <is>
          <t xml:space="preserve">All canonical chapters are represented in the v0.7 reading set map; release requires verse-level continuity validation.</t>
        </is>
      </c>
      <c r="N1004" s="15"/>
      <c r="O1004" s="15">
        <v>1</v>
      </c>
      <c r="P1004" s="10" t="str">
        <f>IF(L1004="MISSING","MISSING",IF(O1004=1,"PASS","DUPLICATE"))</f>
        <v>PASS</v>
      </c>
    </row>
    <row r="1005" ht="22" customHeight="1">
      <c r="A1005" s="15" t="inlineStr">
        <is>
          <t xml:space="preserve">John 4</t>
        </is>
      </c>
      <c r="B1005" s="15">
        <v>1001</v>
      </c>
      <c r="C1005" s="15" t="inlineStr">
        <is>
          <t xml:space="preserve">New Testament</t>
        </is>
      </c>
      <c r="D1005" s="15">
        <v>43</v>
      </c>
      <c r="E1005" s="15" t="inlineStr">
        <is>
          <t xml:space="preserve">John</t>
        </is>
      </c>
      <c r="F1005" s="15">
        <v>4</v>
      </c>
      <c r="G1005" s="15" t="inlineStr">
        <is>
          <t xml:space="preserve">v0.7</t>
        </is>
      </c>
      <c r="H1005" s="15" t="inlineStr">
        <is>
          <t xml:space="preserve">Bible_Journey_Canon_Map_v0_7_Gospel_Chronology.xlsx</t>
        </is>
      </c>
      <c r="I1005" s="15" t="inlineStr">
        <is>
          <t xml:space="preserve">Coverage Index</t>
        </is>
      </c>
      <c r="J1005" s="15" t="inlineStr">
        <is>
          <t xml:space="preserve">CRS-07-017</t>
        </is>
      </c>
      <c r="K1005" s="15" t="inlineStr">
        <is>
          <t xml:space="preserve">BLK-07-022; BLK-07-025</t>
        </is>
      </c>
      <c r="L1005" s="15"/>
      <c r="M1005" s="15" t="inlineStr">
        <is>
          <t xml:space="preserve">All canonical chapters are represented in the v0.7 reading set map; release requires verse-level continuity validation.</t>
        </is>
      </c>
      <c r="N1005" s="15"/>
      <c r="O1005" s="15">
        <v>1</v>
      </c>
      <c r="P1005" s="10" t="str">
        <f>IF(L1005="MISSING","MISSING",IF(O1005=1,"PASS","DUPLICATE"))</f>
        <v>PASS</v>
      </c>
    </row>
    <row r="1006" ht="22" customHeight="1">
      <c r="A1006" s="15" t="inlineStr">
        <is>
          <t xml:space="preserve">John 5</t>
        </is>
      </c>
      <c r="B1006" s="15">
        <v>1002</v>
      </c>
      <c r="C1006" s="15" t="inlineStr">
        <is>
          <t xml:space="preserve">New Testament</t>
        </is>
      </c>
      <c r="D1006" s="15">
        <v>43</v>
      </c>
      <c r="E1006" s="15" t="inlineStr">
        <is>
          <t xml:space="preserve">John</t>
        </is>
      </c>
      <c r="F1006" s="15">
        <v>5</v>
      </c>
      <c r="G1006" s="15" t="inlineStr">
        <is>
          <t xml:space="preserve">v0.7</t>
        </is>
      </c>
      <c r="H1006" s="15" t="inlineStr">
        <is>
          <t xml:space="preserve">Bible_Journey_Canon_Map_v0_7_Gospel_Chronology.xlsx</t>
        </is>
      </c>
      <c r="I1006" s="15" t="inlineStr">
        <is>
          <t xml:space="preserve">Coverage Index</t>
        </is>
      </c>
      <c r="J1006" s="15" t="inlineStr">
        <is>
          <t xml:space="preserve">CRS-07-024</t>
        </is>
      </c>
      <c r="K1006" s="15" t="inlineStr">
        <is>
          <t xml:space="preserve">BLK-07-038</t>
        </is>
      </c>
      <c r="L1006" s="15"/>
      <c r="M1006" s="15" t="inlineStr">
        <is>
          <t xml:space="preserve">All canonical chapters are represented in the v0.7 reading set map; release requires verse-level continuity validation.</t>
        </is>
      </c>
      <c r="N1006" s="15"/>
      <c r="O1006" s="15">
        <v>1</v>
      </c>
      <c r="P1006" s="10" t="str">
        <f>IF(L1006="MISSING","MISSING",IF(O1006=1,"PASS","DUPLICATE"))</f>
        <v>PASS</v>
      </c>
    </row>
    <row r="1007" ht="22" customHeight="1">
      <c r="A1007" s="15" t="inlineStr">
        <is>
          <t xml:space="preserve">John 6</t>
        </is>
      </c>
      <c r="B1007" s="15">
        <v>1003</v>
      </c>
      <c r="C1007" s="15" t="inlineStr">
        <is>
          <t xml:space="preserve">New Testament</t>
        </is>
      </c>
      <c r="D1007" s="15">
        <v>43</v>
      </c>
      <c r="E1007" s="15" t="inlineStr">
        <is>
          <t xml:space="preserve">John</t>
        </is>
      </c>
      <c r="F1007" s="15">
        <v>6</v>
      </c>
      <c r="G1007" s="15" t="inlineStr">
        <is>
          <t xml:space="preserve">v0.7</t>
        </is>
      </c>
      <c r="H1007" s="15" t="inlineStr">
        <is>
          <t xml:space="preserve">Bible_Journey_Canon_Map_v0_7_Gospel_Chronology.xlsx</t>
        </is>
      </c>
      <c r="I1007" s="15" t="inlineStr">
        <is>
          <t xml:space="preserve">Coverage Index</t>
        </is>
      </c>
      <c r="J1007" s="15" t="inlineStr">
        <is>
          <t xml:space="preserve">CRS-07-044</t>
        </is>
      </c>
      <c r="K1007" s="15" t="inlineStr">
        <is>
          <t xml:space="preserve">BLK-07-091; BLK-07-094; BLK-07-095</t>
        </is>
      </c>
      <c r="L1007" s="15"/>
      <c r="M1007" s="15" t="inlineStr">
        <is>
          <t xml:space="preserve">All canonical chapters are represented in the v0.7 reading set map; release requires verse-level continuity validation.</t>
        </is>
      </c>
      <c r="N1007" s="15"/>
      <c r="O1007" s="15">
        <v>1</v>
      </c>
      <c r="P1007" s="10" t="str">
        <f>IF(L1007="MISSING","MISSING",IF(O1007=1,"PASS","DUPLICATE"))</f>
        <v>PASS</v>
      </c>
    </row>
    <row r="1008" ht="22" customHeight="1">
      <c r="A1008" s="15" t="inlineStr">
        <is>
          <t xml:space="preserve">John 7</t>
        </is>
      </c>
      <c r="B1008" s="15">
        <v>1004</v>
      </c>
      <c r="C1008" s="15" t="inlineStr">
        <is>
          <t xml:space="preserve">New Testament</t>
        </is>
      </c>
      <c r="D1008" s="15">
        <v>43</v>
      </c>
      <c r="E1008" s="15" t="inlineStr">
        <is>
          <t xml:space="preserve">John</t>
        </is>
      </c>
      <c r="F1008" s="15">
        <v>7</v>
      </c>
      <c r="G1008" s="15" t="inlineStr">
        <is>
          <t xml:space="preserve">v0.7</t>
        </is>
      </c>
      <c r="H1008" s="15" t="inlineStr">
        <is>
          <t xml:space="preserve">Bible_Journey_Canon_Map_v0_7_Gospel_Chronology.xlsx</t>
        </is>
      </c>
      <c r="I1008" s="15" t="inlineStr">
        <is>
          <t xml:space="preserve">Coverage Index</t>
        </is>
      </c>
      <c r="J1008" s="15" t="inlineStr">
        <is>
          <t xml:space="preserve">CRS-07-055</t>
        </is>
      </c>
      <c r="K1008" s="15" t="inlineStr">
        <is>
          <t xml:space="preserve">BLK-07-116; BLK-07-117</t>
        </is>
      </c>
      <c r="L1008" s="15"/>
      <c r="M1008" s="15" t="inlineStr">
        <is>
          <t xml:space="preserve">All canonical chapters are represented in the v0.7 reading set map; release requires verse-level continuity validation.</t>
        </is>
      </c>
      <c r="N1008" s="15"/>
      <c r="O1008" s="15">
        <v>1</v>
      </c>
      <c r="P1008" s="10" t="str">
        <f>IF(L1008="MISSING","MISSING",IF(O1008=1,"PASS","DUPLICATE"))</f>
        <v>PASS</v>
      </c>
    </row>
    <row r="1009" ht="22" customHeight="1">
      <c r="A1009" s="15" t="inlineStr">
        <is>
          <t xml:space="preserve">John 8</t>
        </is>
      </c>
      <c r="B1009" s="15">
        <v>1005</v>
      </c>
      <c r="C1009" s="15" t="inlineStr">
        <is>
          <t xml:space="preserve">New Testament</t>
        </is>
      </c>
      <c r="D1009" s="15">
        <v>43</v>
      </c>
      <c r="E1009" s="15" t="inlineStr">
        <is>
          <t xml:space="preserve">John</t>
        </is>
      </c>
      <c r="F1009" s="15">
        <v>8</v>
      </c>
      <c r="G1009" s="15" t="inlineStr">
        <is>
          <t xml:space="preserve">v0.7</t>
        </is>
      </c>
      <c r="H1009" s="15" t="inlineStr">
        <is>
          <t xml:space="preserve">Bible_Journey_Canon_Map_v0_7_Gospel_Chronology.xlsx</t>
        </is>
      </c>
      <c r="I1009" s="15" t="inlineStr">
        <is>
          <t xml:space="preserve">Coverage Index</t>
        </is>
      </c>
      <c r="J1009" s="15" t="inlineStr">
        <is>
          <t xml:space="preserve">CRS-07-056</t>
        </is>
      </c>
      <c r="K1009" s="15" t="inlineStr">
        <is>
          <t xml:space="preserve">BLK-07-117; BLK-07-118</t>
        </is>
      </c>
      <c r="L1009" s="15"/>
      <c r="M1009" s="15" t="inlineStr">
        <is>
          <t xml:space="preserve">All canonical chapters are represented in the v0.7 reading set map; release requires verse-level continuity validation.</t>
        </is>
      </c>
      <c r="N1009" s="15"/>
      <c r="O1009" s="15">
        <v>1</v>
      </c>
      <c r="P1009" s="10" t="str">
        <f>IF(L1009="MISSING","MISSING",IF(O1009=1,"PASS","DUPLICATE"))</f>
        <v>PASS</v>
      </c>
    </row>
    <row r="1010" ht="22" customHeight="1">
      <c r="A1010" s="15" t="inlineStr">
        <is>
          <t xml:space="preserve">John 9</t>
        </is>
      </c>
      <c r="B1010" s="15">
        <v>1006</v>
      </c>
      <c r="C1010" s="15" t="inlineStr">
        <is>
          <t xml:space="preserve">New Testament</t>
        </is>
      </c>
      <c r="D1010" s="15">
        <v>43</v>
      </c>
      <c r="E1010" s="15" t="inlineStr">
        <is>
          <t xml:space="preserve">John</t>
        </is>
      </c>
      <c r="F1010" s="15">
        <v>9</v>
      </c>
      <c r="G1010" s="15" t="inlineStr">
        <is>
          <t xml:space="preserve">v0.7</t>
        </is>
      </c>
      <c r="H1010" s="15" t="inlineStr">
        <is>
          <t xml:space="preserve">Bible_Journey_Canon_Map_v0_7_Gospel_Chronology.xlsx</t>
        </is>
      </c>
      <c r="I1010" s="15" t="inlineStr">
        <is>
          <t xml:space="preserve">Coverage Index</t>
        </is>
      </c>
      <c r="J1010" s="15" t="inlineStr">
        <is>
          <t xml:space="preserve">CRS-07-057</t>
        </is>
      </c>
      <c r="K1010" s="15" t="inlineStr">
        <is>
          <t xml:space="preserve">BLK-07-119</t>
        </is>
      </c>
      <c r="L1010" s="15"/>
      <c r="M1010" s="15" t="inlineStr">
        <is>
          <t xml:space="preserve">All canonical chapters are represented in the v0.7 reading set map; release requires verse-level continuity validation.</t>
        </is>
      </c>
      <c r="N1010" s="15"/>
      <c r="O1010" s="15">
        <v>1</v>
      </c>
      <c r="P1010" s="10" t="str">
        <f>IF(L1010="MISSING","MISSING",IF(O1010=1,"PASS","DUPLICATE"))</f>
        <v>PASS</v>
      </c>
    </row>
    <row r="1011" ht="22" customHeight="1">
      <c r="A1011" s="15" t="inlineStr">
        <is>
          <t xml:space="preserve">John 10</t>
        </is>
      </c>
      <c r="B1011" s="15">
        <v>1007</v>
      </c>
      <c r="C1011" s="15" t="inlineStr">
        <is>
          <t xml:space="preserve">New Testament</t>
        </is>
      </c>
      <c r="D1011" s="15">
        <v>43</v>
      </c>
      <c r="E1011" s="15" t="inlineStr">
        <is>
          <t xml:space="preserve">John</t>
        </is>
      </c>
      <c r="F1011" s="15">
        <v>10</v>
      </c>
      <c r="G1011" s="15" t="inlineStr">
        <is>
          <t xml:space="preserve">v0.7</t>
        </is>
      </c>
      <c r="H1011" s="15" t="inlineStr">
        <is>
          <t xml:space="preserve">Bible_Journey_Canon_Map_v0_7_Gospel_Chronology.xlsx</t>
        </is>
      </c>
      <c r="I1011" s="15" t="inlineStr">
        <is>
          <t xml:space="preserve">Coverage Index</t>
        </is>
      </c>
      <c r="J1011" s="15" t="inlineStr">
        <is>
          <t xml:space="preserve">CRS-07-058</t>
        </is>
      </c>
      <c r="K1011" s="15" t="inlineStr">
        <is>
          <t xml:space="preserve">BLK-07-120; BLK-07-121</t>
        </is>
      </c>
      <c r="L1011" s="15"/>
      <c r="M1011" s="15" t="inlineStr">
        <is>
          <t xml:space="preserve">All canonical chapters are represented in the v0.7 reading set map; release requires verse-level continuity validation.</t>
        </is>
      </c>
      <c r="N1011" s="15"/>
      <c r="O1011" s="15">
        <v>1</v>
      </c>
      <c r="P1011" s="10" t="str">
        <f>IF(L1011="MISSING","MISSING",IF(O1011=1,"PASS","DUPLICATE"))</f>
        <v>PASS</v>
      </c>
    </row>
    <row r="1012" ht="22" customHeight="1">
      <c r="A1012" s="15" t="inlineStr">
        <is>
          <t xml:space="preserve">John 11</t>
        </is>
      </c>
      <c r="B1012" s="15">
        <v>1008</v>
      </c>
      <c r="C1012" s="15" t="inlineStr">
        <is>
          <t xml:space="preserve">New Testament</t>
        </is>
      </c>
      <c r="D1012" s="15">
        <v>43</v>
      </c>
      <c r="E1012" s="15" t="inlineStr">
        <is>
          <t xml:space="preserve">John</t>
        </is>
      </c>
      <c r="F1012" s="15">
        <v>11</v>
      </c>
      <c r="G1012" s="15" t="inlineStr">
        <is>
          <t xml:space="preserve">v0.7</t>
        </is>
      </c>
      <c r="H1012" s="15" t="inlineStr">
        <is>
          <t xml:space="preserve">Bible_Journey_Canon_Map_v0_7_Gospel_Chronology.xlsx</t>
        </is>
      </c>
      <c r="I1012" s="15" t="inlineStr">
        <is>
          <t xml:space="preserve">Coverage Index</t>
        </is>
      </c>
      <c r="J1012" s="15" t="inlineStr">
        <is>
          <t xml:space="preserve">CRS-07-073</t>
        </is>
      </c>
      <c r="K1012" s="15" t="inlineStr">
        <is>
          <t xml:space="preserve">BLK-07-142; BLK-07-202</t>
        </is>
      </c>
      <c r="L1012" s="15"/>
      <c r="M1012" s="15" t="inlineStr">
        <is>
          <t xml:space="preserve">All canonical chapters are represented in the v0.7 reading set map; release requires verse-level continuity validation.</t>
        </is>
      </c>
      <c r="N1012" s="15"/>
      <c r="O1012" s="15">
        <v>1</v>
      </c>
      <c r="P1012" s="10" t="str">
        <f>IF(L1012="MISSING","MISSING",IF(O1012=1,"PASS","DUPLICATE"))</f>
        <v>PASS</v>
      </c>
    </row>
    <row r="1013" ht="22" customHeight="1">
      <c r="A1013" s="15" t="inlineStr">
        <is>
          <t xml:space="preserve">John 12</t>
        </is>
      </c>
      <c r="B1013" s="15">
        <v>1009</v>
      </c>
      <c r="C1013" s="15" t="inlineStr">
        <is>
          <t xml:space="preserve">New Testament</t>
        </is>
      </c>
      <c r="D1013" s="15">
        <v>43</v>
      </c>
      <c r="E1013" s="15" t="inlineStr">
        <is>
          <t xml:space="preserve">John</t>
        </is>
      </c>
      <c r="F1013" s="15">
        <v>12</v>
      </c>
      <c r="G1013" s="15" t="inlineStr">
        <is>
          <t xml:space="preserve">v0.7</t>
        </is>
      </c>
      <c r="H1013" s="15" t="inlineStr">
        <is>
          <t xml:space="preserve">Bible_Journey_Canon_Map_v0_7_Gospel_Chronology.xlsx</t>
        </is>
      </c>
      <c r="I1013" s="15" t="inlineStr">
        <is>
          <t xml:space="preserve">Coverage Index</t>
        </is>
      </c>
      <c r="J1013" s="15" t="inlineStr">
        <is>
          <t xml:space="preserve">CRS-07-074</t>
        </is>
      </c>
      <c r="K1013" s="15" t="inlineStr">
        <is>
          <t xml:space="preserve">BLK-07-143; BLK-07-149; BLK-07-156</t>
        </is>
      </c>
      <c r="L1013" s="15"/>
      <c r="M1013" s="15" t="inlineStr">
        <is>
          <t xml:space="preserve">All canonical chapters are represented in the v0.7 reading set map; release requires verse-level continuity validation.</t>
        </is>
      </c>
      <c r="N1013" s="15"/>
      <c r="O1013" s="15">
        <v>1</v>
      </c>
      <c r="P1013" s="10" t="str">
        <f>IF(L1013="MISSING","MISSING",IF(O1013=1,"PASS","DUPLICATE"))</f>
        <v>PASS</v>
      </c>
    </row>
    <row r="1014" ht="22" customHeight="1">
      <c r="A1014" s="15" t="inlineStr">
        <is>
          <t xml:space="preserve">John 13</t>
        </is>
      </c>
      <c r="B1014" s="15">
        <v>1010</v>
      </c>
      <c r="C1014" s="15" t="inlineStr">
        <is>
          <t xml:space="preserve">New Testament</t>
        </is>
      </c>
      <c r="D1014" s="15">
        <v>43</v>
      </c>
      <c r="E1014" s="15" t="inlineStr">
        <is>
          <t xml:space="preserve">John</t>
        </is>
      </c>
      <c r="F1014" s="15">
        <v>13</v>
      </c>
      <c r="G1014" s="15" t="inlineStr">
        <is>
          <t xml:space="preserve">v0.7</t>
        </is>
      </c>
      <c r="H1014" s="15" t="inlineStr">
        <is>
          <t xml:space="preserve">Bible_Journey_Canon_Map_v0_7_Gospel_Chronology.xlsx</t>
        </is>
      </c>
      <c r="I1014" s="15" t="inlineStr">
        <is>
          <t xml:space="preserve">Coverage Index</t>
        </is>
      </c>
      <c r="J1014" s="15" t="inlineStr">
        <is>
          <t xml:space="preserve">CRS-07-082</t>
        </is>
      </c>
      <c r="K1014" s="15" t="inlineStr">
        <is>
          <t xml:space="preserve">BLK-07-166</t>
        </is>
      </c>
      <c r="L1014" s="15"/>
      <c r="M1014" s="15" t="inlineStr">
        <is>
          <t xml:space="preserve">All canonical chapters are represented in the v0.7 reading set map; release requires verse-level continuity validation.</t>
        </is>
      </c>
      <c r="N1014" s="15"/>
      <c r="O1014" s="15">
        <v>1</v>
      </c>
      <c r="P1014" s="10" t="str">
        <f>IF(L1014="MISSING","MISSING",IF(O1014=1,"PASS","DUPLICATE"))</f>
        <v>PASS</v>
      </c>
    </row>
    <row r="1015" ht="22" customHeight="1">
      <c r="A1015" s="15" t="inlineStr">
        <is>
          <t xml:space="preserve">John 14</t>
        </is>
      </c>
      <c r="B1015" s="15">
        <v>1011</v>
      </c>
      <c r="C1015" s="15" t="inlineStr">
        <is>
          <t xml:space="preserve">New Testament</t>
        </is>
      </c>
      <c r="D1015" s="15">
        <v>43</v>
      </c>
      <c r="E1015" s="15" t="inlineStr">
        <is>
          <t xml:space="preserve">John</t>
        </is>
      </c>
      <c r="F1015" s="15">
        <v>14</v>
      </c>
      <c r="G1015" s="15" t="inlineStr">
        <is>
          <t xml:space="preserve">v0.7</t>
        </is>
      </c>
      <c r="H1015" s="15" t="inlineStr">
        <is>
          <t xml:space="preserve">Bible_Journey_Canon_Map_v0_7_Gospel_Chronology.xlsx</t>
        </is>
      </c>
      <c r="I1015" s="15" t="inlineStr">
        <is>
          <t xml:space="preserve">Coverage Index</t>
        </is>
      </c>
      <c r="J1015" s="15" t="inlineStr">
        <is>
          <t xml:space="preserve">CRS-07-082</t>
        </is>
      </c>
      <c r="K1015" s="15" t="inlineStr">
        <is>
          <t xml:space="preserve">BLK-07-166</t>
        </is>
      </c>
      <c r="L1015" s="15"/>
      <c r="M1015" s="15" t="inlineStr">
        <is>
          <t xml:space="preserve">All canonical chapters are represented in the v0.7 reading set map; release requires verse-level continuity validation.</t>
        </is>
      </c>
      <c r="N1015" s="15"/>
      <c r="O1015" s="15">
        <v>1</v>
      </c>
      <c r="P1015" s="10" t="str">
        <f>IF(L1015="MISSING","MISSING",IF(O1015=1,"PASS","DUPLICATE"))</f>
        <v>PASS</v>
      </c>
    </row>
    <row r="1016" ht="22" customHeight="1">
      <c r="A1016" s="15" t="inlineStr">
        <is>
          <t xml:space="preserve">John 15</t>
        </is>
      </c>
      <c r="B1016" s="15">
        <v>1012</v>
      </c>
      <c r="C1016" s="15" t="inlineStr">
        <is>
          <t xml:space="preserve">New Testament</t>
        </is>
      </c>
      <c r="D1016" s="15">
        <v>43</v>
      </c>
      <c r="E1016" s="15" t="inlineStr">
        <is>
          <t xml:space="preserve">John</t>
        </is>
      </c>
      <c r="F1016" s="15">
        <v>15</v>
      </c>
      <c r="G1016" s="15" t="inlineStr">
        <is>
          <t xml:space="preserve">v0.7</t>
        </is>
      </c>
      <c r="H1016" s="15" t="inlineStr">
        <is>
          <t xml:space="preserve">Bible_Journey_Canon_Map_v0_7_Gospel_Chronology.xlsx</t>
        </is>
      </c>
      <c r="I1016" s="15" t="inlineStr">
        <is>
          <t xml:space="preserve">Coverage Index</t>
        </is>
      </c>
      <c r="J1016" s="15" t="inlineStr">
        <is>
          <t xml:space="preserve">CRS-07-082</t>
        </is>
      </c>
      <c r="K1016" s="15" t="inlineStr">
        <is>
          <t xml:space="preserve">BLK-07-166</t>
        </is>
      </c>
      <c r="L1016" s="15"/>
      <c r="M1016" s="15" t="inlineStr">
        <is>
          <t xml:space="preserve">All canonical chapters are represented in the v0.7 reading set map; release requires verse-level continuity validation.</t>
        </is>
      </c>
      <c r="N1016" s="15"/>
      <c r="O1016" s="15">
        <v>1</v>
      </c>
      <c r="P1016" s="10" t="str">
        <f>IF(L1016="MISSING","MISSING",IF(O1016=1,"PASS","DUPLICATE"))</f>
        <v>PASS</v>
      </c>
    </row>
    <row r="1017" ht="22" customHeight="1">
      <c r="A1017" s="15" t="inlineStr">
        <is>
          <t xml:space="preserve">John 16</t>
        </is>
      </c>
      <c r="B1017" s="15">
        <v>1013</v>
      </c>
      <c r="C1017" s="15" t="inlineStr">
        <is>
          <t xml:space="preserve">New Testament</t>
        </is>
      </c>
      <c r="D1017" s="15">
        <v>43</v>
      </c>
      <c r="E1017" s="15" t="inlineStr">
        <is>
          <t xml:space="preserve">John</t>
        </is>
      </c>
      <c r="F1017" s="15">
        <v>16</v>
      </c>
      <c r="G1017" s="15" t="inlineStr">
        <is>
          <t xml:space="preserve">v0.7</t>
        </is>
      </c>
      <c r="H1017" s="15" t="inlineStr">
        <is>
          <t xml:space="preserve">Bible_Journey_Canon_Map_v0_7_Gospel_Chronology.xlsx</t>
        </is>
      </c>
      <c r="I1017" s="15" t="inlineStr">
        <is>
          <t xml:space="preserve">Coverage Index</t>
        </is>
      </c>
      <c r="J1017" s="15" t="inlineStr">
        <is>
          <t xml:space="preserve">CRS-07-082</t>
        </is>
      </c>
      <c r="K1017" s="15" t="inlineStr">
        <is>
          <t xml:space="preserve">BLK-07-166</t>
        </is>
      </c>
      <c r="L1017" s="15"/>
      <c r="M1017" s="15" t="inlineStr">
        <is>
          <t xml:space="preserve">All canonical chapters are represented in the v0.7 reading set map; release requires verse-level continuity validation.</t>
        </is>
      </c>
      <c r="N1017" s="15"/>
      <c r="O1017" s="15">
        <v>1</v>
      </c>
      <c r="P1017" s="10" t="str">
        <f>IF(L1017="MISSING","MISSING",IF(O1017=1,"PASS","DUPLICATE"))</f>
        <v>PASS</v>
      </c>
    </row>
    <row r="1018" ht="22" customHeight="1">
      <c r="A1018" s="15" t="inlineStr">
        <is>
          <t xml:space="preserve">John 17</t>
        </is>
      </c>
      <c r="B1018" s="15">
        <v>1014</v>
      </c>
      <c r="C1018" s="15" t="inlineStr">
        <is>
          <t xml:space="preserve">New Testament</t>
        </is>
      </c>
      <c r="D1018" s="15">
        <v>43</v>
      </c>
      <c r="E1018" s="15" t="inlineStr">
        <is>
          <t xml:space="preserve">John</t>
        </is>
      </c>
      <c r="F1018" s="15">
        <v>17</v>
      </c>
      <c r="G1018" s="15" t="inlineStr">
        <is>
          <t xml:space="preserve">v0.7</t>
        </is>
      </c>
      <c r="H1018" s="15" t="inlineStr">
        <is>
          <t xml:space="preserve">Bible_Journey_Canon_Map_v0_7_Gospel_Chronology.xlsx</t>
        </is>
      </c>
      <c r="I1018" s="15" t="inlineStr">
        <is>
          <t xml:space="preserve">Coverage Index</t>
        </is>
      </c>
      <c r="J1018" s="15" t="inlineStr">
        <is>
          <t xml:space="preserve">CRS-07-082</t>
        </is>
      </c>
      <c r="K1018" s="15" t="inlineStr">
        <is>
          <t xml:space="preserve">BLK-07-166</t>
        </is>
      </c>
      <c r="L1018" s="15"/>
      <c r="M1018" s="15" t="inlineStr">
        <is>
          <t xml:space="preserve">All canonical chapters are represented in the v0.7 reading set map; release requires verse-level continuity validation.</t>
        </is>
      </c>
      <c r="N1018" s="15"/>
      <c r="O1018" s="15">
        <v>1</v>
      </c>
      <c r="P1018" s="10" t="str">
        <f>IF(L1018="MISSING","MISSING",IF(O1018=1,"PASS","DUPLICATE"))</f>
        <v>PASS</v>
      </c>
    </row>
    <row r="1019" ht="22" customHeight="1">
      <c r="A1019" s="15" t="inlineStr">
        <is>
          <t xml:space="preserve">John 18</t>
        </is>
      </c>
      <c r="B1019" s="15">
        <v>1015</v>
      </c>
      <c r="C1019" s="15" t="inlineStr">
        <is>
          <t xml:space="preserve">New Testament</t>
        </is>
      </c>
      <c r="D1019" s="15">
        <v>43</v>
      </c>
      <c r="E1019" s="15" t="inlineStr">
        <is>
          <t xml:space="preserve">John</t>
        </is>
      </c>
      <c r="F1019" s="15">
        <v>18</v>
      </c>
      <c r="G1019" s="15" t="inlineStr">
        <is>
          <t xml:space="preserve">v0.7</t>
        </is>
      </c>
      <c r="H1019" s="15" t="inlineStr">
        <is>
          <t xml:space="preserve">Bible_Journey_Canon_Map_v0_7_Gospel_Chronology.xlsx</t>
        </is>
      </c>
      <c r="I1019" s="15" t="inlineStr">
        <is>
          <t xml:space="preserve">Coverage Index</t>
        </is>
      </c>
      <c r="J1019" s="15" t="inlineStr">
        <is>
          <t xml:space="preserve">CRS-07-083</t>
        </is>
      </c>
      <c r="K1019" s="15" t="inlineStr">
        <is>
          <t xml:space="preserve">BLK-07-170; BLK-07-174; BLK-07-178</t>
        </is>
      </c>
      <c r="L1019" s="15"/>
      <c r="M1019" s="15" t="inlineStr">
        <is>
          <t xml:space="preserve">All canonical chapters are represented in the v0.7 reading set map; release requires verse-level continuity validation.</t>
        </is>
      </c>
      <c r="N1019" s="15"/>
      <c r="O1019" s="15">
        <v>1</v>
      </c>
      <c r="P1019" s="10" t="str">
        <f>IF(L1019="MISSING","MISSING",IF(O1019=1,"PASS","DUPLICATE"))</f>
        <v>PASS</v>
      </c>
    </row>
    <row r="1020" ht="22" customHeight="1">
      <c r="A1020" s="15" t="inlineStr">
        <is>
          <t xml:space="preserve">John 19</t>
        </is>
      </c>
      <c r="B1020" s="15">
        <v>1016</v>
      </c>
      <c r="C1020" s="15" t="inlineStr">
        <is>
          <t xml:space="preserve">New Testament</t>
        </is>
      </c>
      <c r="D1020" s="15">
        <v>43</v>
      </c>
      <c r="E1020" s="15" t="inlineStr">
        <is>
          <t xml:space="preserve">John</t>
        </is>
      </c>
      <c r="F1020" s="15">
        <v>19</v>
      </c>
      <c r="G1020" s="15" t="inlineStr">
        <is>
          <t xml:space="preserve">v0.7</t>
        </is>
      </c>
      <c r="H1020" s="15" t="inlineStr">
        <is>
          <t xml:space="preserve">Bible_Journey_Canon_Map_v0_7_Gospel_Chronology.xlsx</t>
        </is>
      </c>
      <c r="I1020" s="15" t="inlineStr">
        <is>
          <t xml:space="preserve">Coverage Index</t>
        </is>
      </c>
      <c r="J1020" s="15" t="inlineStr">
        <is>
          <t xml:space="preserve">CRS-07-085</t>
        </is>
      </c>
      <c r="K1020" s="15" t="inlineStr">
        <is>
          <t xml:space="preserve">BLK-07-178; BLK-07-182; BLK-07-186</t>
        </is>
      </c>
      <c r="L1020" s="15"/>
      <c r="M1020" s="15" t="inlineStr">
        <is>
          <t xml:space="preserve">All canonical chapters are represented in the v0.7 reading set map; release requires verse-level continuity validation.</t>
        </is>
      </c>
      <c r="N1020" s="15"/>
      <c r="O1020" s="15">
        <v>1</v>
      </c>
      <c r="P1020" s="10" t="str">
        <f>IF(L1020="MISSING","MISSING",IF(O1020=1,"PASS","DUPLICATE"))</f>
        <v>PASS</v>
      </c>
    </row>
    <row r="1021" ht="22" customHeight="1">
      <c r="A1021" s="15" t="inlineStr">
        <is>
          <t xml:space="preserve">John 20</t>
        </is>
      </c>
      <c r="B1021" s="15">
        <v>1017</v>
      </c>
      <c r="C1021" s="15" t="inlineStr">
        <is>
          <t xml:space="preserve">New Testament</t>
        </is>
      </c>
      <c r="D1021" s="15">
        <v>43</v>
      </c>
      <c r="E1021" s="15" t="inlineStr">
        <is>
          <t xml:space="preserve">John</t>
        </is>
      </c>
      <c r="F1021" s="15">
        <v>20</v>
      </c>
      <c r="G1021" s="15" t="inlineStr">
        <is>
          <t xml:space="preserve">v0.7</t>
        </is>
      </c>
      <c r="H1021" s="15" t="inlineStr">
        <is>
          <t xml:space="preserve">Bible_Journey_Canon_Map_v0_7_Gospel_Chronology.xlsx</t>
        </is>
      </c>
      <c r="I1021" s="15" t="inlineStr">
        <is>
          <t xml:space="preserve">Coverage Index</t>
        </is>
      </c>
      <c r="J1021" s="15" t="inlineStr">
        <is>
          <t xml:space="preserve">CRS-07-088</t>
        </is>
      </c>
      <c r="K1021" s="15" t="inlineStr">
        <is>
          <t xml:space="preserve">BLK-07-190; BLK-07-193</t>
        </is>
      </c>
      <c r="L1021" s="15"/>
      <c r="M1021" s="15" t="inlineStr">
        <is>
          <t xml:space="preserve">All canonical chapters are represented in the v0.7 reading set map; release requires verse-level continuity validation.</t>
        </is>
      </c>
      <c r="N1021" s="15"/>
      <c r="O1021" s="15">
        <v>1</v>
      </c>
      <c r="P1021" s="10" t="str">
        <f>IF(L1021="MISSING","MISSING",IF(O1021=1,"PASS","DUPLICATE"))</f>
        <v>PASS</v>
      </c>
    </row>
    <row r="1022" ht="22" customHeight="1">
      <c r="A1022" s="15" t="inlineStr">
        <is>
          <t xml:space="preserve">John 21</t>
        </is>
      </c>
      <c r="B1022" s="15">
        <v>1018</v>
      </c>
      <c r="C1022" s="15" t="inlineStr">
        <is>
          <t xml:space="preserve">New Testament</t>
        </is>
      </c>
      <c r="D1022" s="15">
        <v>43</v>
      </c>
      <c r="E1022" s="15" t="inlineStr">
        <is>
          <t xml:space="preserve">John</t>
        </is>
      </c>
      <c r="F1022" s="15">
        <v>21</v>
      </c>
      <c r="G1022" s="15" t="inlineStr">
        <is>
          <t xml:space="preserve">v0.7</t>
        </is>
      </c>
      <c r="H1022" s="15" t="inlineStr">
        <is>
          <t xml:space="preserve">Bible_Journey_Canon_Map_v0_7_Gospel_Chronology.xlsx</t>
        </is>
      </c>
      <c r="I1022" s="15" t="inlineStr">
        <is>
          <t xml:space="preserve">Coverage Index</t>
        </is>
      </c>
      <c r="J1022" s="15" t="inlineStr">
        <is>
          <t xml:space="preserve">CRS-07-090</t>
        </is>
      </c>
      <c r="K1022" s="15" t="inlineStr">
        <is>
          <t xml:space="preserve">BLK-07-195</t>
        </is>
      </c>
      <c r="L1022" s="15"/>
      <c r="M1022" s="15" t="inlineStr">
        <is>
          <t xml:space="preserve">All canonical chapters are represented in the v0.7 reading set map; release requires verse-level continuity validation.</t>
        </is>
      </c>
      <c r="N1022" s="15"/>
      <c r="O1022" s="15">
        <v>1</v>
      </c>
      <c r="P1022" s="10" t="str">
        <f>IF(L1022="MISSING","MISSING",IF(O1022=1,"PASS","DUPLICATE"))</f>
        <v>PASS</v>
      </c>
    </row>
    <row r="1023" ht="22" customHeight="1">
      <c r="A1023" s="15" t="inlineStr">
        <is>
          <t xml:space="preserve">Acts 1</t>
        </is>
      </c>
      <c r="B1023" s="15">
        <v>1019</v>
      </c>
      <c r="C1023" s="15" t="inlineStr">
        <is>
          <t xml:space="preserve">New Testament</t>
        </is>
      </c>
      <c r="D1023" s="15">
        <v>44</v>
      </c>
      <c r="E1023" s="15" t="inlineStr">
        <is>
          <t xml:space="preserve">Acts</t>
        </is>
      </c>
      <c r="F1023" s="15">
        <v>1</v>
      </c>
      <c r="G1023" s="15" t="inlineStr">
        <is>
          <t xml:space="preserve">v0.8</t>
        </is>
      </c>
      <c r="H1023" s="15" t="inlineStr">
        <is>
          <t xml:space="preserve">Bible_Journey_Canon_Map_v0_8_Acts_Pauline_Letters.xlsx</t>
        </is>
      </c>
      <c r="I1023" s="15" t="inlineStr">
        <is>
          <t xml:space="preserve">Canon Coverage</t>
        </is>
      </c>
      <c r="J1023" s="15" t="inlineStr">
        <is>
          <t xml:space="preserve">CRS-NT-001</t>
        </is>
      </c>
      <c r="K1023" s="15" t="inlineStr">
        <is>
          <t xml:space="preserve">BLK-001</t>
        </is>
      </c>
      <c r="L1023" s="10" t="inlineStr">
        <is>
          <t xml:space="preserve">Mapped once</t>
        </is>
      </c>
      <c r="M1023" s="15"/>
      <c r="N1023" s="15" t="inlineStr">
        <is>
          <t xml:space="preserve">S07</t>
        </is>
      </c>
      <c r="O1023" s="15">
        <v>1</v>
      </c>
      <c r="P1023" s="10" t="str">
        <f>IF(L1023="MISSING","MISSING",IF(O1023=1,"PASS","DUPLICATE"))</f>
        <v>PASS</v>
      </c>
    </row>
    <row r="1024" ht="22" customHeight="1">
      <c r="A1024" s="15" t="inlineStr">
        <is>
          <t xml:space="preserve">Acts 2</t>
        </is>
      </c>
      <c r="B1024" s="15">
        <v>1020</v>
      </c>
      <c r="C1024" s="15" t="inlineStr">
        <is>
          <t xml:space="preserve">New Testament</t>
        </is>
      </c>
      <c r="D1024" s="15">
        <v>44</v>
      </c>
      <c r="E1024" s="15" t="inlineStr">
        <is>
          <t xml:space="preserve">Acts</t>
        </is>
      </c>
      <c r="F1024" s="15">
        <v>2</v>
      </c>
      <c r="G1024" s="15" t="inlineStr">
        <is>
          <t xml:space="preserve">v0.8</t>
        </is>
      </c>
      <c r="H1024" s="15" t="inlineStr">
        <is>
          <t xml:space="preserve">Bible_Journey_Canon_Map_v0_8_Acts_Pauline_Letters.xlsx</t>
        </is>
      </c>
      <c r="I1024" s="15" t="inlineStr">
        <is>
          <t xml:space="preserve">Canon Coverage</t>
        </is>
      </c>
      <c r="J1024" s="15" t="inlineStr">
        <is>
          <t xml:space="preserve">CRS-NT-002</t>
        </is>
      </c>
      <c r="K1024" s="15" t="inlineStr">
        <is>
          <t xml:space="preserve">BLK-002</t>
        </is>
      </c>
      <c r="L1024" s="10" t="inlineStr">
        <is>
          <t xml:space="preserve">Mapped once</t>
        </is>
      </c>
      <c r="M1024" s="15"/>
      <c r="N1024" s="15" t="inlineStr">
        <is>
          <t xml:space="preserve">S07</t>
        </is>
      </c>
      <c r="O1024" s="15">
        <v>1</v>
      </c>
      <c r="P1024" s="10" t="str">
        <f>IF(L1024="MISSING","MISSING",IF(O1024=1,"PASS","DUPLICATE"))</f>
        <v>PASS</v>
      </c>
    </row>
    <row r="1025" ht="22" customHeight="1">
      <c r="A1025" s="15" t="inlineStr">
        <is>
          <t xml:space="preserve">Acts 3</t>
        </is>
      </c>
      <c r="B1025" s="15">
        <v>1021</v>
      </c>
      <c r="C1025" s="15" t="inlineStr">
        <is>
          <t xml:space="preserve">New Testament</t>
        </is>
      </c>
      <c r="D1025" s="15">
        <v>44</v>
      </c>
      <c r="E1025" s="15" t="inlineStr">
        <is>
          <t xml:space="preserve">Acts</t>
        </is>
      </c>
      <c r="F1025" s="15">
        <v>3</v>
      </c>
      <c r="G1025" s="15" t="inlineStr">
        <is>
          <t xml:space="preserve">v0.8</t>
        </is>
      </c>
      <c r="H1025" s="15" t="inlineStr">
        <is>
          <t xml:space="preserve">Bible_Journey_Canon_Map_v0_8_Acts_Pauline_Letters.xlsx</t>
        </is>
      </c>
      <c r="I1025" s="15" t="inlineStr">
        <is>
          <t xml:space="preserve">Canon Coverage</t>
        </is>
      </c>
      <c r="J1025" s="15" t="inlineStr">
        <is>
          <t xml:space="preserve">CRS-NT-003</t>
        </is>
      </c>
      <c r="K1025" s="15" t="inlineStr">
        <is>
          <t xml:space="preserve">BLK-003</t>
        </is>
      </c>
      <c r="L1025" s="10" t="inlineStr">
        <is>
          <t xml:space="preserve">Mapped once</t>
        </is>
      </c>
      <c r="M1025" s="15"/>
      <c r="N1025" s="15" t="inlineStr">
        <is>
          <t xml:space="preserve">S07</t>
        </is>
      </c>
      <c r="O1025" s="15">
        <v>1</v>
      </c>
      <c r="P1025" s="10" t="str">
        <f>IF(L1025="MISSING","MISSING",IF(O1025=1,"PASS","DUPLICATE"))</f>
        <v>PASS</v>
      </c>
    </row>
    <row r="1026" ht="22" customHeight="1">
      <c r="A1026" s="15" t="inlineStr">
        <is>
          <t xml:space="preserve">Acts 4</t>
        </is>
      </c>
      <c r="B1026" s="15">
        <v>1022</v>
      </c>
      <c r="C1026" s="15" t="inlineStr">
        <is>
          <t xml:space="preserve">New Testament</t>
        </is>
      </c>
      <c r="D1026" s="15">
        <v>44</v>
      </c>
      <c r="E1026" s="15" t="inlineStr">
        <is>
          <t xml:space="preserve">Acts</t>
        </is>
      </c>
      <c r="F1026" s="15">
        <v>4</v>
      </c>
      <c r="G1026" s="15" t="inlineStr">
        <is>
          <t xml:space="preserve">v0.8</t>
        </is>
      </c>
      <c r="H1026" s="15" t="inlineStr">
        <is>
          <t xml:space="preserve">Bible_Journey_Canon_Map_v0_8_Acts_Pauline_Letters.xlsx</t>
        </is>
      </c>
      <c r="I1026" s="15" t="inlineStr">
        <is>
          <t xml:space="preserve">Canon Coverage</t>
        </is>
      </c>
      <c r="J1026" s="15" t="inlineStr">
        <is>
          <t xml:space="preserve">CRS-NT-003</t>
        </is>
      </c>
      <c r="K1026" s="15" t="inlineStr">
        <is>
          <t xml:space="preserve">BLK-003</t>
        </is>
      </c>
      <c r="L1026" s="10" t="inlineStr">
        <is>
          <t xml:space="preserve">Mapped once</t>
        </is>
      </c>
      <c r="M1026" s="15"/>
      <c r="N1026" s="15" t="inlineStr">
        <is>
          <t xml:space="preserve">S07</t>
        </is>
      </c>
      <c r="O1026" s="15">
        <v>1</v>
      </c>
      <c r="P1026" s="10" t="str">
        <f>IF(L1026="MISSING","MISSING",IF(O1026=1,"PASS","DUPLICATE"))</f>
        <v>PASS</v>
      </c>
    </row>
    <row r="1027" ht="22" customHeight="1">
      <c r="A1027" s="15" t="inlineStr">
        <is>
          <t xml:space="preserve">Acts 5</t>
        </is>
      </c>
      <c r="B1027" s="15">
        <v>1023</v>
      </c>
      <c r="C1027" s="15" t="inlineStr">
        <is>
          <t xml:space="preserve">New Testament</t>
        </is>
      </c>
      <c r="D1027" s="15">
        <v>44</v>
      </c>
      <c r="E1027" s="15" t="inlineStr">
        <is>
          <t xml:space="preserve">Acts</t>
        </is>
      </c>
      <c r="F1027" s="15">
        <v>5</v>
      </c>
      <c r="G1027" s="15" t="inlineStr">
        <is>
          <t xml:space="preserve">v0.8</t>
        </is>
      </c>
      <c r="H1027" s="15" t="inlineStr">
        <is>
          <t xml:space="preserve">Bible_Journey_Canon_Map_v0_8_Acts_Pauline_Letters.xlsx</t>
        </is>
      </c>
      <c r="I1027" s="15" t="inlineStr">
        <is>
          <t xml:space="preserve">Canon Coverage</t>
        </is>
      </c>
      <c r="J1027" s="15" t="inlineStr">
        <is>
          <t xml:space="preserve">CRS-NT-004</t>
        </is>
      </c>
      <c r="K1027" s="15" t="inlineStr">
        <is>
          <t xml:space="preserve">BLK-004</t>
        </is>
      </c>
      <c r="L1027" s="10" t="inlineStr">
        <is>
          <t xml:space="preserve">Mapped once</t>
        </is>
      </c>
      <c r="M1027" s="15"/>
      <c r="N1027" s="15" t="inlineStr">
        <is>
          <t xml:space="preserve">S07</t>
        </is>
      </c>
      <c r="O1027" s="15">
        <v>1</v>
      </c>
      <c r="P1027" s="10" t="str">
        <f>IF(L1027="MISSING","MISSING",IF(O1027=1,"PASS","DUPLICATE"))</f>
        <v>PASS</v>
      </c>
    </row>
    <row r="1028" ht="22" customHeight="1">
      <c r="A1028" s="15" t="inlineStr">
        <is>
          <t xml:space="preserve">Acts 6</t>
        </is>
      </c>
      <c r="B1028" s="15">
        <v>1024</v>
      </c>
      <c r="C1028" s="15" t="inlineStr">
        <is>
          <t xml:space="preserve">New Testament</t>
        </is>
      </c>
      <c r="D1028" s="15">
        <v>44</v>
      </c>
      <c r="E1028" s="15" t="inlineStr">
        <is>
          <t xml:space="preserve">Acts</t>
        </is>
      </c>
      <c r="F1028" s="15">
        <v>6</v>
      </c>
      <c r="G1028" s="15" t="inlineStr">
        <is>
          <t xml:space="preserve">v0.8</t>
        </is>
      </c>
      <c r="H1028" s="15" t="inlineStr">
        <is>
          <t xml:space="preserve">Bible_Journey_Canon_Map_v0_8_Acts_Pauline_Letters.xlsx</t>
        </is>
      </c>
      <c r="I1028" s="15" t="inlineStr">
        <is>
          <t xml:space="preserve">Canon Coverage</t>
        </is>
      </c>
      <c r="J1028" s="15" t="inlineStr">
        <is>
          <t xml:space="preserve">CRS-NT-004</t>
        </is>
      </c>
      <c r="K1028" s="15" t="inlineStr">
        <is>
          <t xml:space="preserve">BLK-004</t>
        </is>
      </c>
      <c r="L1028" s="10" t="inlineStr">
        <is>
          <t xml:space="preserve">Mapped once</t>
        </is>
      </c>
      <c r="M1028" s="15"/>
      <c r="N1028" s="15" t="inlineStr">
        <is>
          <t xml:space="preserve">S07</t>
        </is>
      </c>
      <c r="O1028" s="15">
        <v>1</v>
      </c>
      <c r="P1028" s="10" t="str">
        <f>IF(L1028="MISSING","MISSING",IF(O1028=1,"PASS","DUPLICATE"))</f>
        <v>PASS</v>
      </c>
    </row>
    <row r="1029" ht="22" customHeight="1">
      <c r="A1029" s="15" t="inlineStr">
        <is>
          <t xml:space="preserve">Acts 7</t>
        </is>
      </c>
      <c r="B1029" s="15">
        <v>1025</v>
      </c>
      <c r="C1029" s="15" t="inlineStr">
        <is>
          <t xml:space="preserve">New Testament</t>
        </is>
      </c>
      <c r="D1029" s="15">
        <v>44</v>
      </c>
      <c r="E1029" s="15" t="inlineStr">
        <is>
          <t xml:space="preserve">Acts</t>
        </is>
      </c>
      <c r="F1029" s="15">
        <v>7</v>
      </c>
      <c r="G1029" s="15" t="inlineStr">
        <is>
          <t xml:space="preserve">v0.8</t>
        </is>
      </c>
      <c r="H1029" s="15" t="inlineStr">
        <is>
          <t xml:space="preserve">Bible_Journey_Canon_Map_v0_8_Acts_Pauline_Letters.xlsx</t>
        </is>
      </c>
      <c r="I1029" s="15" t="inlineStr">
        <is>
          <t xml:space="preserve">Canon Coverage</t>
        </is>
      </c>
      <c r="J1029" s="15" t="inlineStr">
        <is>
          <t xml:space="preserve">CRS-NT-005</t>
        </is>
      </c>
      <c r="K1029" s="15" t="inlineStr">
        <is>
          <t xml:space="preserve">BLK-005</t>
        </is>
      </c>
      <c r="L1029" s="10" t="inlineStr">
        <is>
          <t xml:space="preserve">Mapped once</t>
        </is>
      </c>
      <c r="M1029" s="15"/>
      <c r="N1029" s="15" t="inlineStr">
        <is>
          <t xml:space="preserve">S07</t>
        </is>
      </c>
      <c r="O1029" s="15">
        <v>1</v>
      </c>
      <c r="P1029" s="10" t="str">
        <f>IF(L1029="MISSING","MISSING",IF(O1029=1,"PASS","DUPLICATE"))</f>
        <v>PASS</v>
      </c>
    </row>
    <row r="1030" ht="22" customHeight="1">
      <c r="A1030" s="15" t="inlineStr">
        <is>
          <t xml:space="preserve">Acts 8</t>
        </is>
      </c>
      <c r="B1030" s="15">
        <v>1026</v>
      </c>
      <c r="C1030" s="15" t="inlineStr">
        <is>
          <t xml:space="preserve">New Testament</t>
        </is>
      </c>
      <c r="D1030" s="15">
        <v>44</v>
      </c>
      <c r="E1030" s="15" t="inlineStr">
        <is>
          <t xml:space="preserve">Acts</t>
        </is>
      </c>
      <c r="F1030" s="15">
        <v>8</v>
      </c>
      <c r="G1030" s="15" t="inlineStr">
        <is>
          <t xml:space="preserve">v0.8</t>
        </is>
      </c>
      <c r="H1030" s="15" t="inlineStr">
        <is>
          <t xml:space="preserve">Bible_Journey_Canon_Map_v0_8_Acts_Pauline_Letters.xlsx</t>
        </is>
      </c>
      <c r="I1030" s="15" t="inlineStr">
        <is>
          <t xml:space="preserve">Canon Coverage</t>
        </is>
      </c>
      <c r="J1030" s="15" t="inlineStr">
        <is>
          <t xml:space="preserve">CRS-NT-005</t>
        </is>
      </c>
      <c r="K1030" s="15" t="inlineStr">
        <is>
          <t xml:space="preserve">BLK-005</t>
        </is>
      </c>
      <c r="L1030" s="10" t="inlineStr">
        <is>
          <t xml:space="preserve">Mapped once</t>
        </is>
      </c>
      <c r="M1030" s="15"/>
      <c r="N1030" s="15" t="inlineStr">
        <is>
          <t xml:space="preserve">S07</t>
        </is>
      </c>
      <c r="O1030" s="15">
        <v>1</v>
      </c>
      <c r="P1030" s="10" t="str">
        <f>IF(L1030="MISSING","MISSING",IF(O1030=1,"PASS","DUPLICATE"))</f>
        <v>PASS</v>
      </c>
    </row>
    <row r="1031" ht="22" customHeight="1">
      <c r="A1031" s="15" t="inlineStr">
        <is>
          <t xml:space="preserve">Acts 9</t>
        </is>
      </c>
      <c r="B1031" s="15">
        <v>1027</v>
      </c>
      <c r="C1031" s="15" t="inlineStr">
        <is>
          <t xml:space="preserve">New Testament</t>
        </is>
      </c>
      <c r="D1031" s="15">
        <v>44</v>
      </c>
      <c r="E1031" s="15" t="inlineStr">
        <is>
          <t xml:space="preserve">Acts</t>
        </is>
      </c>
      <c r="F1031" s="15">
        <v>9</v>
      </c>
      <c r="G1031" s="15" t="inlineStr">
        <is>
          <t xml:space="preserve">v0.8</t>
        </is>
      </c>
      <c r="H1031" s="15" t="inlineStr">
        <is>
          <t xml:space="preserve">Bible_Journey_Canon_Map_v0_8_Acts_Pauline_Letters.xlsx</t>
        </is>
      </c>
      <c r="I1031" s="15" t="inlineStr">
        <is>
          <t xml:space="preserve">Canon Coverage</t>
        </is>
      </c>
      <c r="J1031" s="15" t="inlineStr">
        <is>
          <t xml:space="preserve">CRS-NT-007</t>
        </is>
      </c>
      <c r="K1031" s="15" t="inlineStr">
        <is>
          <t xml:space="preserve">BLK-007</t>
        </is>
      </c>
      <c r="L1031" s="10" t="inlineStr">
        <is>
          <t xml:space="preserve">Mapped once</t>
        </is>
      </c>
      <c r="M1031" s="15"/>
      <c r="N1031" s="15" t="inlineStr">
        <is>
          <t xml:space="preserve">S01</t>
        </is>
      </c>
      <c r="O1031" s="15">
        <v>1</v>
      </c>
      <c r="P1031" s="10" t="str">
        <f>IF(L1031="MISSING","MISSING",IF(O1031=1,"PASS","DUPLICATE"))</f>
        <v>PASS</v>
      </c>
    </row>
    <row r="1032" ht="22" customHeight="1">
      <c r="A1032" s="15" t="inlineStr">
        <is>
          <t xml:space="preserve">Acts 10</t>
        </is>
      </c>
      <c r="B1032" s="15">
        <v>1028</v>
      </c>
      <c r="C1032" s="15" t="inlineStr">
        <is>
          <t xml:space="preserve">New Testament</t>
        </is>
      </c>
      <c r="D1032" s="15">
        <v>44</v>
      </c>
      <c r="E1032" s="15" t="inlineStr">
        <is>
          <t xml:space="preserve">Acts</t>
        </is>
      </c>
      <c r="F1032" s="15">
        <v>10</v>
      </c>
      <c r="G1032" s="15" t="inlineStr">
        <is>
          <t xml:space="preserve">v0.8</t>
        </is>
      </c>
      <c r="H1032" s="15" t="inlineStr">
        <is>
          <t xml:space="preserve">Bible_Journey_Canon_Map_v0_8_Acts_Pauline_Letters.xlsx</t>
        </is>
      </c>
      <c r="I1032" s="15" t="inlineStr">
        <is>
          <t xml:space="preserve">Canon Coverage</t>
        </is>
      </c>
      <c r="J1032" s="15" t="inlineStr">
        <is>
          <t xml:space="preserve">CRS-NT-008</t>
        </is>
      </c>
      <c r="K1032" s="15" t="inlineStr">
        <is>
          <t xml:space="preserve">BLK-008</t>
        </is>
      </c>
      <c r="L1032" s="10" t="inlineStr">
        <is>
          <t xml:space="preserve">Mapped once</t>
        </is>
      </c>
      <c r="M1032" s="15"/>
      <c r="N1032" s="15" t="inlineStr">
        <is>
          <t xml:space="preserve">S07</t>
        </is>
      </c>
      <c r="O1032" s="15">
        <v>1</v>
      </c>
      <c r="P1032" s="10" t="str">
        <f>IF(L1032="MISSING","MISSING",IF(O1032=1,"PASS","DUPLICATE"))</f>
        <v>PASS</v>
      </c>
    </row>
    <row r="1033" ht="22" customHeight="1">
      <c r="A1033" s="15" t="inlineStr">
        <is>
          <t xml:space="preserve">Acts 11</t>
        </is>
      </c>
      <c r="B1033" s="15">
        <v>1029</v>
      </c>
      <c r="C1033" s="15" t="inlineStr">
        <is>
          <t xml:space="preserve">New Testament</t>
        </is>
      </c>
      <c r="D1033" s="15">
        <v>44</v>
      </c>
      <c r="E1033" s="15" t="inlineStr">
        <is>
          <t xml:space="preserve">Acts</t>
        </is>
      </c>
      <c r="F1033" s="15">
        <v>11</v>
      </c>
      <c r="G1033" s="15" t="inlineStr">
        <is>
          <t xml:space="preserve">v0.8</t>
        </is>
      </c>
      <c r="H1033" s="15" t="inlineStr">
        <is>
          <t xml:space="preserve">Bible_Journey_Canon_Map_v0_8_Acts_Pauline_Letters.xlsx</t>
        </is>
      </c>
      <c r="I1033" s="15" t="inlineStr">
        <is>
          <t xml:space="preserve">Canon Coverage</t>
        </is>
      </c>
      <c r="J1033" s="15" t="inlineStr">
        <is>
          <t xml:space="preserve">CRS-NT-008</t>
        </is>
      </c>
      <c r="K1033" s="15" t="inlineStr">
        <is>
          <t xml:space="preserve">BLK-008</t>
        </is>
      </c>
      <c r="L1033" s="10" t="inlineStr">
        <is>
          <t xml:space="preserve">Mapped once</t>
        </is>
      </c>
      <c r="M1033" s="15"/>
      <c r="N1033" s="15" t="inlineStr">
        <is>
          <t xml:space="preserve">S07</t>
        </is>
      </c>
      <c r="O1033" s="15">
        <v>1</v>
      </c>
      <c r="P1033" s="10" t="str">
        <f>IF(L1033="MISSING","MISSING",IF(O1033=1,"PASS","DUPLICATE"))</f>
        <v>PASS</v>
      </c>
    </row>
    <row r="1034" ht="22" customHeight="1">
      <c r="A1034" s="15" t="inlineStr">
        <is>
          <t xml:space="preserve">Acts 12</t>
        </is>
      </c>
      <c r="B1034" s="15">
        <v>1030</v>
      </c>
      <c r="C1034" s="15" t="inlineStr">
        <is>
          <t xml:space="preserve">New Testament</t>
        </is>
      </c>
      <c r="D1034" s="15">
        <v>44</v>
      </c>
      <c r="E1034" s="15" t="inlineStr">
        <is>
          <t xml:space="preserve">Acts</t>
        </is>
      </c>
      <c r="F1034" s="15">
        <v>12</v>
      </c>
      <c r="G1034" s="15" t="inlineStr">
        <is>
          <t xml:space="preserve">v0.8</t>
        </is>
      </c>
      <c r="H1034" s="15" t="inlineStr">
        <is>
          <t xml:space="preserve">Bible_Journey_Canon_Map_v0_8_Acts_Pauline_Letters.xlsx</t>
        </is>
      </c>
      <c r="I1034" s="15" t="inlineStr">
        <is>
          <t xml:space="preserve">Canon Coverage</t>
        </is>
      </c>
      <c r="J1034" s="15" t="inlineStr">
        <is>
          <t xml:space="preserve">CRS-NT-010</t>
        </is>
      </c>
      <c r="K1034" s="15" t="inlineStr">
        <is>
          <t xml:space="preserve">BLK-010</t>
        </is>
      </c>
      <c r="L1034" s="10" t="inlineStr">
        <is>
          <t xml:space="preserve">Mapped once</t>
        </is>
      </c>
      <c r="M1034" s="15"/>
      <c r="N1034" s="15" t="inlineStr">
        <is>
          <t xml:space="preserve">S07</t>
        </is>
      </c>
      <c r="O1034" s="15">
        <v>1</v>
      </c>
      <c r="P1034" s="10" t="str">
        <f>IF(L1034="MISSING","MISSING",IF(O1034=1,"PASS","DUPLICATE"))</f>
        <v>PASS</v>
      </c>
    </row>
    <row r="1035" ht="22" customHeight="1">
      <c r="A1035" s="15" t="inlineStr">
        <is>
          <t xml:space="preserve">Acts 13</t>
        </is>
      </c>
      <c r="B1035" s="15">
        <v>1031</v>
      </c>
      <c r="C1035" s="15" t="inlineStr">
        <is>
          <t xml:space="preserve">New Testament</t>
        </is>
      </c>
      <c r="D1035" s="15">
        <v>44</v>
      </c>
      <c r="E1035" s="15" t="inlineStr">
        <is>
          <t xml:space="preserve">Acts</t>
        </is>
      </c>
      <c r="F1035" s="15">
        <v>13</v>
      </c>
      <c r="G1035" s="15" t="inlineStr">
        <is>
          <t xml:space="preserve">v0.8</t>
        </is>
      </c>
      <c r="H1035" s="15" t="inlineStr">
        <is>
          <t xml:space="preserve">Bible_Journey_Canon_Map_v0_8_Acts_Pauline_Letters.xlsx</t>
        </is>
      </c>
      <c r="I1035" s="15" t="inlineStr">
        <is>
          <t xml:space="preserve">Canon Coverage</t>
        </is>
      </c>
      <c r="J1035" s="15" t="inlineStr">
        <is>
          <t xml:space="preserve">CRS-NT-011</t>
        </is>
      </c>
      <c r="K1035" s="15" t="inlineStr">
        <is>
          <t xml:space="preserve">BLK-011</t>
        </is>
      </c>
      <c r="L1035" s="10" t="inlineStr">
        <is>
          <t xml:space="preserve">Mapped once</t>
        </is>
      </c>
      <c r="M1035" s="15"/>
      <c r="N1035" s="15" t="inlineStr">
        <is>
          <t xml:space="preserve">S03</t>
        </is>
      </c>
      <c r="O1035" s="15">
        <v>1</v>
      </c>
      <c r="P1035" s="10" t="str">
        <f>IF(L1035="MISSING","MISSING",IF(O1035=1,"PASS","DUPLICATE"))</f>
        <v>PASS</v>
      </c>
    </row>
    <row r="1036" ht="22" customHeight="1">
      <c r="A1036" s="15" t="inlineStr">
        <is>
          <t xml:space="preserve">Acts 14</t>
        </is>
      </c>
      <c r="B1036" s="15">
        <v>1032</v>
      </c>
      <c r="C1036" s="15" t="inlineStr">
        <is>
          <t xml:space="preserve">New Testament</t>
        </is>
      </c>
      <c r="D1036" s="15">
        <v>44</v>
      </c>
      <c r="E1036" s="15" t="inlineStr">
        <is>
          <t xml:space="preserve">Acts</t>
        </is>
      </c>
      <c r="F1036" s="15">
        <v>14</v>
      </c>
      <c r="G1036" s="15" t="inlineStr">
        <is>
          <t xml:space="preserve">v0.8</t>
        </is>
      </c>
      <c r="H1036" s="15" t="inlineStr">
        <is>
          <t xml:space="preserve">Bible_Journey_Canon_Map_v0_8_Acts_Pauline_Letters.xlsx</t>
        </is>
      </c>
      <c r="I1036" s="15" t="inlineStr">
        <is>
          <t xml:space="preserve">Canon Coverage</t>
        </is>
      </c>
      <c r="J1036" s="15" t="inlineStr">
        <is>
          <t xml:space="preserve">CRS-NT-012</t>
        </is>
      </c>
      <c r="K1036" s="15" t="inlineStr">
        <is>
          <t xml:space="preserve">BLK-012</t>
        </is>
      </c>
      <c r="L1036" s="10" t="inlineStr">
        <is>
          <t xml:space="preserve">Mapped once</t>
        </is>
      </c>
      <c r="M1036" s="15"/>
      <c r="N1036" s="15" t="inlineStr">
        <is>
          <t xml:space="preserve">S09</t>
        </is>
      </c>
      <c r="O1036" s="15">
        <v>1</v>
      </c>
      <c r="P1036" s="10" t="str">
        <f>IF(L1036="MISSING","MISSING",IF(O1036=1,"PASS","DUPLICATE"))</f>
        <v>PASS</v>
      </c>
    </row>
    <row r="1037" ht="22" customHeight="1">
      <c r="A1037" s="15" t="inlineStr">
        <is>
          <t xml:space="preserve">Acts 15</t>
        </is>
      </c>
      <c r="B1037" s="15">
        <v>1033</v>
      </c>
      <c r="C1037" s="15" t="inlineStr">
        <is>
          <t xml:space="preserve">New Testament</t>
        </is>
      </c>
      <c r="D1037" s="15">
        <v>44</v>
      </c>
      <c r="E1037" s="15" t="inlineStr">
        <is>
          <t xml:space="preserve">Acts</t>
        </is>
      </c>
      <c r="F1037" s="15">
        <v>15</v>
      </c>
      <c r="G1037" s="15" t="inlineStr">
        <is>
          <t xml:space="preserve">v0.8</t>
        </is>
      </c>
      <c r="H1037" s="15" t="inlineStr">
        <is>
          <t xml:space="preserve">Bible_Journey_Canon_Map_v0_8_Acts_Pauline_Letters.xlsx</t>
        </is>
      </c>
      <c r="I1037" s="15" t="inlineStr">
        <is>
          <t xml:space="preserve">Canon Coverage</t>
        </is>
      </c>
      <c r="J1037" s="15" t="inlineStr">
        <is>
          <t xml:space="preserve">CRS-NT-014</t>
        </is>
      </c>
      <c r="K1037" s="15" t="inlineStr">
        <is>
          <t xml:space="preserve">BLK-014</t>
        </is>
      </c>
      <c r="L1037" s="10" t="inlineStr">
        <is>
          <t xml:space="preserve">Mapped once</t>
        </is>
      </c>
      <c r="M1037" s="15"/>
      <c r="N1037" s="15" t="inlineStr">
        <is>
          <t xml:space="preserve">S01; S03</t>
        </is>
      </c>
      <c r="O1037" s="15">
        <v>1</v>
      </c>
      <c r="P1037" s="10" t="str">
        <f>IF(L1037="MISSING","MISSING",IF(O1037=1,"PASS","DUPLICATE"))</f>
        <v>PASS</v>
      </c>
    </row>
    <row r="1038" ht="22" customHeight="1">
      <c r="A1038" s="15" t="inlineStr">
        <is>
          <t xml:space="preserve">Acts 16</t>
        </is>
      </c>
      <c r="B1038" s="15">
        <v>1034</v>
      </c>
      <c r="C1038" s="15" t="inlineStr">
        <is>
          <t xml:space="preserve">New Testament</t>
        </is>
      </c>
      <c r="D1038" s="15">
        <v>44</v>
      </c>
      <c r="E1038" s="15" t="inlineStr">
        <is>
          <t xml:space="preserve">Acts</t>
        </is>
      </c>
      <c r="F1038" s="15">
        <v>16</v>
      </c>
      <c r="G1038" s="15" t="inlineStr">
        <is>
          <t xml:space="preserve">v0.8</t>
        </is>
      </c>
      <c r="H1038" s="15" t="inlineStr">
        <is>
          <t xml:space="preserve">Bible_Journey_Canon_Map_v0_8_Acts_Pauline_Letters.xlsx</t>
        </is>
      </c>
      <c r="I1038" s="15" t="inlineStr">
        <is>
          <t xml:space="preserve">Canon Coverage</t>
        </is>
      </c>
      <c r="J1038" s="15" t="inlineStr">
        <is>
          <t xml:space="preserve">CRS-NT-015</t>
        </is>
      </c>
      <c r="K1038" s="15" t="inlineStr">
        <is>
          <t xml:space="preserve">BLK-015</t>
        </is>
      </c>
      <c r="L1038" s="10" t="inlineStr">
        <is>
          <t xml:space="preserve">Mapped once</t>
        </is>
      </c>
      <c r="M1038" s="15"/>
      <c r="N1038" s="15" t="inlineStr">
        <is>
          <t xml:space="preserve">S35</t>
        </is>
      </c>
      <c r="O1038" s="15">
        <v>1</v>
      </c>
      <c r="P1038" s="10" t="str">
        <f>IF(L1038="MISSING","MISSING",IF(O1038=1,"PASS","DUPLICATE"))</f>
        <v>PASS</v>
      </c>
    </row>
    <row r="1039" ht="22" customHeight="1">
      <c r="A1039" s="15" t="inlineStr">
        <is>
          <t xml:space="preserve">Acts 17</t>
        </is>
      </c>
      <c r="B1039" s="15">
        <v>1035</v>
      </c>
      <c r="C1039" s="15" t="inlineStr">
        <is>
          <t xml:space="preserve">New Testament</t>
        </is>
      </c>
      <c r="D1039" s="15">
        <v>44</v>
      </c>
      <c r="E1039" s="15" t="inlineStr">
        <is>
          <t xml:space="preserve">Acts</t>
        </is>
      </c>
      <c r="F1039" s="15">
        <v>17</v>
      </c>
      <c r="G1039" s="15" t="inlineStr">
        <is>
          <t xml:space="preserve">v0.8</t>
        </is>
      </c>
      <c r="H1039" s="15" t="inlineStr">
        <is>
          <t xml:space="preserve">Bible_Journey_Canon_Map_v0_8_Acts_Pauline_Letters.xlsx</t>
        </is>
      </c>
      <c r="I1039" s="15" t="inlineStr">
        <is>
          <t xml:space="preserve">Canon Coverage</t>
        </is>
      </c>
      <c r="J1039" s="15" t="inlineStr">
        <is>
          <t xml:space="preserve">CRS-NT-017</t>
        </is>
      </c>
      <c r="K1039" s="15" t="inlineStr">
        <is>
          <t xml:space="preserve">BLK-017</t>
        </is>
      </c>
      <c r="L1039" s="10" t="inlineStr">
        <is>
          <t xml:space="preserve">Mapped once</t>
        </is>
      </c>
      <c r="M1039" s="15"/>
      <c r="N1039" s="15" t="inlineStr">
        <is>
          <t xml:space="preserve">S02</t>
        </is>
      </c>
      <c r="O1039" s="15">
        <v>1</v>
      </c>
      <c r="P1039" s="10" t="str">
        <f>IF(L1039="MISSING","MISSING",IF(O1039=1,"PASS","DUPLICATE"))</f>
        <v>PASS</v>
      </c>
    </row>
    <row r="1040" ht="22" customHeight="1">
      <c r="A1040" s="15" t="inlineStr">
        <is>
          <t xml:space="preserve">Acts 18</t>
        </is>
      </c>
      <c r="B1040" s="15">
        <v>1036</v>
      </c>
      <c r="C1040" s="15" t="inlineStr">
        <is>
          <t xml:space="preserve">New Testament</t>
        </is>
      </c>
      <c r="D1040" s="15">
        <v>44</v>
      </c>
      <c r="E1040" s="15" t="inlineStr">
        <is>
          <t xml:space="preserve">Acts</t>
        </is>
      </c>
      <c r="F1040" s="15">
        <v>18</v>
      </c>
      <c r="G1040" s="15" t="inlineStr">
        <is>
          <t xml:space="preserve">v0.8</t>
        </is>
      </c>
      <c r="H1040" s="15" t="inlineStr">
        <is>
          <t xml:space="preserve">Bible_Journey_Canon_Map_v0_8_Acts_Pauline_Letters.xlsx</t>
        </is>
      </c>
      <c r="I1040" s="15" t="inlineStr">
        <is>
          <t xml:space="preserve">Canon Coverage</t>
        </is>
      </c>
      <c r="J1040" s="15" t="inlineStr">
        <is>
          <t xml:space="preserve">CRS-NT-019</t>
        </is>
      </c>
      <c r="K1040" s="15" t="inlineStr">
        <is>
          <t xml:space="preserve">BLK-019</t>
        </is>
      </c>
      <c r="L1040" s="10" t="inlineStr">
        <is>
          <t xml:space="preserve">Mapped once</t>
        </is>
      </c>
      <c r="M1040" s="15"/>
      <c r="N1040" s="15" t="inlineStr">
        <is>
          <t xml:space="preserve">S05; S02</t>
        </is>
      </c>
      <c r="O1040" s="15">
        <v>1</v>
      </c>
      <c r="P1040" s="10" t="str">
        <f>IF(L1040="MISSING","MISSING",IF(O1040=1,"PASS","DUPLICATE"))</f>
        <v>PASS</v>
      </c>
    </row>
    <row r="1041" ht="22" customHeight="1">
      <c r="A1041" s="15" t="inlineStr">
        <is>
          <t xml:space="preserve">Acts 19</t>
        </is>
      </c>
      <c r="B1041" s="15">
        <v>1037</v>
      </c>
      <c r="C1041" s="15" t="inlineStr">
        <is>
          <t xml:space="preserve">New Testament</t>
        </is>
      </c>
      <c r="D1041" s="15">
        <v>44</v>
      </c>
      <c r="E1041" s="15" t="inlineStr">
        <is>
          <t xml:space="preserve">Acts</t>
        </is>
      </c>
      <c r="F1041" s="15">
        <v>19</v>
      </c>
      <c r="G1041" s="15" t="inlineStr">
        <is>
          <t xml:space="preserve">v0.8</t>
        </is>
      </c>
      <c r="H1041" s="15" t="inlineStr">
        <is>
          <t xml:space="preserve">Bible_Journey_Canon_Map_v0_8_Acts_Pauline_Letters.xlsx</t>
        </is>
      </c>
      <c r="I1041" s="15" t="inlineStr">
        <is>
          <t xml:space="preserve">Canon Coverage</t>
        </is>
      </c>
      <c r="J1041" s="15" t="inlineStr">
        <is>
          <t xml:space="preserve">CRS-NT-023</t>
        </is>
      </c>
      <c r="K1041" s="15" t="inlineStr">
        <is>
          <t xml:space="preserve">BLK-023</t>
        </is>
      </c>
      <c r="L1041" s="10" t="inlineStr">
        <is>
          <t xml:space="preserve">Mapped once</t>
        </is>
      </c>
      <c r="M1041" s="15"/>
      <c r="N1041" s="15" t="inlineStr">
        <is>
          <t xml:space="preserve">S04</t>
        </is>
      </c>
      <c r="O1041" s="15">
        <v>1</v>
      </c>
      <c r="P1041" s="10" t="str">
        <f>IF(L1041="MISSING","MISSING",IF(O1041=1,"PASS","DUPLICATE"))</f>
        <v>PASS</v>
      </c>
    </row>
    <row r="1042" ht="22" customHeight="1">
      <c r="A1042" s="15" t="inlineStr">
        <is>
          <t xml:space="preserve">Acts 20</t>
        </is>
      </c>
      <c r="B1042" s="15">
        <v>1038</v>
      </c>
      <c r="C1042" s="15" t="inlineStr">
        <is>
          <t xml:space="preserve">New Testament</t>
        </is>
      </c>
      <c r="D1042" s="15">
        <v>44</v>
      </c>
      <c r="E1042" s="15" t="inlineStr">
        <is>
          <t xml:space="preserve">Acts</t>
        </is>
      </c>
      <c r="F1042" s="15">
        <v>20</v>
      </c>
      <c r="G1042" s="15" t="inlineStr">
        <is>
          <t xml:space="preserve">v0.8</t>
        </is>
      </c>
      <c r="H1042" s="15" t="inlineStr">
        <is>
          <t xml:space="preserve">Bible_Journey_Canon_Map_v0_8_Acts_Pauline_Letters.xlsx</t>
        </is>
      </c>
      <c r="I1042" s="15" t="inlineStr">
        <is>
          <t xml:space="preserve">Canon Coverage</t>
        </is>
      </c>
      <c r="J1042" s="15" t="inlineStr">
        <is>
          <t xml:space="preserve">CRS-NT-025</t>
        </is>
      </c>
      <c r="K1042" s="15" t="inlineStr">
        <is>
          <t xml:space="preserve">BLK-025</t>
        </is>
      </c>
      <c r="L1042" s="10" t="inlineStr">
        <is>
          <t xml:space="preserve">Mapped once</t>
        </is>
      </c>
      <c r="M1042" s="15"/>
      <c r="N1042" s="15" t="inlineStr">
        <is>
          <t xml:space="preserve">S01; S28</t>
        </is>
      </c>
      <c r="O1042" s="15">
        <v>1</v>
      </c>
      <c r="P1042" s="10" t="str">
        <f>IF(L1042="MISSING","MISSING",IF(O1042=1,"PASS","DUPLICATE"))</f>
        <v>PASS</v>
      </c>
    </row>
    <row r="1043" ht="22" customHeight="1">
      <c r="A1043" s="15" t="inlineStr">
        <is>
          <t xml:space="preserve">Acts 21</t>
        </is>
      </c>
      <c r="B1043" s="15">
        <v>1039</v>
      </c>
      <c r="C1043" s="15" t="inlineStr">
        <is>
          <t xml:space="preserve">New Testament</t>
        </is>
      </c>
      <c r="D1043" s="15">
        <v>44</v>
      </c>
      <c r="E1043" s="15" t="inlineStr">
        <is>
          <t xml:space="preserve">Acts</t>
        </is>
      </c>
      <c r="F1043" s="15">
        <v>21</v>
      </c>
      <c r="G1043" s="15" t="inlineStr">
        <is>
          <t xml:space="preserve">v0.8</t>
        </is>
      </c>
      <c r="H1043" s="15" t="inlineStr">
        <is>
          <t xml:space="preserve">Bible_Journey_Canon_Map_v0_8_Acts_Pauline_Letters.xlsx</t>
        </is>
      </c>
      <c r="I1043" s="15" t="inlineStr">
        <is>
          <t xml:space="preserve">Canon Coverage</t>
        </is>
      </c>
      <c r="J1043" s="15" t="inlineStr">
        <is>
          <t xml:space="preserve">CRS-NT-030</t>
        </is>
      </c>
      <c r="K1043" s="15" t="inlineStr">
        <is>
          <t xml:space="preserve">BLK-030</t>
        </is>
      </c>
      <c r="L1043" s="10" t="inlineStr">
        <is>
          <t xml:space="preserve">Mapped once</t>
        </is>
      </c>
      <c r="M1043" s="15"/>
      <c r="N1043" s="15" t="inlineStr">
        <is>
          <t xml:space="preserve">S07</t>
        </is>
      </c>
      <c r="O1043" s="15">
        <v>1</v>
      </c>
      <c r="P1043" s="10" t="str">
        <f>IF(L1043="MISSING","MISSING",IF(O1043=1,"PASS","DUPLICATE"))</f>
        <v>PASS</v>
      </c>
    </row>
    <row r="1044" ht="22" customHeight="1">
      <c r="A1044" s="15" t="inlineStr">
        <is>
          <t xml:space="preserve">Acts 22</t>
        </is>
      </c>
      <c r="B1044" s="15">
        <v>1040</v>
      </c>
      <c r="C1044" s="15" t="inlineStr">
        <is>
          <t xml:space="preserve">New Testament</t>
        </is>
      </c>
      <c r="D1044" s="15">
        <v>44</v>
      </c>
      <c r="E1044" s="15" t="inlineStr">
        <is>
          <t xml:space="preserve">Acts</t>
        </is>
      </c>
      <c r="F1044" s="15">
        <v>22</v>
      </c>
      <c r="G1044" s="15" t="inlineStr">
        <is>
          <t xml:space="preserve">v0.8</t>
        </is>
      </c>
      <c r="H1044" s="15" t="inlineStr">
        <is>
          <t xml:space="preserve">Bible_Journey_Canon_Map_v0_8_Acts_Pauline_Letters.xlsx</t>
        </is>
      </c>
      <c r="I1044" s="15" t="inlineStr">
        <is>
          <t xml:space="preserve">Canon Coverage</t>
        </is>
      </c>
      <c r="J1044" s="15" t="inlineStr">
        <is>
          <t xml:space="preserve">CRS-NT-030</t>
        </is>
      </c>
      <c r="K1044" s="15" t="inlineStr">
        <is>
          <t xml:space="preserve">BLK-030</t>
        </is>
      </c>
      <c r="L1044" s="10" t="inlineStr">
        <is>
          <t xml:space="preserve">Mapped once</t>
        </is>
      </c>
      <c r="M1044" s="15"/>
      <c r="N1044" s="15" t="inlineStr">
        <is>
          <t xml:space="preserve">S07</t>
        </is>
      </c>
      <c r="O1044" s="15">
        <v>1</v>
      </c>
      <c r="P1044" s="10" t="str">
        <f>IF(L1044="MISSING","MISSING",IF(O1044=1,"PASS","DUPLICATE"))</f>
        <v>PASS</v>
      </c>
    </row>
    <row r="1045" ht="22" customHeight="1">
      <c r="A1045" s="15" t="inlineStr">
        <is>
          <t xml:space="preserve">Acts 23</t>
        </is>
      </c>
      <c r="B1045" s="15">
        <v>1041</v>
      </c>
      <c r="C1045" s="15" t="inlineStr">
        <is>
          <t xml:space="preserve">New Testament</t>
        </is>
      </c>
      <c r="D1045" s="15">
        <v>44</v>
      </c>
      <c r="E1045" s="15" t="inlineStr">
        <is>
          <t xml:space="preserve">Acts</t>
        </is>
      </c>
      <c r="F1045" s="15">
        <v>23</v>
      </c>
      <c r="G1045" s="15" t="inlineStr">
        <is>
          <t xml:space="preserve">v0.8</t>
        </is>
      </c>
      <c r="H1045" s="15" t="inlineStr">
        <is>
          <t xml:space="preserve">Bible_Journey_Canon_Map_v0_8_Acts_Pauline_Letters.xlsx</t>
        </is>
      </c>
      <c r="I1045" s="15" t="inlineStr">
        <is>
          <t xml:space="preserve">Canon Coverage</t>
        </is>
      </c>
      <c r="J1045" s="15" t="inlineStr">
        <is>
          <t xml:space="preserve">CRS-NT-030</t>
        </is>
      </c>
      <c r="K1045" s="15" t="inlineStr">
        <is>
          <t xml:space="preserve">BLK-030</t>
        </is>
      </c>
      <c r="L1045" s="10" t="inlineStr">
        <is>
          <t xml:space="preserve">Mapped once</t>
        </is>
      </c>
      <c r="M1045" s="15"/>
      <c r="N1045" s="15" t="inlineStr">
        <is>
          <t xml:space="preserve">S07</t>
        </is>
      </c>
      <c r="O1045" s="15">
        <v>1</v>
      </c>
      <c r="P1045" s="10" t="str">
        <f>IF(L1045="MISSING","MISSING",IF(O1045=1,"PASS","DUPLICATE"))</f>
        <v>PASS</v>
      </c>
    </row>
    <row r="1046" ht="22" customHeight="1">
      <c r="A1046" s="15" t="inlineStr">
        <is>
          <t xml:space="preserve">Acts 24</t>
        </is>
      </c>
      <c r="B1046" s="15">
        <v>1042</v>
      </c>
      <c r="C1046" s="15" t="inlineStr">
        <is>
          <t xml:space="preserve">New Testament</t>
        </is>
      </c>
      <c r="D1046" s="15">
        <v>44</v>
      </c>
      <c r="E1046" s="15" t="inlineStr">
        <is>
          <t xml:space="preserve">Acts</t>
        </is>
      </c>
      <c r="F1046" s="15">
        <v>24</v>
      </c>
      <c r="G1046" s="15" t="inlineStr">
        <is>
          <t xml:space="preserve">v0.8</t>
        </is>
      </c>
      <c r="H1046" s="15" t="inlineStr">
        <is>
          <t xml:space="preserve">Bible_Journey_Canon_Map_v0_8_Acts_Pauline_Letters.xlsx</t>
        </is>
      </c>
      <c r="I1046" s="15" t="inlineStr">
        <is>
          <t xml:space="preserve">Canon Coverage</t>
        </is>
      </c>
      <c r="J1046" s="15" t="inlineStr">
        <is>
          <t xml:space="preserve">CRS-NT-031</t>
        </is>
      </c>
      <c r="K1046" s="15" t="inlineStr">
        <is>
          <t xml:space="preserve">BLK-031</t>
        </is>
      </c>
      <c r="L1046" s="10" t="inlineStr">
        <is>
          <t xml:space="preserve">Mapped once</t>
        </is>
      </c>
      <c r="M1046" s="15"/>
      <c r="N1046" s="15" t="inlineStr">
        <is>
          <t xml:space="preserve">S02; S06</t>
        </is>
      </c>
      <c r="O1046" s="15">
        <v>1</v>
      </c>
      <c r="P1046" s="10" t="str">
        <f>IF(L1046="MISSING","MISSING",IF(O1046=1,"PASS","DUPLICATE"))</f>
        <v>PASS</v>
      </c>
    </row>
    <row r="1047" ht="22" customHeight="1">
      <c r="A1047" s="15" t="inlineStr">
        <is>
          <t xml:space="preserve">Acts 25</t>
        </is>
      </c>
      <c r="B1047" s="15">
        <v>1043</v>
      </c>
      <c r="C1047" s="15" t="inlineStr">
        <is>
          <t xml:space="preserve">New Testament</t>
        </is>
      </c>
      <c r="D1047" s="15">
        <v>44</v>
      </c>
      <c r="E1047" s="15" t="inlineStr">
        <is>
          <t xml:space="preserve">Acts</t>
        </is>
      </c>
      <c r="F1047" s="15">
        <v>25</v>
      </c>
      <c r="G1047" s="15" t="inlineStr">
        <is>
          <t xml:space="preserve">v0.8</t>
        </is>
      </c>
      <c r="H1047" s="15" t="inlineStr">
        <is>
          <t xml:space="preserve">Bible_Journey_Canon_Map_v0_8_Acts_Pauline_Letters.xlsx</t>
        </is>
      </c>
      <c r="I1047" s="15" t="inlineStr">
        <is>
          <t xml:space="preserve">Canon Coverage</t>
        </is>
      </c>
      <c r="J1047" s="15" t="inlineStr">
        <is>
          <t xml:space="preserve">CRS-NT-031</t>
        </is>
      </c>
      <c r="K1047" s="15" t="inlineStr">
        <is>
          <t xml:space="preserve">BLK-031</t>
        </is>
      </c>
      <c r="L1047" s="10" t="inlineStr">
        <is>
          <t xml:space="preserve">Mapped once</t>
        </is>
      </c>
      <c r="M1047" s="15"/>
      <c r="N1047" s="15" t="inlineStr">
        <is>
          <t xml:space="preserve">S02; S06</t>
        </is>
      </c>
      <c r="O1047" s="15">
        <v>1</v>
      </c>
      <c r="P1047" s="10" t="str">
        <f>IF(L1047="MISSING","MISSING",IF(O1047=1,"PASS","DUPLICATE"))</f>
        <v>PASS</v>
      </c>
    </row>
    <row r="1048" ht="22" customHeight="1">
      <c r="A1048" s="15" t="inlineStr">
        <is>
          <t xml:space="preserve">Acts 26</t>
        </is>
      </c>
      <c r="B1048" s="15">
        <v>1044</v>
      </c>
      <c r="C1048" s="15" t="inlineStr">
        <is>
          <t xml:space="preserve">New Testament</t>
        </is>
      </c>
      <c r="D1048" s="15">
        <v>44</v>
      </c>
      <c r="E1048" s="15" t="inlineStr">
        <is>
          <t xml:space="preserve">Acts</t>
        </is>
      </c>
      <c r="F1048" s="15">
        <v>26</v>
      </c>
      <c r="G1048" s="15" t="inlineStr">
        <is>
          <t xml:space="preserve">v0.8</t>
        </is>
      </c>
      <c r="H1048" s="15" t="inlineStr">
        <is>
          <t xml:space="preserve">Bible_Journey_Canon_Map_v0_8_Acts_Pauline_Letters.xlsx</t>
        </is>
      </c>
      <c r="I1048" s="15" t="inlineStr">
        <is>
          <t xml:space="preserve">Canon Coverage</t>
        </is>
      </c>
      <c r="J1048" s="15" t="inlineStr">
        <is>
          <t xml:space="preserve">CRS-NT-031</t>
        </is>
      </c>
      <c r="K1048" s="15" t="inlineStr">
        <is>
          <t xml:space="preserve">BLK-031</t>
        </is>
      </c>
      <c r="L1048" s="10" t="inlineStr">
        <is>
          <t xml:space="preserve">Mapped once</t>
        </is>
      </c>
      <c r="M1048" s="15"/>
      <c r="N1048" s="15" t="inlineStr">
        <is>
          <t xml:space="preserve">S02; S06</t>
        </is>
      </c>
      <c r="O1048" s="15">
        <v>1</v>
      </c>
      <c r="P1048" s="10" t="str">
        <f>IF(L1048="MISSING","MISSING",IF(O1048=1,"PASS","DUPLICATE"))</f>
        <v>PASS</v>
      </c>
    </row>
    <row r="1049" ht="22" customHeight="1">
      <c r="A1049" s="15" t="inlineStr">
        <is>
          <t xml:space="preserve">Acts 27</t>
        </is>
      </c>
      <c r="B1049" s="15">
        <v>1045</v>
      </c>
      <c r="C1049" s="15" t="inlineStr">
        <is>
          <t xml:space="preserve">New Testament</t>
        </is>
      </c>
      <c r="D1049" s="15">
        <v>44</v>
      </c>
      <c r="E1049" s="15" t="inlineStr">
        <is>
          <t xml:space="preserve">Acts</t>
        </is>
      </c>
      <c r="F1049" s="15">
        <v>27</v>
      </c>
      <c r="G1049" s="15" t="inlineStr">
        <is>
          <t xml:space="preserve">v0.8</t>
        </is>
      </c>
      <c r="H1049" s="15" t="inlineStr">
        <is>
          <t xml:space="preserve">Bible_Journey_Canon_Map_v0_8_Acts_Pauline_Letters.xlsx</t>
        </is>
      </c>
      <c r="I1049" s="15" t="inlineStr">
        <is>
          <t xml:space="preserve">Canon Coverage</t>
        </is>
      </c>
      <c r="J1049" s="15" t="inlineStr">
        <is>
          <t xml:space="preserve">CRS-NT-032</t>
        </is>
      </c>
      <c r="K1049" s="15" t="inlineStr">
        <is>
          <t xml:space="preserve">BLK-032</t>
        </is>
      </c>
      <c r="L1049" s="10" t="inlineStr">
        <is>
          <t xml:space="preserve">Mapped once</t>
        </is>
      </c>
      <c r="M1049" s="15"/>
      <c r="N1049" s="15" t="inlineStr">
        <is>
          <t xml:space="preserve">S28</t>
        </is>
      </c>
      <c r="O1049" s="15">
        <v>1</v>
      </c>
      <c r="P1049" s="10" t="str">
        <f>IF(L1049="MISSING","MISSING",IF(O1049=1,"PASS","DUPLICATE"))</f>
        <v>PASS</v>
      </c>
    </row>
    <row r="1050" ht="22" customHeight="1">
      <c r="A1050" s="15" t="inlineStr">
        <is>
          <t xml:space="preserve">Acts 28</t>
        </is>
      </c>
      <c r="B1050" s="15">
        <v>1046</v>
      </c>
      <c r="C1050" s="15" t="inlineStr">
        <is>
          <t xml:space="preserve">New Testament</t>
        </is>
      </c>
      <c r="D1050" s="15">
        <v>44</v>
      </c>
      <c r="E1050" s="15" t="inlineStr">
        <is>
          <t xml:space="preserve">Acts</t>
        </is>
      </c>
      <c r="F1050" s="15">
        <v>28</v>
      </c>
      <c r="G1050" s="15" t="inlineStr">
        <is>
          <t xml:space="preserve">v0.8</t>
        </is>
      </c>
      <c r="H1050" s="15" t="inlineStr">
        <is>
          <t xml:space="preserve">Bible_Journey_Canon_Map_v0_8_Acts_Pauline_Letters.xlsx</t>
        </is>
      </c>
      <c r="I1050" s="15" t="inlineStr">
        <is>
          <t xml:space="preserve">Canon Coverage</t>
        </is>
      </c>
      <c r="J1050" s="15" t="inlineStr">
        <is>
          <t xml:space="preserve">CRS-NT-033</t>
        </is>
      </c>
      <c r="K1050" s="15" t="inlineStr">
        <is>
          <t xml:space="preserve">BLK-033</t>
        </is>
      </c>
      <c r="L1050" s="10" t="inlineStr">
        <is>
          <t xml:space="preserve">Mapped once</t>
        </is>
      </c>
      <c r="M1050" s="15"/>
      <c r="N1050" s="15" t="inlineStr">
        <is>
          <t xml:space="preserve">S01; S07</t>
        </is>
      </c>
      <c r="O1050" s="15">
        <v>1</v>
      </c>
      <c r="P1050" s="10" t="str">
        <f>IF(L1050="MISSING","MISSING",IF(O1050=1,"PASS","DUPLICATE"))</f>
        <v>PASS</v>
      </c>
    </row>
    <row r="1051" ht="22" customHeight="1">
      <c r="A1051" s="15" t="inlineStr">
        <is>
          <t xml:space="preserve">Romans 1</t>
        </is>
      </c>
      <c r="B1051" s="15">
        <v>1047</v>
      </c>
      <c r="C1051" s="15" t="inlineStr">
        <is>
          <t xml:space="preserve">New Testament</t>
        </is>
      </c>
      <c r="D1051" s="15">
        <v>45</v>
      </c>
      <c r="E1051" s="15" t="inlineStr">
        <is>
          <t xml:space="preserve">Romans</t>
        </is>
      </c>
      <c r="F1051" s="15">
        <v>1</v>
      </c>
      <c r="G1051" s="15" t="inlineStr">
        <is>
          <t xml:space="preserve">v0.8</t>
        </is>
      </c>
      <c r="H1051" s="15" t="inlineStr">
        <is>
          <t xml:space="preserve">Bible_Journey_Canon_Map_v0_8_Acts_Pauline_Letters.xlsx</t>
        </is>
      </c>
      <c r="I1051" s="15" t="inlineStr">
        <is>
          <t xml:space="preserve">Canon Coverage</t>
        </is>
      </c>
      <c r="J1051" s="15" t="inlineStr">
        <is>
          <t xml:space="preserve">CRS-NT-028</t>
        </is>
      </c>
      <c r="K1051" s="15" t="inlineStr">
        <is>
          <t xml:space="preserve">BLK-028</t>
        </is>
      </c>
      <c r="L1051" s="10" t="inlineStr">
        <is>
          <t xml:space="preserve">Mapped once</t>
        </is>
      </c>
      <c r="M1051" s="15"/>
      <c r="N1051" s="15" t="inlineStr">
        <is>
          <t xml:space="preserve">S02</t>
        </is>
      </c>
      <c r="O1051" s="15">
        <v>1</v>
      </c>
      <c r="P1051" s="10" t="str">
        <f>IF(L1051="MISSING","MISSING",IF(O1051=1,"PASS","DUPLICATE"))</f>
        <v>PASS</v>
      </c>
    </row>
    <row r="1052" ht="22" customHeight="1">
      <c r="A1052" s="15" t="inlineStr">
        <is>
          <t xml:space="preserve">Romans 2</t>
        </is>
      </c>
      <c r="B1052" s="15">
        <v>1048</v>
      </c>
      <c r="C1052" s="15" t="inlineStr">
        <is>
          <t xml:space="preserve">New Testament</t>
        </is>
      </c>
      <c r="D1052" s="15">
        <v>45</v>
      </c>
      <c r="E1052" s="15" t="inlineStr">
        <is>
          <t xml:space="preserve">Romans</t>
        </is>
      </c>
      <c r="F1052" s="15">
        <v>2</v>
      </c>
      <c r="G1052" s="15" t="inlineStr">
        <is>
          <t xml:space="preserve">v0.8</t>
        </is>
      </c>
      <c r="H1052" s="15" t="inlineStr">
        <is>
          <t xml:space="preserve">Bible_Journey_Canon_Map_v0_8_Acts_Pauline_Letters.xlsx</t>
        </is>
      </c>
      <c r="I1052" s="15" t="inlineStr">
        <is>
          <t xml:space="preserve">Canon Coverage</t>
        </is>
      </c>
      <c r="J1052" s="15" t="inlineStr">
        <is>
          <t xml:space="preserve">CRS-NT-028</t>
        </is>
      </c>
      <c r="K1052" s="15" t="inlineStr">
        <is>
          <t xml:space="preserve">BLK-028</t>
        </is>
      </c>
      <c r="L1052" s="10" t="inlineStr">
        <is>
          <t xml:space="preserve">Mapped once</t>
        </is>
      </c>
      <c r="M1052" s="15"/>
      <c r="N1052" s="15" t="inlineStr">
        <is>
          <t xml:space="preserve">S02</t>
        </is>
      </c>
      <c r="O1052" s="15">
        <v>1</v>
      </c>
      <c r="P1052" s="10" t="str">
        <f>IF(L1052="MISSING","MISSING",IF(O1052=1,"PASS","DUPLICATE"))</f>
        <v>PASS</v>
      </c>
    </row>
    <row r="1053" ht="22" customHeight="1">
      <c r="A1053" s="15" t="inlineStr">
        <is>
          <t xml:space="preserve">Romans 3</t>
        </is>
      </c>
      <c r="B1053" s="15">
        <v>1049</v>
      </c>
      <c r="C1053" s="15" t="inlineStr">
        <is>
          <t xml:space="preserve">New Testament</t>
        </is>
      </c>
      <c r="D1053" s="15">
        <v>45</v>
      </c>
      <c r="E1053" s="15" t="inlineStr">
        <is>
          <t xml:space="preserve">Romans</t>
        </is>
      </c>
      <c r="F1053" s="15">
        <v>3</v>
      </c>
      <c r="G1053" s="15" t="inlineStr">
        <is>
          <t xml:space="preserve">v0.8</t>
        </is>
      </c>
      <c r="H1053" s="15" t="inlineStr">
        <is>
          <t xml:space="preserve">Bible_Journey_Canon_Map_v0_8_Acts_Pauline_Letters.xlsx</t>
        </is>
      </c>
      <c r="I1053" s="15" t="inlineStr">
        <is>
          <t xml:space="preserve">Canon Coverage</t>
        </is>
      </c>
      <c r="J1053" s="15" t="inlineStr">
        <is>
          <t xml:space="preserve">CRS-NT-028</t>
        </is>
      </c>
      <c r="K1053" s="15" t="inlineStr">
        <is>
          <t xml:space="preserve">BLK-028</t>
        </is>
      </c>
      <c r="L1053" s="10" t="inlineStr">
        <is>
          <t xml:space="preserve">Mapped once</t>
        </is>
      </c>
      <c r="M1053" s="15"/>
      <c r="N1053" s="15" t="inlineStr">
        <is>
          <t xml:space="preserve">S02</t>
        </is>
      </c>
      <c r="O1053" s="15">
        <v>1</v>
      </c>
      <c r="P1053" s="10" t="str">
        <f>IF(L1053="MISSING","MISSING",IF(O1053=1,"PASS","DUPLICATE"))</f>
        <v>PASS</v>
      </c>
    </row>
    <row r="1054" ht="22" customHeight="1">
      <c r="A1054" s="15" t="inlineStr">
        <is>
          <t xml:space="preserve">Romans 4</t>
        </is>
      </c>
      <c r="B1054" s="15">
        <v>1050</v>
      </c>
      <c r="C1054" s="15" t="inlineStr">
        <is>
          <t xml:space="preserve">New Testament</t>
        </is>
      </c>
      <c r="D1054" s="15">
        <v>45</v>
      </c>
      <c r="E1054" s="15" t="inlineStr">
        <is>
          <t xml:space="preserve">Romans</t>
        </is>
      </c>
      <c r="F1054" s="15">
        <v>4</v>
      </c>
      <c r="G1054" s="15" t="inlineStr">
        <is>
          <t xml:space="preserve">v0.8</t>
        </is>
      </c>
      <c r="H1054" s="15" t="inlineStr">
        <is>
          <t xml:space="preserve">Bible_Journey_Canon_Map_v0_8_Acts_Pauline_Letters.xlsx</t>
        </is>
      </c>
      <c r="I1054" s="15" t="inlineStr">
        <is>
          <t xml:space="preserve">Canon Coverage</t>
        </is>
      </c>
      <c r="J1054" s="15" t="inlineStr">
        <is>
          <t xml:space="preserve">CRS-NT-028</t>
        </is>
      </c>
      <c r="K1054" s="15" t="inlineStr">
        <is>
          <t xml:space="preserve">BLK-028</t>
        </is>
      </c>
      <c r="L1054" s="10" t="inlineStr">
        <is>
          <t xml:space="preserve">Mapped once</t>
        </is>
      </c>
      <c r="M1054" s="15"/>
      <c r="N1054" s="15" t="inlineStr">
        <is>
          <t xml:space="preserve">S02</t>
        </is>
      </c>
      <c r="O1054" s="15">
        <v>1</v>
      </c>
      <c r="P1054" s="10" t="str">
        <f>IF(L1054="MISSING","MISSING",IF(O1054=1,"PASS","DUPLICATE"))</f>
        <v>PASS</v>
      </c>
    </row>
    <row r="1055" ht="22" customHeight="1">
      <c r="A1055" s="15" t="inlineStr">
        <is>
          <t xml:space="preserve">Romans 5</t>
        </is>
      </c>
      <c r="B1055" s="15">
        <v>1051</v>
      </c>
      <c r="C1055" s="15" t="inlineStr">
        <is>
          <t xml:space="preserve">New Testament</t>
        </is>
      </c>
      <c r="D1055" s="15">
        <v>45</v>
      </c>
      <c r="E1055" s="15" t="inlineStr">
        <is>
          <t xml:space="preserve">Romans</t>
        </is>
      </c>
      <c r="F1055" s="15">
        <v>5</v>
      </c>
      <c r="G1055" s="15" t="inlineStr">
        <is>
          <t xml:space="preserve">v0.8</t>
        </is>
      </c>
      <c r="H1055" s="15" t="inlineStr">
        <is>
          <t xml:space="preserve">Bible_Journey_Canon_Map_v0_8_Acts_Pauline_Letters.xlsx</t>
        </is>
      </c>
      <c r="I1055" s="15" t="inlineStr">
        <is>
          <t xml:space="preserve">Canon Coverage</t>
        </is>
      </c>
      <c r="J1055" s="15" t="inlineStr">
        <is>
          <t xml:space="preserve">CRS-NT-028</t>
        </is>
      </c>
      <c r="K1055" s="15" t="inlineStr">
        <is>
          <t xml:space="preserve">BLK-028</t>
        </is>
      </c>
      <c r="L1055" s="10" t="inlineStr">
        <is>
          <t xml:space="preserve">Mapped once</t>
        </is>
      </c>
      <c r="M1055" s="15"/>
      <c r="N1055" s="15" t="inlineStr">
        <is>
          <t xml:space="preserve">S02</t>
        </is>
      </c>
      <c r="O1055" s="15">
        <v>1</v>
      </c>
      <c r="P1055" s="10" t="str">
        <f>IF(L1055="MISSING","MISSING",IF(O1055=1,"PASS","DUPLICATE"))</f>
        <v>PASS</v>
      </c>
    </row>
    <row r="1056" ht="22" customHeight="1">
      <c r="A1056" s="15" t="inlineStr">
        <is>
          <t xml:space="preserve">Romans 6</t>
        </is>
      </c>
      <c r="B1056" s="15">
        <v>1052</v>
      </c>
      <c r="C1056" s="15" t="inlineStr">
        <is>
          <t xml:space="preserve">New Testament</t>
        </is>
      </c>
      <c r="D1056" s="15">
        <v>45</v>
      </c>
      <c r="E1056" s="15" t="inlineStr">
        <is>
          <t xml:space="preserve">Romans</t>
        </is>
      </c>
      <c r="F1056" s="15">
        <v>6</v>
      </c>
      <c r="G1056" s="15" t="inlineStr">
        <is>
          <t xml:space="preserve">v0.8</t>
        </is>
      </c>
      <c r="H1056" s="15" t="inlineStr">
        <is>
          <t xml:space="preserve">Bible_Journey_Canon_Map_v0_8_Acts_Pauline_Letters.xlsx</t>
        </is>
      </c>
      <c r="I1056" s="15" t="inlineStr">
        <is>
          <t xml:space="preserve">Canon Coverage</t>
        </is>
      </c>
      <c r="J1056" s="15" t="inlineStr">
        <is>
          <t xml:space="preserve">CRS-NT-028</t>
        </is>
      </c>
      <c r="K1056" s="15" t="inlineStr">
        <is>
          <t xml:space="preserve">BLK-028</t>
        </is>
      </c>
      <c r="L1056" s="10" t="inlineStr">
        <is>
          <t xml:space="preserve">Mapped once</t>
        </is>
      </c>
      <c r="M1056" s="15"/>
      <c r="N1056" s="15" t="inlineStr">
        <is>
          <t xml:space="preserve">S02</t>
        </is>
      </c>
      <c r="O1056" s="15">
        <v>1</v>
      </c>
      <c r="P1056" s="10" t="str">
        <f>IF(L1056="MISSING","MISSING",IF(O1056=1,"PASS","DUPLICATE"))</f>
        <v>PASS</v>
      </c>
    </row>
    <row r="1057" ht="22" customHeight="1">
      <c r="A1057" s="15" t="inlineStr">
        <is>
          <t xml:space="preserve">Romans 7</t>
        </is>
      </c>
      <c r="B1057" s="15">
        <v>1053</v>
      </c>
      <c r="C1057" s="15" t="inlineStr">
        <is>
          <t xml:space="preserve">New Testament</t>
        </is>
      </c>
      <c r="D1057" s="15">
        <v>45</v>
      </c>
      <c r="E1057" s="15" t="inlineStr">
        <is>
          <t xml:space="preserve">Romans</t>
        </is>
      </c>
      <c r="F1057" s="15">
        <v>7</v>
      </c>
      <c r="G1057" s="15" t="inlineStr">
        <is>
          <t xml:space="preserve">v0.8</t>
        </is>
      </c>
      <c r="H1057" s="15" t="inlineStr">
        <is>
          <t xml:space="preserve">Bible_Journey_Canon_Map_v0_8_Acts_Pauline_Letters.xlsx</t>
        </is>
      </c>
      <c r="I1057" s="15" t="inlineStr">
        <is>
          <t xml:space="preserve">Canon Coverage</t>
        </is>
      </c>
      <c r="J1057" s="15" t="inlineStr">
        <is>
          <t xml:space="preserve">CRS-NT-028</t>
        </is>
      </c>
      <c r="K1057" s="15" t="inlineStr">
        <is>
          <t xml:space="preserve">BLK-028</t>
        </is>
      </c>
      <c r="L1057" s="10" t="inlineStr">
        <is>
          <t xml:space="preserve">Mapped once</t>
        </is>
      </c>
      <c r="M1057" s="15"/>
      <c r="N1057" s="15" t="inlineStr">
        <is>
          <t xml:space="preserve">S02</t>
        </is>
      </c>
      <c r="O1057" s="15">
        <v>1</v>
      </c>
      <c r="P1057" s="10" t="str">
        <f>IF(L1057="MISSING","MISSING",IF(O1057=1,"PASS","DUPLICATE"))</f>
        <v>PASS</v>
      </c>
    </row>
    <row r="1058" ht="22" customHeight="1">
      <c r="A1058" s="15" t="inlineStr">
        <is>
          <t xml:space="preserve">Romans 8</t>
        </is>
      </c>
      <c r="B1058" s="15">
        <v>1054</v>
      </c>
      <c r="C1058" s="15" t="inlineStr">
        <is>
          <t xml:space="preserve">New Testament</t>
        </is>
      </c>
      <c r="D1058" s="15">
        <v>45</v>
      </c>
      <c r="E1058" s="15" t="inlineStr">
        <is>
          <t xml:space="preserve">Romans</t>
        </is>
      </c>
      <c r="F1058" s="15">
        <v>8</v>
      </c>
      <c r="G1058" s="15" t="inlineStr">
        <is>
          <t xml:space="preserve">v0.8</t>
        </is>
      </c>
      <c r="H1058" s="15" t="inlineStr">
        <is>
          <t xml:space="preserve">Bible_Journey_Canon_Map_v0_8_Acts_Pauline_Letters.xlsx</t>
        </is>
      </c>
      <c r="I1058" s="15" t="inlineStr">
        <is>
          <t xml:space="preserve">Canon Coverage</t>
        </is>
      </c>
      <c r="J1058" s="15" t="inlineStr">
        <is>
          <t xml:space="preserve">CRS-NT-028</t>
        </is>
      </c>
      <c r="K1058" s="15" t="inlineStr">
        <is>
          <t xml:space="preserve">BLK-028</t>
        </is>
      </c>
      <c r="L1058" s="10" t="inlineStr">
        <is>
          <t xml:space="preserve">Mapped once</t>
        </is>
      </c>
      <c r="M1058" s="15"/>
      <c r="N1058" s="15" t="inlineStr">
        <is>
          <t xml:space="preserve">S02</t>
        </is>
      </c>
      <c r="O1058" s="15">
        <v>1</v>
      </c>
      <c r="P1058" s="10" t="str">
        <f>IF(L1058="MISSING","MISSING",IF(O1058=1,"PASS","DUPLICATE"))</f>
        <v>PASS</v>
      </c>
    </row>
    <row r="1059" ht="22" customHeight="1">
      <c r="A1059" s="15" t="inlineStr">
        <is>
          <t xml:space="preserve">Romans 9</t>
        </is>
      </c>
      <c r="B1059" s="15">
        <v>1055</v>
      </c>
      <c r="C1059" s="15" t="inlineStr">
        <is>
          <t xml:space="preserve">New Testament</t>
        </is>
      </c>
      <c r="D1059" s="15">
        <v>45</v>
      </c>
      <c r="E1059" s="15" t="inlineStr">
        <is>
          <t xml:space="preserve">Romans</t>
        </is>
      </c>
      <c r="F1059" s="15">
        <v>9</v>
      </c>
      <c r="G1059" s="15" t="inlineStr">
        <is>
          <t xml:space="preserve">v0.8</t>
        </is>
      </c>
      <c r="H1059" s="15" t="inlineStr">
        <is>
          <t xml:space="preserve">Bible_Journey_Canon_Map_v0_8_Acts_Pauline_Letters.xlsx</t>
        </is>
      </c>
      <c r="I1059" s="15" t="inlineStr">
        <is>
          <t xml:space="preserve">Canon Coverage</t>
        </is>
      </c>
      <c r="J1059" s="15" t="inlineStr">
        <is>
          <t xml:space="preserve">CRS-NT-028</t>
        </is>
      </c>
      <c r="K1059" s="15" t="inlineStr">
        <is>
          <t xml:space="preserve">BLK-028</t>
        </is>
      </c>
      <c r="L1059" s="10" t="inlineStr">
        <is>
          <t xml:space="preserve">Mapped once</t>
        </is>
      </c>
      <c r="M1059" s="15"/>
      <c r="N1059" s="15" t="inlineStr">
        <is>
          <t xml:space="preserve">S02</t>
        </is>
      </c>
      <c r="O1059" s="15">
        <v>1</v>
      </c>
      <c r="P1059" s="10" t="str">
        <f>IF(L1059="MISSING","MISSING",IF(O1059=1,"PASS","DUPLICATE"))</f>
        <v>PASS</v>
      </c>
    </row>
    <row r="1060" ht="22" customHeight="1">
      <c r="A1060" s="15" t="inlineStr">
        <is>
          <t xml:space="preserve">Romans 10</t>
        </is>
      </c>
      <c r="B1060" s="15">
        <v>1056</v>
      </c>
      <c r="C1060" s="15" t="inlineStr">
        <is>
          <t xml:space="preserve">New Testament</t>
        </is>
      </c>
      <c r="D1060" s="15">
        <v>45</v>
      </c>
      <c r="E1060" s="15" t="inlineStr">
        <is>
          <t xml:space="preserve">Romans</t>
        </is>
      </c>
      <c r="F1060" s="15">
        <v>10</v>
      </c>
      <c r="G1060" s="15" t="inlineStr">
        <is>
          <t xml:space="preserve">v0.8</t>
        </is>
      </c>
      <c r="H1060" s="15" t="inlineStr">
        <is>
          <t xml:space="preserve">Bible_Journey_Canon_Map_v0_8_Acts_Pauline_Letters.xlsx</t>
        </is>
      </c>
      <c r="I1060" s="15" t="inlineStr">
        <is>
          <t xml:space="preserve">Canon Coverage</t>
        </is>
      </c>
      <c r="J1060" s="15" t="inlineStr">
        <is>
          <t xml:space="preserve">CRS-NT-028</t>
        </is>
      </c>
      <c r="K1060" s="15" t="inlineStr">
        <is>
          <t xml:space="preserve">BLK-028</t>
        </is>
      </c>
      <c r="L1060" s="10" t="inlineStr">
        <is>
          <t xml:space="preserve">Mapped once</t>
        </is>
      </c>
      <c r="M1060" s="15"/>
      <c r="N1060" s="15" t="inlineStr">
        <is>
          <t xml:space="preserve">S02</t>
        </is>
      </c>
      <c r="O1060" s="15">
        <v>1</v>
      </c>
      <c r="P1060" s="10" t="str">
        <f>IF(L1060="MISSING","MISSING",IF(O1060=1,"PASS","DUPLICATE"))</f>
        <v>PASS</v>
      </c>
    </row>
    <row r="1061" ht="22" customHeight="1">
      <c r="A1061" s="15" t="inlineStr">
        <is>
          <t xml:space="preserve">Romans 11</t>
        </is>
      </c>
      <c r="B1061" s="15">
        <v>1057</v>
      </c>
      <c r="C1061" s="15" t="inlineStr">
        <is>
          <t xml:space="preserve">New Testament</t>
        </is>
      </c>
      <c r="D1061" s="15">
        <v>45</v>
      </c>
      <c r="E1061" s="15" t="inlineStr">
        <is>
          <t xml:space="preserve">Romans</t>
        </is>
      </c>
      <c r="F1061" s="15">
        <v>11</v>
      </c>
      <c r="G1061" s="15" t="inlineStr">
        <is>
          <t xml:space="preserve">v0.8</t>
        </is>
      </c>
      <c r="H1061" s="15" t="inlineStr">
        <is>
          <t xml:space="preserve">Bible_Journey_Canon_Map_v0_8_Acts_Pauline_Letters.xlsx</t>
        </is>
      </c>
      <c r="I1061" s="15" t="inlineStr">
        <is>
          <t xml:space="preserve">Canon Coverage</t>
        </is>
      </c>
      <c r="J1061" s="15" t="inlineStr">
        <is>
          <t xml:space="preserve">CRS-NT-028</t>
        </is>
      </c>
      <c r="K1061" s="15" t="inlineStr">
        <is>
          <t xml:space="preserve">BLK-028</t>
        </is>
      </c>
      <c r="L1061" s="10" t="inlineStr">
        <is>
          <t xml:space="preserve">Mapped once</t>
        </is>
      </c>
      <c r="M1061" s="15"/>
      <c r="N1061" s="15" t="inlineStr">
        <is>
          <t xml:space="preserve">S02</t>
        </is>
      </c>
      <c r="O1061" s="15">
        <v>1</v>
      </c>
      <c r="P1061" s="10" t="str">
        <f>IF(L1061="MISSING","MISSING",IF(O1061=1,"PASS","DUPLICATE"))</f>
        <v>PASS</v>
      </c>
    </row>
    <row r="1062" ht="22" customHeight="1">
      <c r="A1062" s="15" t="inlineStr">
        <is>
          <t xml:space="preserve">Romans 12</t>
        </is>
      </c>
      <c r="B1062" s="15">
        <v>1058</v>
      </c>
      <c r="C1062" s="15" t="inlineStr">
        <is>
          <t xml:space="preserve">New Testament</t>
        </is>
      </c>
      <c r="D1062" s="15">
        <v>45</v>
      </c>
      <c r="E1062" s="15" t="inlineStr">
        <is>
          <t xml:space="preserve">Romans</t>
        </is>
      </c>
      <c r="F1062" s="15">
        <v>12</v>
      </c>
      <c r="G1062" s="15" t="inlineStr">
        <is>
          <t xml:space="preserve">v0.8</t>
        </is>
      </c>
      <c r="H1062" s="15" t="inlineStr">
        <is>
          <t xml:space="preserve">Bible_Journey_Canon_Map_v0_8_Acts_Pauline_Letters.xlsx</t>
        </is>
      </c>
      <c r="I1062" s="15" t="inlineStr">
        <is>
          <t xml:space="preserve">Canon Coverage</t>
        </is>
      </c>
      <c r="J1062" s="15" t="inlineStr">
        <is>
          <t xml:space="preserve">CRS-NT-028</t>
        </is>
      </c>
      <c r="K1062" s="15" t="inlineStr">
        <is>
          <t xml:space="preserve">BLK-028</t>
        </is>
      </c>
      <c r="L1062" s="10" t="inlineStr">
        <is>
          <t xml:space="preserve">Mapped once</t>
        </is>
      </c>
      <c r="M1062" s="15"/>
      <c r="N1062" s="15" t="inlineStr">
        <is>
          <t xml:space="preserve">S02</t>
        </is>
      </c>
      <c r="O1062" s="15">
        <v>1</v>
      </c>
      <c r="P1062" s="10" t="str">
        <f>IF(L1062="MISSING","MISSING",IF(O1062=1,"PASS","DUPLICATE"))</f>
        <v>PASS</v>
      </c>
    </row>
    <row r="1063" ht="22" customHeight="1">
      <c r="A1063" s="15" t="inlineStr">
        <is>
          <t xml:space="preserve">Romans 13</t>
        </is>
      </c>
      <c r="B1063" s="15">
        <v>1059</v>
      </c>
      <c r="C1063" s="15" t="inlineStr">
        <is>
          <t xml:space="preserve">New Testament</t>
        </is>
      </c>
      <c r="D1063" s="15">
        <v>45</v>
      </c>
      <c r="E1063" s="15" t="inlineStr">
        <is>
          <t xml:space="preserve">Romans</t>
        </is>
      </c>
      <c r="F1063" s="15">
        <v>13</v>
      </c>
      <c r="G1063" s="15" t="inlineStr">
        <is>
          <t xml:space="preserve">v0.8</t>
        </is>
      </c>
      <c r="H1063" s="15" t="inlineStr">
        <is>
          <t xml:space="preserve">Bible_Journey_Canon_Map_v0_8_Acts_Pauline_Letters.xlsx</t>
        </is>
      </c>
      <c r="I1063" s="15" t="inlineStr">
        <is>
          <t xml:space="preserve">Canon Coverage</t>
        </is>
      </c>
      <c r="J1063" s="15" t="inlineStr">
        <is>
          <t xml:space="preserve">CRS-NT-028</t>
        </is>
      </c>
      <c r="K1063" s="15" t="inlineStr">
        <is>
          <t xml:space="preserve">BLK-028</t>
        </is>
      </c>
      <c r="L1063" s="10" t="inlineStr">
        <is>
          <t xml:space="preserve">Mapped once</t>
        </is>
      </c>
      <c r="M1063" s="15"/>
      <c r="N1063" s="15" t="inlineStr">
        <is>
          <t xml:space="preserve">S02</t>
        </is>
      </c>
      <c r="O1063" s="15">
        <v>1</v>
      </c>
      <c r="P1063" s="10" t="str">
        <f>IF(L1063="MISSING","MISSING",IF(O1063=1,"PASS","DUPLICATE"))</f>
        <v>PASS</v>
      </c>
    </row>
    <row r="1064" ht="22" customHeight="1">
      <c r="A1064" s="15" t="inlineStr">
        <is>
          <t xml:space="preserve">Romans 14</t>
        </is>
      </c>
      <c r="B1064" s="15">
        <v>1060</v>
      </c>
      <c r="C1064" s="15" t="inlineStr">
        <is>
          <t xml:space="preserve">New Testament</t>
        </is>
      </c>
      <c r="D1064" s="15">
        <v>45</v>
      </c>
      <c r="E1064" s="15" t="inlineStr">
        <is>
          <t xml:space="preserve">Romans</t>
        </is>
      </c>
      <c r="F1064" s="15">
        <v>14</v>
      </c>
      <c r="G1064" s="15" t="inlineStr">
        <is>
          <t xml:space="preserve">v0.8</t>
        </is>
      </c>
      <c r="H1064" s="15" t="inlineStr">
        <is>
          <t xml:space="preserve">Bible_Journey_Canon_Map_v0_8_Acts_Pauline_Letters.xlsx</t>
        </is>
      </c>
      <c r="I1064" s="15" t="inlineStr">
        <is>
          <t xml:space="preserve">Canon Coverage</t>
        </is>
      </c>
      <c r="J1064" s="15" t="inlineStr">
        <is>
          <t xml:space="preserve">CRS-NT-028</t>
        </is>
      </c>
      <c r="K1064" s="15" t="inlineStr">
        <is>
          <t xml:space="preserve">BLK-028</t>
        </is>
      </c>
      <c r="L1064" s="10" t="inlineStr">
        <is>
          <t xml:space="preserve">Mapped once</t>
        </is>
      </c>
      <c r="M1064" s="15"/>
      <c r="N1064" s="15" t="inlineStr">
        <is>
          <t xml:space="preserve">S02</t>
        </is>
      </c>
      <c r="O1064" s="15">
        <v>1</v>
      </c>
      <c r="P1064" s="10" t="str">
        <f>IF(L1064="MISSING","MISSING",IF(O1064=1,"PASS","DUPLICATE"))</f>
        <v>PASS</v>
      </c>
    </row>
    <row r="1065" ht="22" customHeight="1">
      <c r="A1065" s="15" t="inlineStr">
        <is>
          <t xml:space="preserve">Romans 15</t>
        </is>
      </c>
      <c r="B1065" s="15">
        <v>1061</v>
      </c>
      <c r="C1065" s="15" t="inlineStr">
        <is>
          <t xml:space="preserve">New Testament</t>
        </is>
      </c>
      <c r="D1065" s="15">
        <v>45</v>
      </c>
      <c r="E1065" s="15" t="inlineStr">
        <is>
          <t xml:space="preserve">Romans</t>
        </is>
      </c>
      <c r="F1065" s="15">
        <v>15</v>
      </c>
      <c r="G1065" s="15" t="inlineStr">
        <is>
          <t xml:space="preserve">v0.8</t>
        </is>
      </c>
      <c r="H1065" s="15" t="inlineStr">
        <is>
          <t xml:space="preserve">Bible_Journey_Canon_Map_v0_8_Acts_Pauline_Letters.xlsx</t>
        </is>
      </c>
      <c r="I1065" s="15" t="inlineStr">
        <is>
          <t xml:space="preserve">Canon Coverage</t>
        </is>
      </c>
      <c r="J1065" s="15" t="inlineStr">
        <is>
          <t xml:space="preserve">CRS-NT-028</t>
        </is>
      </c>
      <c r="K1065" s="15" t="inlineStr">
        <is>
          <t xml:space="preserve">BLK-028</t>
        </is>
      </c>
      <c r="L1065" s="10" t="inlineStr">
        <is>
          <t xml:space="preserve">Mapped once</t>
        </is>
      </c>
      <c r="M1065" s="15"/>
      <c r="N1065" s="15" t="inlineStr">
        <is>
          <t xml:space="preserve">S02</t>
        </is>
      </c>
      <c r="O1065" s="15">
        <v>1</v>
      </c>
      <c r="P1065" s="10" t="str">
        <f>IF(L1065="MISSING","MISSING",IF(O1065=1,"PASS","DUPLICATE"))</f>
        <v>PASS</v>
      </c>
    </row>
    <row r="1066" ht="22" customHeight="1">
      <c r="A1066" s="15" t="inlineStr">
        <is>
          <t xml:space="preserve">Romans 16</t>
        </is>
      </c>
      <c r="B1066" s="15">
        <v>1062</v>
      </c>
      <c r="C1066" s="15" t="inlineStr">
        <is>
          <t xml:space="preserve">New Testament</t>
        </is>
      </c>
      <c r="D1066" s="15">
        <v>45</v>
      </c>
      <c r="E1066" s="15" t="inlineStr">
        <is>
          <t xml:space="preserve">Romans</t>
        </is>
      </c>
      <c r="F1066" s="15">
        <v>16</v>
      </c>
      <c r="G1066" s="15" t="inlineStr">
        <is>
          <t xml:space="preserve">v0.8</t>
        </is>
      </c>
      <c r="H1066" s="15" t="inlineStr">
        <is>
          <t xml:space="preserve">Bible_Journey_Canon_Map_v0_8_Acts_Pauline_Letters.xlsx</t>
        </is>
      </c>
      <c r="I1066" s="15" t="inlineStr">
        <is>
          <t xml:space="preserve">Canon Coverage</t>
        </is>
      </c>
      <c r="J1066" s="15" t="inlineStr">
        <is>
          <t xml:space="preserve">CRS-NT-028</t>
        </is>
      </c>
      <c r="K1066" s="15" t="inlineStr">
        <is>
          <t xml:space="preserve">BLK-028</t>
        </is>
      </c>
      <c r="L1066" s="10" t="inlineStr">
        <is>
          <t xml:space="preserve">Mapped once</t>
        </is>
      </c>
      <c r="M1066" s="15"/>
      <c r="N1066" s="15" t="inlineStr">
        <is>
          <t xml:space="preserve">S02</t>
        </is>
      </c>
      <c r="O1066" s="15">
        <v>1</v>
      </c>
      <c r="P1066" s="10" t="str">
        <f>IF(L1066="MISSING","MISSING",IF(O1066=1,"PASS","DUPLICATE"))</f>
        <v>PASS</v>
      </c>
    </row>
    <row r="1067" ht="22" customHeight="1">
      <c r="A1067" s="15" t="inlineStr">
        <is>
          <t xml:space="preserve">1 Corinthians 1</t>
        </is>
      </c>
      <c r="B1067" s="15">
        <v>1063</v>
      </c>
      <c r="C1067" s="15" t="inlineStr">
        <is>
          <t xml:space="preserve">New Testament</t>
        </is>
      </c>
      <c r="D1067" s="15">
        <v>46</v>
      </c>
      <c r="E1067" s="15" t="inlineStr">
        <is>
          <t xml:space="preserve">1 Corinthians</t>
        </is>
      </c>
      <c r="F1067" s="15">
        <v>1</v>
      </c>
      <c r="G1067" s="15" t="inlineStr">
        <is>
          <t xml:space="preserve">v0.8</t>
        </is>
      </c>
      <c r="H1067" s="15" t="inlineStr">
        <is>
          <t xml:space="preserve">Bible_Journey_Canon_Map_v0_8_Acts_Pauline_Letters.xlsx</t>
        </is>
      </c>
      <c r="I1067" s="15" t="inlineStr">
        <is>
          <t xml:space="preserve">Canon Coverage</t>
        </is>
      </c>
      <c r="J1067" s="15" t="inlineStr">
        <is>
          <t xml:space="preserve">CRS-NT-024</t>
        </is>
      </c>
      <c r="K1067" s="15" t="inlineStr">
        <is>
          <t xml:space="preserve">BLK-024</t>
        </is>
      </c>
      <c r="L1067" s="10" t="inlineStr">
        <is>
          <t xml:space="preserve">Mapped once</t>
        </is>
      </c>
      <c r="M1067" s="15"/>
      <c r="N1067" s="15" t="inlineStr">
        <is>
          <t xml:space="preserve">S04; S01</t>
        </is>
      </c>
      <c r="O1067" s="15">
        <v>1</v>
      </c>
      <c r="P1067" s="10" t="str">
        <f>IF(L1067="MISSING","MISSING",IF(O1067=1,"PASS","DUPLICATE"))</f>
        <v>PASS</v>
      </c>
    </row>
    <row r="1068" ht="22" customHeight="1">
      <c r="A1068" s="15" t="inlineStr">
        <is>
          <t xml:space="preserve">1 Corinthians 2</t>
        </is>
      </c>
      <c r="B1068" s="15">
        <v>1064</v>
      </c>
      <c r="C1068" s="15" t="inlineStr">
        <is>
          <t xml:space="preserve">New Testament</t>
        </is>
      </c>
      <c r="D1068" s="15">
        <v>46</v>
      </c>
      <c r="E1068" s="15" t="inlineStr">
        <is>
          <t xml:space="preserve">1 Corinthians</t>
        </is>
      </c>
      <c r="F1068" s="15">
        <v>2</v>
      </c>
      <c r="G1068" s="15" t="inlineStr">
        <is>
          <t xml:space="preserve">v0.8</t>
        </is>
      </c>
      <c r="H1068" s="15" t="inlineStr">
        <is>
          <t xml:space="preserve">Bible_Journey_Canon_Map_v0_8_Acts_Pauline_Letters.xlsx</t>
        </is>
      </c>
      <c r="I1068" s="15" t="inlineStr">
        <is>
          <t xml:space="preserve">Canon Coverage</t>
        </is>
      </c>
      <c r="J1068" s="15" t="inlineStr">
        <is>
          <t xml:space="preserve">CRS-NT-024</t>
        </is>
      </c>
      <c r="K1068" s="15" t="inlineStr">
        <is>
          <t xml:space="preserve">BLK-024</t>
        </is>
      </c>
      <c r="L1068" s="10" t="inlineStr">
        <is>
          <t xml:space="preserve">Mapped once</t>
        </is>
      </c>
      <c r="M1068" s="15"/>
      <c r="N1068" s="15" t="inlineStr">
        <is>
          <t xml:space="preserve">S04; S01</t>
        </is>
      </c>
      <c r="O1068" s="15">
        <v>1</v>
      </c>
      <c r="P1068" s="10" t="str">
        <f>IF(L1068="MISSING","MISSING",IF(O1068=1,"PASS","DUPLICATE"))</f>
        <v>PASS</v>
      </c>
    </row>
    <row r="1069" ht="22" customHeight="1">
      <c r="A1069" s="15" t="inlineStr">
        <is>
          <t xml:space="preserve">1 Corinthians 3</t>
        </is>
      </c>
      <c r="B1069" s="15">
        <v>1065</v>
      </c>
      <c r="C1069" s="15" t="inlineStr">
        <is>
          <t xml:space="preserve">New Testament</t>
        </is>
      </c>
      <c r="D1069" s="15">
        <v>46</v>
      </c>
      <c r="E1069" s="15" t="inlineStr">
        <is>
          <t xml:space="preserve">1 Corinthians</t>
        </is>
      </c>
      <c r="F1069" s="15">
        <v>3</v>
      </c>
      <c r="G1069" s="15" t="inlineStr">
        <is>
          <t xml:space="preserve">v0.8</t>
        </is>
      </c>
      <c r="H1069" s="15" t="inlineStr">
        <is>
          <t xml:space="preserve">Bible_Journey_Canon_Map_v0_8_Acts_Pauline_Letters.xlsx</t>
        </is>
      </c>
      <c r="I1069" s="15" t="inlineStr">
        <is>
          <t xml:space="preserve">Canon Coverage</t>
        </is>
      </c>
      <c r="J1069" s="15" t="inlineStr">
        <is>
          <t xml:space="preserve">CRS-NT-024</t>
        </is>
      </c>
      <c r="K1069" s="15" t="inlineStr">
        <is>
          <t xml:space="preserve">BLK-024</t>
        </is>
      </c>
      <c r="L1069" s="10" t="inlineStr">
        <is>
          <t xml:space="preserve">Mapped once</t>
        </is>
      </c>
      <c r="M1069" s="15"/>
      <c r="N1069" s="15" t="inlineStr">
        <is>
          <t xml:space="preserve">S04; S01</t>
        </is>
      </c>
      <c r="O1069" s="15">
        <v>1</v>
      </c>
      <c r="P1069" s="10" t="str">
        <f>IF(L1069="MISSING","MISSING",IF(O1069=1,"PASS","DUPLICATE"))</f>
        <v>PASS</v>
      </c>
    </row>
    <row r="1070" ht="22" customHeight="1">
      <c r="A1070" s="15" t="inlineStr">
        <is>
          <t xml:space="preserve">1 Corinthians 4</t>
        </is>
      </c>
      <c r="B1070" s="15">
        <v>1066</v>
      </c>
      <c r="C1070" s="15" t="inlineStr">
        <is>
          <t xml:space="preserve">New Testament</t>
        </is>
      </c>
      <c r="D1070" s="15">
        <v>46</v>
      </c>
      <c r="E1070" s="15" t="inlineStr">
        <is>
          <t xml:space="preserve">1 Corinthians</t>
        </is>
      </c>
      <c r="F1070" s="15">
        <v>4</v>
      </c>
      <c r="G1070" s="15" t="inlineStr">
        <is>
          <t xml:space="preserve">v0.8</t>
        </is>
      </c>
      <c r="H1070" s="15" t="inlineStr">
        <is>
          <t xml:space="preserve">Bible_Journey_Canon_Map_v0_8_Acts_Pauline_Letters.xlsx</t>
        </is>
      </c>
      <c r="I1070" s="15" t="inlineStr">
        <is>
          <t xml:space="preserve">Canon Coverage</t>
        </is>
      </c>
      <c r="J1070" s="15" t="inlineStr">
        <is>
          <t xml:space="preserve">CRS-NT-024</t>
        </is>
      </c>
      <c r="K1070" s="15" t="inlineStr">
        <is>
          <t xml:space="preserve">BLK-024</t>
        </is>
      </c>
      <c r="L1070" s="10" t="inlineStr">
        <is>
          <t xml:space="preserve">Mapped once</t>
        </is>
      </c>
      <c r="M1070" s="15"/>
      <c r="N1070" s="15" t="inlineStr">
        <is>
          <t xml:space="preserve">S04; S01</t>
        </is>
      </c>
      <c r="O1070" s="15">
        <v>1</v>
      </c>
      <c r="P1070" s="10" t="str">
        <f>IF(L1070="MISSING","MISSING",IF(O1070=1,"PASS","DUPLICATE"))</f>
        <v>PASS</v>
      </c>
    </row>
    <row r="1071" ht="22" customHeight="1">
      <c r="A1071" s="15" t="inlineStr">
        <is>
          <t xml:space="preserve">1 Corinthians 5</t>
        </is>
      </c>
      <c r="B1071" s="15">
        <v>1067</v>
      </c>
      <c r="C1071" s="15" t="inlineStr">
        <is>
          <t xml:space="preserve">New Testament</t>
        </is>
      </c>
      <c r="D1071" s="15">
        <v>46</v>
      </c>
      <c r="E1071" s="15" t="inlineStr">
        <is>
          <t xml:space="preserve">1 Corinthians</t>
        </is>
      </c>
      <c r="F1071" s="15">
        <v>5</v>
      </c>
      <c r="G1071" s="15" t="inlineStr">
        <is>
          <t xml:space="preserve">v0.8</t>
        </is>
      </c>
      <c r="H1071" s="15" t="inlineStr">
        <is>
          <t xml:space="preserve">Bible_Journey_Canon_Map_v0_8_Acts_Pauline_Letters.xlsx</t>
        </is>
      </c>
      <c r="I1071" s="15" t="inlineStr">
        <is>
          <t xml:space="preserve">Canon Coverage</t>
        </is>
      </c>
      <c r="J1071" s="15" t="inlineStr">
        <is>
          <t xml:space="preserve">CRS-NT-024</t>
        </is>
      </c>
      <c r="K1071" s="15" t="inlineStr">
        <is>
          <t xml:space="preserve">BLK-024</t>
        </is>
      </c>
      <c r="L1071" s="10" t="inlineStr">
        <is>
          <t xml:space="preserve">Mapped once</t>
        </is>
      </c>
      <c r="M1071" s="15"/>
      <c r="N1071" s="15" t="inlineStr">
        <is>
          <t xml:space="preserve">S04; S01</t>
        </is>
      </c>
      <c r="O1071" s="15">
        <v>1</v>
      </c>
      <c r="P1071" s="10" t="str">
        <f>IF(L1071="MISSING","MISSING",IF(O1071=1,"PASS","DUPLICATE"))</f>
        <v>PASS</v>
      </c>
    </row>
    <row r="1072" ht="22" customHeight="1">
      <c r="A1072" s="15" t="inlineStr">
        <is>
          <t xml:space="preserve">1 Corinthians 6</t>
        </is>
      </c>
      <c r="B1072" s="15">
        <v>1068</v>
      </c>
      <c r="C1072" s="15" t="inlineStr">
        <is>
          <t xml:space="preserve">New Testament</t>
        </is>
      </c>
      <c r="D1072" s="15">
        <v>46</v>
      </c>
      <c r="E1072" s="15" t="inlineStr">
        <is>
          <t xml:space="preserve">1 Corinthians</t>
        </is>
      </c>
      <c r="F1072" s="15">
        <v>6</v>
      </c>
      <c r="G1072" s="15" t="inlineStr">
        <is>
          <t xml:space="preserve">v0.8</t>
        </is>
      </c>
      <c r="H1072" s="15" t="inlineStr">
        <is>
          <t xml:space="preserve">Bible_Journey_Canon_Map_v0_8_Acts_Pauline_Letters.xlsx</t>
        </is>
      </c>
      <c r="I1072" s="15" t="inlineStr">
        <is>
          <t xml:space="preserve">Canon Coverage</t>
        </is>
      </c>
      <c r="J1072" s="15" t="inlineStr">
        <is>
          <t xml:space="preserve">CRS-NT-024</t>
        </is>
      </c>
      <c r="K1072" s="15" t="inlineStr">
        <is>
          <t xml:space="preserve">BLK-024</t>
        </is>
      </c>
      <c r="L1072" s="10" t="inlineStr">
        <is>
          <t xml:space="preserve">Mapped once</t>
        </is>
      </c>
      <c r="M1072" s="15"/>
      <c r="N1072" s="15" t="inlineStr">
        <is>
          <t xml:space="preserve">S04; S01</t>
        </is>
      </c>
      <c r="O1072" s="15">
        <v>1</v>
      </c>
      <c r="P1072" s="10" t="str">
        <f>IF(L1072="MISSING","MISSING",IF(O1072=1,"PASS","DUPLICATE"))</f>
        <v>PASS</v>
      </c>
    </row>
    <row r="1073" ht="22" customHeight="1">
      <c r="A1073" s="15" t="inlineStr">
        <is>
          <t xml:space="preserve">1 Corinthians 7</t>
        </is>
      </c>
      <c r="B1073" s="15">
        <v>1069</v>
      </c>
      <c r="C1073" s="15" t="inlineStr">
        <is>
          <t xml:space="preserve">New Testament</t>
        </is>
      </c>
      <c r="D1073" s="15">
        <v>46</v>
      </c>
      <c r="E1073" s="15" t="inlineStr">
        <is>
          <t xml:space="preserve">1 Corinthians</t>
        </is>
      </c>
      <c r="F1073" s="15">
        <v>7</v>
      </c>
      <c r="G1073" s="15" t="inlineStr">
        <is>
          <t xml:space="preserve">v0.8</t>
        </is>
      </c>
      <c r="H1073" s="15" t="inlineStr">
        <is>
          <t xml:space="preserve">Bible_Journey_Canon_Map_v0_8_Acts_Pauline_Letters.xlsx</t>
        </is>
      </c>
      <c r="I1073" s="15" t="inlineStr">
        <is>
          <t xml:space="preserve">Canon Coverage</t>
        </is>
      </c>
      <c r="J1073" s="15" t="inlineStr">
        <is>
          <t xml:space="preserve">CRS-NT-024</t>
        </is>
      </c>
      <c r="K1073" s="15" t="inlineStr">
        <is>
          <t xml:space="preserve">BLK-024</t>
        </is>
      </c>
      <c r="L1073" s="10" t="inlineStr">
        <is>
          <t xml:space="preserve">Mapped once</t>
        </is>
      </c>
      <c r="M1073" s="15"/>
      <c r="N1073" s="15" t="inlineStr">
        <is>
          <t xml:space="preserve">S04; S01</t>
        </is>
      </c>
      <c r="O1073" s="15">
        <v>1</v>
      </c>
      <c r="P1073" s="10" t="str">
        <f>IF(L1073="MISSING","MISSING",IF(O1073=1,"PASS","DUPLICATE"))</f>
        <v>PASS</v>
      </c>
    </row>
    <row r="1074" ht="22" customHeight="1">
      <c r="A1074" s="15" t="inlineStr">
        <is>
          <t xml:space="preserve">1 Corinthians 8</t>
        </is>
      </c>
      <c r="B1074" s="15">
        <v>1070</v>
      </c>
      <c r="C1074" s="15" t="inlineStr">
        <is>
          <t xml:space="preserve">New Testament</t>
        </is>
      </c>
      <c r="D1074" s="15">
        <v>46</v>
      </c>
      <c r="E1074" s="15" t="inlineStr">
        <is>
          <t xml:space="preserve">1 Corinthians</t>
        </is>
      </c>
      <c r="F1074" s="15">
        <v>8</v>
      </c>
      <c r="G1074" s="15" t="inlineStr">
        <is>
          <t xml:space="preserve">v0.8</t>
        </is>
      </c>
      <c r="H1074" s="15" t="inlineStr">
        <is>
          <t xml:space="preserve">Bible_Journey_Canon_Map_v0_8_Acts_Pauline_Letters.xlsx</t>
        </is>
      </c>
      <c r="I1074" s="15" t="inlineStr">
        <is>
          <t xml:space="preserve">Canon Coverage</t>
        </is>
      </c>
      <c r="J1074" s="15" t="inlineStr">
        <is>
          <t xml:space="preserve">CRS-NT-024</t>
        </is>
      </c>
      <c r="K1074" s="15" t="inlineStr">
        <is>
          <t xml:space="preserve">BLK-024</t>
        </is>
      </c>
      <c r="L1074" s="10" t="inlineStr">
        <is>
          <t xml:space="preserve">Mapped once</t>
        </is>
      </c>
      <c r="M1074" s="15"/>
      <c r="N1074" s="15" t="inlineStr">
        <is>
          <t xml:space="preserve">S04; S01</t>
        </is>
      </c>
      <c r="O1074" s="15">
        <v>1</v>
      </c>
      <c r="P1074" s="10" t="str">
        <f>IF(L1074="MISSING","MISSING",IF(O1074=1,"PASS","DUPLICATE"))</f>
        <v>PASS</v>
      </c>
    </row>
    <row r="1075" ht="22" customHeight="1">
      <c r="A1075" s="15" t="inlineStr">
        <is>
          <t xml:space="preserve">1 Corinthians 9</t>
        </is>
      </c>
      <c r="B1075" s="15">
        <v>1071</v>
      </c>
      <c r="C1075" s="15" t="inlineStr">
        <is>
          <t xml:space="preserve">New Testament</t>
        </is>
      </c>
      <c r="D1075" s="15">
        <v>46</v>
      </c>
      <c r="E1075" s="15" t="inlineStr">
        <is>
          <t xml:space="preserve">1 Corinthians</t>
        </is>
      </c>
      <c r="F1075" s="15">
        <v>9</v>
      </c>
      <c r="G1075" s="15" t="inlineStr">
        <is>
          <t xml:space="preserve">v0.8</t>
        </is>
      </c>
      <c r="H1075" s="15" t="inlineStr">
        <is>
          <t xml:space="preserve">Bible_Journey_Canon_Map_v0_8_Acts_Pauline_Letters.xlsx</t>
        </is>
      </c>
      <c r="I1075" s="15" t="inlineStr">
        <is>
          <t xml:space="preserve">Canon Coverage</t>
        </is>
      </c>
      <c r="J1075" s="15" t="inlineStr">
        <is>
          <t xml:space="preserve">CRS-NT-024</t>
        </is>
      </c>
      <c r="K1075" s="15" t="inlineStr">
        <is>
          <t xml:space="preserve">BLK-024</t>
        </is>
      </c>
      <c r="L1075" s="10" t="inlineStr">
        <is>
          <t xml:space="preserve">Mapped once</t>
        </is>
      </c>
      <c r="M1075" s="15"/>
      <c r="N1075" s="15" t="inlineStr">
        <is>
          <t xml:space="preserve">S04; S01</t>
        </is>
      </c>
      <c r="O1075" s="15">
        <v>1</v>
      </c>
      <c r="P1075" s="10" t="str">
        <f>IF(L1075="MISSING","MISSING",IF(O1075=1,"PASS","DUPLICATE"))</f>
        <v>PASS</v>
      </c>
    </row>
    <row r="1076" ht="22" customHeight="1">
      <c r="A1076" s="15" t="inlineStr">
        <is>
          <t xml:space="preserve">1 Corinthians 10</t>
        </is>
      </c>
      <c r="B1076" s="15">
        <v>1072</v>
      </c>
      <c r="C1076" s="15" t="inlineStr">
        <is>
          <t xml:space="preserve">New Testament</t>
        </is>
      </c>
      <c r="D1076" s="15">
        <v>46</v>
      </c>
      <c r="E1076" s="15" t="inlineStr">
        <is>
          <t xml:space="preserve">1 Corinthians</t>
        </is>
      </c>
      <c r="F1076" s="15">
        <v>10</v>
      </c>
      <c r="G1076" s="15" t="inlineStr">
        <is>
          <t xml:space="preserve">v0.8</t>
        </is>
      </c>
      <c r="H1076" s="15" t="inlineStr">
        <is>
          <t xml:space="preserve">Bible_Journey_Canon_Map_v0_8_Acts_Pauline_Letters.xlsx</t>
        </is>
      </c>
      <c r="I1076" s="15" t="inlineStr">
        <is>
          <t xml:space="preserve">Canon Coverage</t>
        </is>
      </c>
      <c r="J1076" s="15" t="inlineStr">
        <is>
          <t xml:space="preserve">CRS-NT-024</t>
        </is>
      </c>
      <c r="K1076" s="15" t="inlineStr">
        <is>
          <t xml:space="preserve">BLK-024</t>
        </is>
      </c>
      <c r="L1076" s="10" t="inlineStr">
        <is>
          <t xml:space="preserve">Mapped once</t>
        </is>
      </c>
      <c r="M1076" s="15"/>
      <c r="N1076" s="15" t="inlineStr">
        <is>
          <t xml:space="preserve">S04; S01</t>
        </is>
      </c>
      <c r="O1076" s="15">
        <v>1</v>
      </c>
      <c r="P1076" s="10" t="str">
        <f>IF(L1076="MISSING","MISSING",IF(O1076=1,"PASS","DUPLICATE"))</f>
        <v>PASS</v>
      </c>
    </row>
    <row r="1077" ht="22" customHeight="1">
      <c r="A1077" s="15" t="inlineStr">
        <is>
          <t xml:space="preserve">1 Corinthians 11</t>
        </is>
      </c>
      <c r="B1077" s="15">
        <v>1073</v>
      </c>
      <c r="C1077" s="15" t="inlineStr">
        <is>
          <t xml:space="preserve">New Testament</t>
        </is>
      </c>
      <c r="D1077" s="15">
        <v>46</v>
      </c>
      <c r="E1077" s="15" t="inlineStr">
        <is>
          <t xml:space="preserve">1 Corinthians</t>
        </is>
      </c>
      <c r="F1077" s="15">
        <v>11</v>
      </c>
      <c r="G1077" s="15" t="inlineStr">
        <is>
          <t xml:space="preserve">v0.8</t>
        </is>
      </c>
      <c r="H1077" s="15" t="inlineStr">
        <is>
          <t xml:space="preserve">Bible_Journey_Canon_Map_v0_8_Acts_Pauline_Letters.xlsx</t>
        </is>
      </c>
      <c r="I1077" s="15" t="inlineStr">
        <is>
          <t xml:space="preserve">Canon Coverage</t>
        </is>
      </c>
      <c r="J1077" s="15" t="inlineStr">
        <is>
          <t xml:space="preserve">CRS-NT-024</t>
        </is>
      </c>
      <c r="K1077" s="15" t="inlineStr">
        <is>
          <t xml:space="preserve">BLK-024</t>
        </is>
      </c>
      <c r="L1077" s="10" t="inlineStr">
        <is>
          <t xml:space="preserve">Mapped once</t>
        </is>
      </c>
      <c r="M1077" s="15"/>
      <c r="N1077" s="15" t="inlineStr">
        <is>
          <t xml:space="preserve">S04; S01</t>
        </is>
      </c>
      <c r="O1077" s="15">
        <v>1</v>
      </c>
      <c r="P1077" s="10" t="str">
        <f>IF(L1077="MISSING","MISSING",IF(O1077=1,"PASS","DUPLICATE"))</f>
        <v>PASS</v>
      </c>
    </row>
    <row r="1078" ht="22" customHeight="1">
      <c r="A1078" s="15" t="inlineStr">
        <is>
          <t xml:space="preserve">1 Corinthians 12</t>
        </is>
      </c>
      <c r="B1078" s="15">
        <v>1074</v>
      </c>
      <c r="C1078" s="15" t="inlineStr">
        <is>
          <t xml:space="preserve">New Testament</t>
        </is>
      </c>
      <c r="D1078" s="15">
        <v>46</v>
      </c>
      <c r="E1078" s="15" t="inlineStr">
        <is>
          <t xml:space="preserve">1 Corinthians</t>
        </is>
      </c>
      <c r="F1078" s="15">
        <v>12</v>
      </c>
      <c r="G1078" s="15" t="inlineStr">
        <is>
          <t xml:space="preserve">v0.8</t>
        </is>
      </c>
      <c r="H1078" s="15" t="inlineStr">
        <is>
          <t xml:space="preserve">Bible_Journey_Canon_Map_v0_8_Acts_Pauline_Letters.xlsx</t>
        </is>
      </c>
      <c r="I1078" s="15" t="inlineStr">
        <is>
          <t xml:space="preserve">Canon Coverage</t>
        </is>
      </c>
      <c r="J1078" s="15" t="inlineStr">
        <is>
          <t xml:space="preserve">CRS-NT-024</t>
        </is>
      </c>
      <c r="K1078" s="15" t="inlineStr">
        <is>
          <t xml:space="preserve">BLK-024</t>
        </is>
      </c>
      <c r="L1078" s="10" t="inlineStr">
        <is>
          <t xml:space="preserve">Mapped once</t>
        </is>
      </c>
      <c r="M1078" s="15"/>
      <c r="N1078" s="15" t="inlineStr">
        <is>
          <t xml:space="preserve">S04; S01</t>
        </is>
      </c>
      <c r="O1078" s="15">
        <v>1</v>
      </c>
      <c r="P1078" s="10" t="str">
        <f>IF(L1078="MISSING","MISSING",IF(O1078=1,"PASS","DUPLICATE"))</f>
        <v>PASS</v>
      </c>
    </row>
    <row r="1079" ht="22" customHeight="1">
      <c r="A1079" s="15" t="inlineStr">
        <is>
          <t xml:space="preserve">1 Corinthians 13</t>
        </is>
      </c>
      <c r="B1079" s="15">
        <v>1075</v>
      </c>
      <c r="C1079" s="15" t="inlineStr">
        <is>
          <t xml:space="preserve">New Testament</t>
        </is>
      </c>
      <c r="D1079" s="15">
        <v>46</v>
      </c>
      <c r="E1079" s="15" t="inlineStr">
        <is>
          <t xml:space="preserve">1 Corinthians</t>
        </is>
      </c>
      <c r="F1079" s="15">
        <v>13</v>
      </c>
      <c r="G1079" s="15" t="inlineStr">
        <is>
          <t xml:space="preserve">v0.8</t>
        </is>
      </c>
      <c r="H1079" s="15" t="inlineStr">
        <is>
          <t xml:space="preserve">Bible_Journey_Canon_Map_v0_8_Acts_Pauline_Letters.xlsx</t>
        </is>
      </c>
      <c r="I1079" s="15" t="inlineStr">
        <is>
          <t xml:space="preserve">Canon Coverage</t>
        </is>
      </c>
      <c r="J1079" s="15" t="inlineStr">
        <is>
          <t xml:space="preserve">CRS-NT-024</t>
        </is>
      </c>
      <c r="K1079" s="15" t="inlineStr">
        <is>
          <t xml:space="preserve">BLK-024</t>
        </is>
      </c>
      <c r="L1079" s="10" t="inlineStr">
        <is>
          <t xml:space="preserve">Mapped once</t>
        </is>
      </c>
      <c r="M1079" s="15"/>
      <c r="N1079" s="15" t="inlineStr">
        <is>
          <t xml:space="preserve">S04; S01</t>
        </is>
      </c>
      <c r="O1079" s="15">
        <v>1</v>
      </c>
      <c r="P1079" s="10" t="str">
        <f>IF(L1079="MISSING","MISSING",IF(O1079=1,"PASS","DUPLICATE"))</f>
        <v>PASS</v>
      </c>
    </row>
    <row r="1080" ht="22" customHeight="1">
      <c r="A1080" s="15" t="inlineStr">
        <is>
          <t xml:space="preserve">1 Corinthians 14</t>
        </is>
      </c>
      <c r="B1080" s="15">
        <v>1076</v>
      </c>
      <c r="C1080" s="15" t="inlineStr">
        <is>
          <t xml:space="preserve">New Testament</t>
        </is>
      </c>
      <c r="D1080" s="15">
        <v>46</v>
      </c>
      <c r="E1080" s="15" t="inlineStr">
        <is>
          <t xml:space="preserve">1 Corinthians</t>
        </is>
      </c>
      <c r="F1080" s="15">
        <v>14</v>
      </c>
      <c r="G1080" s="15" t="inlineStr">
        <is>
          <t xml:space="preserve">v0.8</t>
        </is>
      </c>
      <c r="H1080" s="15" t="inlineStr">
        <is>
          <t xml:space="preserve">Bible_Journey_Canon_Map_v0_8_Acts_Pauline_Letters.xlsx</t>
        </is>
      </c>
      <c r="I1080" s="15" t="inlineStr">
        <is>
          <t xml:space="preserve">Canon Coverage</t>
        </is>
      </c>
      <c r="J1080" s="15" t="inlineStr">
        <is>
          <t xml:space="preserve">CRS-NT-024</t>
        </is>
      </c>
      <c r="K1080" s="15" t="inlineStr">
        <is>
          <t xml:space="preserve">BLK-024</t>
        </is>
      </c>
      <c r="L1080" s="10" t="inlineStr">
        <is>
          <t xml:space="preserve">Mapped once</t>
        </is>
      </c>
      <c r="M1080" s="15"/>
      <c r="N1080" s="15" t="inlineStr">
        <is>
          <t xml:space="preserve">S04; S01</t>
        </is>
      </c>
      <c r="O1080" s="15">
        <v>1</v>
      </c>
      <c r="P1080" s="10" t="str">
        <f>IF(L1080="MISSING","MISSING",IF(O1080=1,"PASS","DUPLICATE"))</f>
        <v>PASS</v>
      </c>
    </row>
    <row r="1081" ht="22" customHeight="1">
      <c r="A1081" s="15" t="inlineStr">
        <is>
          <t xml:space="preserve">1 Corinthians 15</t>
        </is>
      </c>
      <c r="B1081" s="15">
        <v>1077</v>
      </c>
      <c r="C1081" s="15" t="inlineStr">
        <is>
          <t xml:space="preserve">New Testament</t>
        </is>
      </c>
      <c r="D1081" s="15">
        <v>46</v>
      </c>
      <c r="E1081" s="15" t="inlineStr">
        <is>
          <t xml:space="preserve">1 Corinthians</t>
        </is>
      </c>
      <c r="F1081" s="15">
        <v>15</v>
      </c>
      <c r="G1081" s="15" t="inlineStr">
        <is>
          <t xml:space="preserve">v0.8</t>
        </is>
      </c>
      <c r="H1081" s="15" t="inlineStr">
        <is>
          <t xml:space="preserve">Bible_Journey_Canon_Map_v0_8_Acts_Pauline_Letters.xlsx</t>
        </is>
      </c>
      <c r="I1081" s="15" t="inlineStr">
        <is>
          <t xml:space="preserve">Canon Coverage</t>
        </is>
      </c>
      <c r="J1081" s="15" t="inlineStr">
        <is>
          <t xml:space="preserve">CRS-NT-024</t>
        </is>
      </c>
      <c r="K1081" s="15" t="inlineStr">
        <is>
          <t xml:space="preserve">BLK-024</t>
        </is>
      </c>
      <c r="L1081" s="10" t="inlineStr">
        <is>
          <t xml:space="preserve">Mapped once</t>
        </is>
      </c>
      <c r="M1081" s="15"/>
      <c r="N1081" s="15" t="inlineStr">
        <is>
          <t xml:space="preserve">S04; S01</t>
        </is>
      </c>
      <c r="O1081" s="15">
        <v>1</v>
      </c>
      <c r="P1081" s="10" t="str">
        <f>IF(L1081="MISSING","MISSING",IF(O1081=1,"PASS","DUPLICATE"))</f>
        <v>PASS</v>
      </c>
    </row>
    <row r="1082" ht="22" customHeight="1">
      <c r="A1082" s="15" t="inlineStr">
        <is>
          <t xml:space="preserve">1 Corinthians 16</t>
        </is>
      </c>
      <c r="B1082" s="15">
        <v>1078</v>
      </c>
      <c r="C1082" s="15" t="inlineStr">
        <is>
          <t xml:space="preserve">New Testament</t>
        </is>
      </c>
      <c r="D1082" s="15">
        <v>46</v>
      </c>
      <c r="E1082" s="15" t="inlineStr">
        <is>
          <t xml:space="preserve">1 Corinthians</t>
        </is>
      </c>
      <c r="F1082" s="15">
        <v>16</v>
      </c>
      <c r="G1082" s="15" t="inlineStr">
        <is>
          <t xml:space="preserve">v0.8</t>
        </is>
      </c>
      <c r="H1082" s="15" t="inlineStr">
        <is>
          <t xml:space="preserve">Bible_Journey_Canon_Map_v0_8_Acts_Pauline_Letters.xlsx</t>
        </is>
      </c>
      <c r="I1082" s="15" t="inlineStr">
        <is>
          <t xml:space="preserve">Canon Coverage</t>
        </is>
      </c>
      <c r="J1082" s="15" t="inlineStr">
        <is>
          <t xml:space="preserve">CRS-NT-024</t>
        </is>
      </c>
      <c r="K1082" s="15" t="inlineStr">
        <is>
          <t xml:space="preserve">BLK-024</t>
        </is>
      </c>
      <c r="L1082" s="10" t="inlineStr">
        <is>
          <t xml:space="preserve">Mapped once</t>
        </is>
      </c>
      <c r="M1082" s="15"/>
      <c r="N1082" s="15" t="inlineStr">
        <is>
          <t xml:space="preserve">S04; S01</t>
        </is>
      </c>
      <c r="O1082" s="15">
        <v>1</v>
      </c>
      <c r="P1082" s="10" t="str">
        <f>IF(L1082="MISSING","MISSING",IF(O1082=1,"PASS","DUPLICATE"))</f>
        <v>PASS</v>
      </c>
    </row>
    <row r="1083" ht="22" customHeight="1">
      <c r="A1083" s="15" t="inlineStr">
        <is>
          <t xml:space="preserve">2 Corinthians 1</t>
        </is>
      </c>
      <c r="B1083" s="15">
        <v>1079</v>
      </c>
      <c r="C1083" s="15" t="inlineStr">
        <is>
          <t xml:space="preserve">New Testament</t>
        </is>
      </c>
      <c r="D1083" s="15">
        <v>47</v>
      </c>
      <c r="E1083" s="15" t="inlineStr">
        <is>
          <t xml:space="preserve">2 Corinthians</t>
        </is>
      </c>
      <c r="F1083" s="15">
        <v>1</v>
      </c>
      <c r="G1083" s="15" t="inlineStr">
        <is>
          <t xml:space="preserve">v0.8</t>
        </is>
      </c>
      <c r="H1083" s="15" t="inlineStr">
        <is>
          <t xml:space="preserve">Bible_Journey_Canon_Map_v0_8_Acts_Pauline_Letters.xlsx</t>
        </is>
      </c>
      <c r="I1083" s="15" t="inlineStr">
        <is>
          <t xml:space="preserve">Canon Coverage</t>
        </is>
      </c>
      <c r="J1083" s="15" t="inlineStr">
        <is>
          <t xml:space="preserve">CRS-NT-026</t>
        </is>
      </c>
      <c r="K1083" s="15" t="inlineStr">
        <is>
          <t xml:space="preserve">BLK-026</t>
        </is>
      </c>
      <c r="L1083" s="10" t="inlineStr">
        <is>
          <t xml:space="preserve">Mapped once</t>
        </is>
      </c>
      <c r="M1083" s="15"/>
      <c r="N1083" s="15" t="inlineStr">
        <is>
          <t xml:space="preserve">S02; S04</t>
        </is>
      </c>
      <c r="O1083" s="15">
        <v>1</v>
      </c>
      <c r="P1083" s="10" t="str">
        <f>IF(L1083="MISSING","MISSING",IF(O1083=1,"PASS","DUPLICATE"))</f>
        <v>PASS</v>
      </c>
    </row>
    <row r="1084" ht="22" customHeight="1">
      <c r="A1084" s="15" t="inlineStr">
        <is>
          <t xml:space="preserve">2 Corinthians 2</t>
        </is>
      </c>
      <c r="B1084" s="15">
        <v>1080</v>
      </c>
      <c r="C1084" s="15" t="inlineStr">
        <is>
          <t xml:space="preserve">New Testament</t>
        </is>
      </c>
      <c r="D1084" s="15">
        <v>47</v>
      </c>
      <c r="E1084" s="15" t="inlineStr">
        <is>
          <t xml:space="preserve">2 Corinthians</t>
        </is>
      </c>
      <c r="F1084" s="15">
        <v>2</v>
      </c>
      <c r="G1084" s="15" t="inlineStr">
        <is>
          <t xml:space="preserve">v0.8</t>
        </is>
      </c>
      <c r="H1084" s="15" t="inlineStr">
        <is>
          <t xml:space="preserve">Bible_Journey_Canon_Map_v0_8_Acts_Pauline_Letters.xlsx</t>
        </is>
      </c>
      <c r="I1084" s="15" t="inlineStr">
        <is>
          <t xml:space="preserve">Canon Coverage</t>
        </is>
      </c>
      <c r="J1084" s="15" t="inlineStr">
        <is>
          <t xml:space="preserve">CRS-NT-026</t>
        </is>
      </c>
      <c r="K1084" s="15" t="inlineStr">
        <is>
          <t xml:space="preserve">BLK-026</t>
        </is>
      </c>
      <c r="L1084" s="10" t="inlineStr">
        <is>
          <t xml:space="preserve">Mapped once</t>
        </is>
      </c>
      <c r="M1084" s="15"/>
      <c r="N1084" s="15" t="inlineStr">
        <is>
          <t xml:space="preserve">S02; S04</t>
        </is>
      </c>
      <c r="O1084" s="15">
        <v>1</v>
      </c>
      <c r="P1084" s="10" t="str">
        <f>IF(L1084="MISSING","MISSING",IF(O1084=1,"PASS","DUPLICATE"))</f>
        <v>PASS</v>
      </c>
    </row>
    <row r="1085" ht="22" customHeight="1">
      <c r="A1085" s="15" t="inlineStr">
        <is>
          <t xml:space="preserve">2 Corinthians 3</t>
        </is>
      </c>
      <c r="B1085" s="15">
        <v>1081</v>
      </c>
      <c r="C1085" s="15" t="inlineStr">
        <is>
          <t xml:space="preserve">New Testament</t>
        </is>
      </c>
      <c r="D1085" s="15">
        <v>47</v>
      </c>
      <c r="E1085" s="15" t="inlineStr">
        <is>
          <t xml:space="preserve">2 Corinthians</t>
        </is>
      </c>
      <c r="F1085" s="15">
        <v>3</v>
      </c>
      <c r="G1085" s="15" t="inlineStr">
        <is>
          <t xml:space="preserve">v0.8</t>
        </is>
      </c>
      <c r="H1085" s="15" t="inlineStr">
        <is>
          <t xml:space="preserve">Bible_Journey_Canon_Map_v0_8_Acts_Pauline_Letters.xlsx</t>
        </is>
      </c>
      <c r="I1085" s="15" t="inlineStr">
        <is>
          <t xml:space="preserve">Canon Coverage</t>
        </is>
      </c>
      <c r="J1085" s="15" t="inlineStr">
        <is>
          <t xml:space="preserve">CRS-NT-026</t>
        </is>
      </c>
      <c r="K1085" s="15" t="inlineStr">
        <is>
          <t xml:space="preserve">BLK-026</t>
        </is>
      </c>
      <c r="L1085" s="10" t="inlineStr">
        <is>
          <t xml:space="preserve">Mapped once</t>
        </is>
      </c>
      <c r="M1085" s="15"/>
      <c r="N1085" s="15" t="inlineStr">
        <is>
          <t xml:space="preserve">S02; S04</t>
        </is>
      </c>
      <c r="O1085" s="15">
        <v>1</v>
      </c>
      <c r="P1085" s="10" t="str">
        <f>IF(L1085="MISSING","MISSING",IF(O1085=1,"PASS","DUPLICATE"))</f>
        <v>PASS</v>
      </c>
    </row>
    <row r="1086" ht="22" customHeight="1">
      <c r="A1086" s="15" t="inlineStr">
        <is>
          <t xml:space="preserve">2 Corinthians 4</t>
        </is>
      </c>
      <c r="B1086" s="15">
        <v>1082</v>
      </c>
      <c r="C1086" s="15" t="inlineStr">
        <is>
          <t xml:space="preserve">New Testament</t>
        </is>
      </c>
      <c r="D1086" s="15">
        <v>47</v>
      </c>
      <c r="E1086" s="15" t="inlineStr">
        <is>
          <t xml:space="preserve">2 Corinthians</t>
        </is>
      </c>
      <c r="F1086" s="15">
        <v>4</v>
      </c>
      <c r="G1086" s="15" t="inlineStr">
        <is>
          <t xml:space="preserve">v0.8</t>
        </is>
      </c>
      <c r="H1086" s="15" t="inlineStr">
        <is>
          <t xml:space="preserve">Bible_Journey_Canon_Map_v0_8_Acts_Pauline_Letters.xlsx</t>
        </is>
      </c>
      <c r="I1086" s="15" t="inlineStr">
        <is>
          <t xml:space="preserve">Canon Coverage</t>
        </is>
      </c>
      <c r="J1086" s="15" t="inlineStr">
        <is>
          <t xml:space="preserve">CRS-NT-026</t>
        </is>
      </c>
      <c r="K1086" s="15" t="inlineStr">
        <is>
          <t xml:space="preserve">BLK-026</t>
        </is>
      </c>
      <c r="L1086" s="10" t="inlineStr">
        <is>
          <t xml:space="preserve">Mapped once</t>
        </is>
      </c>
      <c r="M1086" s="15"/>
      <c r="N1086" s="15" t="inlineStr">
        <is>
          <t xml:space="preserve">S02; S04</t>
        </is>
      </c>
      <c r="O1086" s="15">
        <v>1</v>
      </c>
      <c r="P1086" s="10" t="str">
        <f>IF(L1086="MISSING","MISSING",IF(O1086=1,"PASS","DUPLICATE"))</f>
        <v>PASS</v>
      </c>
    </row>
    <row r="1087" ht="22" customHeight="1">
      <c r="A1087" s="15" t="inlineStr">
        <is>
          <t xml:space="preserve">2 Corinthians 5</t>
        </is>
      </c>
      <c r="B1087" s="15">
        <v>1083</v>
      </c>
      <c r="C1087" s="15" t="inlineStr">
        <is>
          <t xml:space="preserve">New Testament</t>
        </is>
      </c>
      <c r="D1087" s="15">
        <v>47</v>
      </c>
      <c r="E1087" s="15" t="inlineStr">
        <is>
          <t xml:space="preserve">2 Corinthians</t>
        </is>
      </c>
      <c r="F1087" s="15">
        <v>5</v>
      </c>
      <c r="G1087" s="15" t="inlineStr">
        <is>
          <t xml:space="preserve">v0.8</t>
        </is>
      </c>
      <c r="H1087" s="15" t="inlineStr">
        <is>
          <t xml:space="preserve">Bible_Journey_Canon_Map_v0_8_Acts_Pauline_Letters.xlsx</t>
        </is>
      </c>
      <c r="I1087" s="15" t="inlineStr">
        <is>
          <t xml:space="preserve">Canon Coverage</t>
        </is>
      </c>
      <c r="J1087" s="15" t="inlineStr">
        <is>
          <t xml:space="preserve">CRS-NT-026</t>
        </is>
      </c>
      <c r="K1087" s="15" t="inlineStr">
        <is>
          <t xml:space="preserve">BLK-026</t>
        </is>
      </c>
      <c r="L1087" s="10" t="inlineStr">
        <is>
          <t xml:space="preserve">Mapped once</t>
        </is>
      </c>
      <c r="M1087" s="15"/>
      <c r="N1087" s="15" t="inlineStr">
        <is>
          <t xml:space="preserve">S02; S04</t>
        </is>
      </c>
      <c r="O1087" s="15">
        <v>1</v>
      </c>
      <c r="P1087" s="10" t="str">
        <f>IF(L1087="MISSING","MISSING",IF(O1087=1,"PASS","DUPLICATE"))</f>
        <v>PASS</v>
      </c>
    </row>
    <row r="1088" ht="22" customHeight="1">
      <c r="A1088" s="15" t="inlineStr">
        <is>
          <t xml:space="preserve">2 Corinthians 6</t>
        </is>
      </c>
      <c r="B1088" s="15">
        <v>1084</v>
      </c>
      <c r="C1088" s="15" t="inlineStr">
        <is>
          <t xml:space="preserve">New Testament</t>
        </is>
      </c>
      <c r="D1088" s="15">
        <v>47</v>
      </c>
      <c r="E1088" s="15" t="inlineStr">
        <is>
          <t xml:space="preserve">2 Corinthians</t>
        </is>
      </c>
      <c r="F1088" s="15">
        <v>6</v>
      </c>
      <c r="G1088" s="15" t="inlineStr">
        <is>
          <t xml:space="preserve">v0.8</t>
        </is>
      </c>
      <c r="H1088" s="15" t="inlineStr">
        <is>
          <t xml:space="preserve">Bible_Journey_Canon_Map_v0_8_Acts_Pauline_Letters.xlsx</t>
        </is>
      </c>
      <c r="I1088" s="15" t="inlineStr">
        <is>
          <t xml:space="preserve">Canon Coverage</t>
        </is>
      </c>
      <c r="J1088" s="15" t="inlineStr">
        <is>
          <t xml:space="preserve">CRS-NT-026</t>
        </is>
      </c>
      <c r="K1088" s="15" t="inlineStr">
        <is>
          <t xml:space="preserve">BLK-026</t>
        </is>
      </c>
      <c r="L1088" s="10" t="inlineStr">
        <is>
          <t xml:space="preserve">Mapped once</t>
        </is>
      </c>
      <c r="M1088" s="15"/>
      <c r="N1088" s="15" t="inlineStr">
        <is>
          <t xml:space="preserve">S02; S04</t>
        </is>
      </c>
      <c r="O1088" s="15">
        <v>1</v>
      </c>
      <c r="P1088" s="10" t="str">
        <f>IF(L1088="MISSING","MISSING",IF(O1088=1,"PASS","DUPLICATE"))</f>
        <v>PASS</v>
      </c>
    </row>
    <row r="1089" ht="22" customHeight="1">
      <c r="A1089" s="15" t="inlineStr">
        <is>
          <t xml:space="preserve">2 Corinthians 7</t>
        </is>
      </c>
      <c r="B1089" s="15">
        <v>1085</v>
      </c>
      <c r="C1089" s="15" t="inlineStr">
        <is>
          <t xml:space="preserve">New Testament</t>
        </is>
      </c>
      <c r="D1089" s="15">
        <v>47</v>
      </c>
      <c r="E1089" s="15" t="inlineStr">
        <is>
          <t xml:space="preserve">2 Corinthians</t>
        </is>
      </c>
      <c r="F1089" s="15">
        <v>7</v>
      </c>
      <c r="G1089" s="15" t="inlineStr">
        <is>
          <t xml:space="preserve">v0.8</t>
        </is>
      </c>
      <c r="H1089" s="15" t="inlineStr">
        <is>
          <t xml:space="preserve">Bible_Journey_Canon_Map_v0_8_Acts_Pauline_Letters.xlsx</t>
        </is>
      </c>
      <c r="I1089" s="15" t="inlineStr">
        <is>
          <t xml:space="preserve">Canon Coverage</t>
        </is>
      </c>
      <c r="J1089" s="15" t="inlineStr">
        <is>
          <t xml:space="preserve">CRS-NT-026</t>
        </is>
      </c>
      <c r="K1089" s="15" t="inlineStr">
        <is>
          <t xml:space="preserve">BLK-026</t>
        </is>
      </c>
      <c r="L1089" s="10" t="inlineStr">
        <is>
          <t xml:space="preserve">Mapped once</t>
        </is>
      </c>
      <c r="M1089" s="15"/>
      <c r="N1089" s="15" t="inlineStr">
        <is>
          <t xml:space="preserve">S02; S04</t>
        </is>
      </c>
      <c r="O1089" s="15">
        <v>1</v>
      </c>
      <c r="P1089" s="10" t="str">
        <f>IF(L1089="MISSING","MISSING",IF(O1089=1,"PASS","DUPLICATE"))</f>
        <v>PASS</v>
      </c>
    </row>
    <row r="1090" ht="22" customHeight="1">
      <c r="A1090" s="15" t="inlineStr">
        <is>
          <t xml:space="preserve">2 Corinthians 8</t>
        </is>
      </c>
      <c r="B1090" s="15">
        <v>1086</v>
      </c>
      <c r="C1090" s="15" t="inlineStr">
        <is>
          <t xml:space="preserve">New Testament</t>
        </is>
      </c>
      <c r="D1090" s="15">
        <v>47</v>
      </c>
      <c r="E1090" s="15" t="inlineStr">
        <is>
          <t xml:space="preserve">2 Corinthians</t>
        </is>
      </c>
      <c r="F1090" s="15">
        <v>8</v>
      </c>
      <c r="G1090" s="15" t="inlineStr">
        <is>
          <t xml:space="preserve">v0.8</t>
        </is>
      </c>
      <c r="H1090" s="15" t="inlineStr">
        <is>
          <t xml:space="preserve">Bible_Journey_Canon_Map_v0_8_Acts_Pauline_Letters.xlsx</t>
        </is>
      </c>
      <c r="I1090" s="15" t="inlineStr">
        <is>
          <t xml:space="preserve">Canon Coverage</t>
        </is>
      </c>
      <c r="J1090" s="15" t="inlineStr">
        <is>
          <t xml:space="preserve">CRS-NT-026</t>
        </is>
      </c>
      <c r="K1090" s="15" t="inlineStr">
        <is>
          <t xml:space="preserve">BLK-026</t>
        </is>
      </c>
      <c r="L1090" s="10" t="inlineStr">
        <is>
          <t xml:space="preserve">Mapped once</t>
        </is>
      </c>
      <c r="M1090" s="15"/>
      <c r="N1090" s="15" t="inlineStr">
        <is>
          <t xml:space="preserve">S02; S04</t>
        </is>
      </c>
      <c r="O1090" s="15">
        <v>1</v>
      </c>
      <c r="P1090" s="10" t="str">
        <f>IF(L1090="MISSING","MISSING",IF(O1090=1,"PASS","DUPLICATE"))</f>
        <v>PASS</v>
      </c>
    </row>
    <row r="1091" ht="22" customHeight="1">
      <c r="A1091" s="15" t="inlineStr">
        <is>
          <t xml:space="preserve">2 Corinthians 9</t>
        </is>
      </c>
      <c r="B1091" s="15">
        <v>1087</v>
      </c>
      <c r="C1091" s="15" t="inlineStr">
        <is>
          <t xml:space="preserve">New Testament</t>
        </is>
      </c>
      <c r="D1091" s="15">
        <v>47</v>
      </c>
      <c r="E1091" s="15" t="inlineStr">
        <is>
          <t xml:space="preserve">2 Corinthians</t>
        </is>
      </c>
      <c r="F1091" s="15">
        <v>9</v>
      </c>
      <c r="G1091" s="15" t="inlineStr">
        <is>
          <t xml:space="preserve">v0.8</t>
        </is>
      </c>
      <c r="H1091" s="15" t="inlineStr">
        <is>
          <t xml:space="preserve">Bible_Journey_Canon_Map_v0_8_Acts_Pauline_Letters.xlsx</t>
        </is>
      </c>
      <c r="I1091" s="15" t="inlineStr">
        <is>
          <t xml:space="preserve">Canon Coverage</t>
        </is>
      </c>
      <c r="J1091" s="15" t="inlineStr">
        <is>
          <t xml:space="preserve">CRS-NT-026</t>
        </is>
      </c>
      <c r="K1091" s="15" t="inlineStr">
        <is>
          <t xml:space="preserve">BLK-026</t>
        </is>
      </c>
      <c r="L1091" s="10" t="inlineStr">
        <is>
          <t xml:space="preserve">Mapped once</t>
        </is>
      </c>
      <c r="M1091" s="15"/>
      <c r="N1091" s="15" t="inlineStr">
        <is>
          <t xml:space="preserve">S02; S04</t>
        </is>
      </c>
      <c r="O1091" s="15">
        <v>1</v>
      </c>
      <c r="P1091" s="10" t="str">
        <f>IF(L1091="MISSING","MISSING",IF(O1091=1,"PASS","DUPLICATE"))</f>
        <v>PASS</v>
      </c>
    </row>
    <row r="1092" ht="22" customHeight="1">
      <c r="A1092" s="15" t="inlineStr">
        <is>
          <t xml:space="preserve">2 Corinthians 10</t>
        </is>
      </c>
      <c r="B1092" s="15">
        <v>1088</v>
      </c>
      <c r="C1092" s="15" t="inlineStr">
        <is>
          <t xml:space="preserve">New Testament</t>
        </is>
      </c>
      <c r="D1092" s="15">
        <v>47</v>
      </c>
      <c r="E1092" s="15" t="inlineStr">
        <is>
          <t xml:space="preserve">2 Corinthians</t>
        </is>
      </c>
      <c r="F1092" s="15">
        <v>10</v>
      </c>
      <c r="G1092" s="15" t="inlineStr">
        <is>
          <t xml:space="preserve">v0.8</t>
        </is>
      </c>
      <c r="H1092" s="15" t="inlineStr">
        <is>
          <t xml:space="preserve">Bible_Journey_Canon_Map_v0_8_Acts_Pauline_Letters.xlsx</t>
        </is>
      </c>
      <c r="I1092" s="15" t="inlineStr">
        <is>
          <t xml:space="preserve">Canon Coverage</t>
        </is>
      </c>
      <c r="J1092" s="15" t="inlineStr">
        <is>
          <t xml:space="preserve">CRS-NT-026</t>
        </is>
      </c>
      <c r="K1092" s="15" t="inlineStr">
        <is>
          <t xml:space="preserve">BLK-026</t>
        </is>
      </c>
      <c r="L1092" s="10" t="inlineStr">
        <is>
          <t xml:space="preserve">Mapped once</t>
        </is>
      </c>
      <c r="M1092" s="15"/>
      <c r="N1092" s="15" t="inlineStr">
        <is>
          <t xml:space="preserve">S02; S04</t>
        </is>
      </c>
      <c r="O1092" s="15">
        <v>1</v>
      </c>
      <c r="P1092" s="10" t="str">
        <f>IF(L1092="MISSING","MISSING",IF(O1092=1,"PASS","DUPLICATE"))</f>
        <v>PASS</v>
      </c>
    </row>
    <row r="1093" ht="22" customHeight="1">
      <c r="A1093" s="15" t="inlineStr">
        <is>
          <t xml:space="preserve">2 Corinthians 11</t>
        </is>
      </c>
      <c r="B1093" s="15">
        <v>1089</v>
      </c>
      <c r="C1093" s="15" t="inlineStr">
        <is>
          <t xml:space="preserve">New Testament</t>
        </is>
      </c>
      <c r="D1093" s="15">
        <v>47</v>
      </c>
      <c r="E1093" s="15" t="inlineStr">
        <is>
          <t xml:space="preserve">2 Corinthians</t>
        </is>
      </c>
      <c r="F1093" s="15">
        <v>11</v>
      </c>
      <c r="G1093" s="15" t="inlineStr">
        <is>
          <t xml:space="preserve">v0.8</t>
        </is>
      </c>
      <c r="H1093" s="15" t="inlineStr">
        <is>
          <t xml:space="preserve">Bible_Journey_Canon_Map_v0_8_Acts_Pauline_Letters.xlsx</t>
        </is>
      </c>
      <c r="I1093" s="15" t="inlineStr">
        <is>
          <t xml:space="preserve">Canon Coverage</t>
        </is>
      </c>
      <c r="J1093" s="15" t="inlineStr">
        <is>
          <t xml:space="preserve">CRS-NT-026</t>
        </is>
      </c>
      <c r="K1093" s="15" t="inlineStr">
        <is>
          <t xml:space="preserve">BLK-026</t>
        </is>
      </c>
      <c r="L1093" s="10" t="inlineStr">
        <is>
          <t xml:space="preserve">Mapped once</t>
        </is>
      </c>
      <c r="M1093" s="15"/>
      <c r="N1093" s="15" t="inlineStr">
        <is>
          <t xml:space="preserve">S02; S04</t>
        </is>
      </c>
      <c r="O1093" s="15">
        <v>1</v>
      </c>
      <c r="P1093" s="10" t="str">
        <f>IF(L1093="MISSING","MISSING",IF(O1093=1,"PASS","DUPLICATE"))</f>
        <v>PASS</v>
      </c>
    </row>
    <row r="1094" ht="22" customHeight="1">
      <c r="A1094" s="15" t="inlineStr">
        <is>
          <t xml:space="preserve">2 Corinthians 12</t>
        </is>
      </c>
      <c r="B1094" s="15">
        <v>1090</v>
      </c>
      <c r="C1094" s="15" t="inlineStr">
        <is>
          <t xml:space="preserve">New Testament</t>
        </is>
      </c>
      <c r="D1094" s="15">
        <v>47</v>
      </c>
      <c r="E1094" s="15" t="inlineStr">
        <is>
          <t xml:space="preserve">2 Corinthians</t>
        </is>
      </c>
      <c r="F1094" s="15">
        <v>12</v>
      </c>
      <c r="G1094" s="15" t="inlineStr">
        <is>
          <t xml:space="preserve">v0.8</t>
        </is>
      </c>
      <c r="H1094" s="15" t="inlineStr">
        <is>
          <t xml:space="preserve">Bible_Journey_Canon_Map_v0_8_Acts_Pauline_Letters.xlsx</t>
        </is>
      </c>
      <c r="I1094" s="15" t="inlineStr">
        <is>
          <t xml:space="preserve">Canon Coverage</t>
        </is>
      </c>
      <c r="J1094" s="15" t="inlineStr">
        <is>
          <t xml:space="preserve">CRS-NT-026</t>
        </is>
      </c>
      <c r="K1094" s="15" t="inlineStr">
        <is>
          <t xml:space="preserve">BLK-026</t>
        </is>
      </c>
      <c r="L1094" s="10" t="inlineStr">
        <is>
          <t xml:space="preserve">Mapped once</t>
        </is>
      </c>
      <c r="M1094" s="15"/>
      <c r="N1094" s="15" t="inlineStr">
        <is>
          <t xml:space="preserve">S02; S04</t>
        </is>
      </c>
      <c r="O1094" s="15">
        <v>1</v>
      </c>
      <c r="P1094" s="10" t="str">
        <f>IF(L1094="MISSING","MISSING",IF(O1094=1,"PASS","DUPLICATE"))</f>
        <v>PASS</v>
      </c>
    </row>
    <row r="1095" ht="22" customHeight="1">
      <c r="A1095" s="15" t="inlineStr">
        <is>
          <t xml:space="preserve">2 Corinthians 13</t>
        </is>
      </c>
      <c r="B1095" s="15">
        <v>1091</v>
      </c>
      <c r="C1095" s="15" t="inlineStr">
        <is>
          <t xml:space="preserve">New Testament</t>
        </is>
      </c>
      <c r="D1095" s="15">
        <v>47</v>
      </c>
      <c r="E1095" s="15" t="inlineStr">
        <is>
          <t xml:space="preserve">2 Corinthians</t>
        </is>
      </c>
      <c r="F1095" s="15">
        <v>13</v>
      </c>
      <c r="G1095" s="15" t="inlineStr">
        <is>
          <t xml:space="preserve">v0.8</t>
        </is>
      </c>
      <c r="H1095" s="15" t="inlineStr">
        <is>
          <t xml:space="preserve">Bible_Journey_Canon_Map_v0_8_Acts_Pauline_Letters.xlsx</t>
        </is>
      </c>
      <c r="I1095" s="15" t="inlineStr">
        <is>
          <t xml:space="preserve">Canon Coverage</t>
        </is>
      </c>
      <c r="J1095" s="15" t="inlineStr">
        <is>
          <t xml:space="preserve">CRS-NT-026</t>
        </is>
      </c>
      <c r="K1095" s="15" t="inlineStr">
        <is>
          <t xml:space="preserve">BLK-026</t>
        </is>
      </c>
      <c r="L1095" s="10" t="inlineStr">
        <is>
          <t xml:space="preserve">Mapped once</t>
        </is>
      </c>
      <c r="M1095" s="15"/>
      <c r="N1095" s="15" t="inlineStr">
        <is>
          <t xml:space="preserve">S02; S04</t>
        </is>
      </c>
      <c r="O1095" s="15">
        <v>1</v>
      </c>
      <c r="P1095" s="10" t="str">
        <f>IF(L1095="MISSING","MISSING",IF(O1095=1,"PASS","DUPLICATE"))</f>
        <v>PASS</v>
      </c>
    </row>
    <row r="1096" ht="22" customHeight="1">
      <c r="A1096" s="15" t="inlineStr">
        <is>
          <t xml:space="preserve">Galatians 1</t>
        </is>
      </c>
      <c r="B1096" s="15">
        <v>1092</v>
      </c>
      <c r="C1096" s="15" t="inlineStr">
        <is>
          <t xml:space="preserve">New Testament</t>
        </is>
      </c>
      <c r="D1096" s="15">
        <v>48</v>
      </c>
      <c r="E1096" s="15" t="inlineStr">
        <is>
          <t xml:space="preserve">Galatians</t>
        </is>
      </c>
      <c r="F1096" s="15">
        <v>1</v>
      </c>
      <c r="G1096" s="15" t="inlineStr">
        <is>
          <t xml:space="preserve">v0.8</t>
        </is>
      </c>
      <c r="H1096" s="15" t="inlineStr">
        <is>
          <t xml:space="preserve">Bible_Journey_Canon_Map_v0_8_Acts_Pauline_Letters.xlsx</t>
        </is>
      </c>
      <c r="I1096" s="15" t="inlineStr">
        <is>
          <t xml:space="preserve">Canon Coverage</t>
        </is>
      </c>
      <c r="J1096" s="15" t="inlineStr">
        <is>
          <t xml:space="preserve">CRS-NT-013</t>
        </is>
      </c>
      <c r="K1096" s="15" t="inlineStr">
        <is>
          <t xml:space="preserve">BLK-013</t>
        </is>
      </c>
      <c r="L1096" s="10" t="inlineStr">
        <is>
          <t xml:space="preserve">Mapped once</t>
        </is>
      </c>
      <c r="M1096" s="15"/>
      <c r="N1096" s="15" t="inlineStr">
        <is>
          <t xml:space="preserve">S02; S03</t>
        </is>
      </c>
      <c r="O1096" s="15">
        <v>1</v>
      </c>
      <c r="P1096" s="10" t="str">
        <f>IF(L1096="MISSING","MISSING",IF(O1096=1,"PASS","DUPLICATE"))</f>
        <v>PASS</v>
      </c>
    </row>
    <row r="1097" ht="22" customHeight="1">
      <c r="A1097" s="15" t="inlineStr">
        <is>
          <t xml:space="preserve">Galatians 2</t>
        </is>
      </c>
      <c r="B1097" s="15">
        <v>1093</v>
      </c>
      <c r="C1097" s="15" t="inlineStr">
        <is>
          <t xml:space="preserve">New Testament</t>
        </is>
      </c>
      <c r="D1097" s="15">
        <v>48</v>
      </c>
      <c r="E1097" s="15" t="inlineStr">
        <is>
          <t xml:space="preserve">Galatians</t>
        </is>
      </c>
      <c r="F1097" s="15">
        <v>2</v>
      </c>
      <c r="G1097" s="15" t="inlineStr">
        <is>
          <t xml:space="preserve">v0.8</t>
        </is>
      </c>
      <c r="H1097" s="15" t="inlineStr">
        <is>
          <t xml:space="preserve">Bible_Journey_Canon_Map_v0_8_Acts_Pauline_Letters.xlsx</t>
        </is>
      </c>
      <c r="I1097" s="15" t="inlineStr">
        <is>
          <t xml:space="preserve">Canon Coverage</t>
        </is>
      </c>
      <c r="J1097" s="15" t="inlineStr">
        <is>
          <t xml:space="preserve">CRS-NT-013</t>
        </is>
      </c>
      <c r="K1097" s="15" t="inlineStr">
        <is>
          <t xml:space="preserve">BLK-013</t>
        </is>
      </c>
      <c r="L1097" s="10" t="inlineStr">
        <is>
          <t xml:space="preserve">Mapped once</t>
        </is>
      </c>
      <c r="M1097" s="15"/>
      <c r="N1097" s="15" t="inlineStr">
        <is>
          <t xml:space="preserve">S02; S03</t>
        </is>
      </c>
      <c r="O1097" s="15">
        <v>1</v>
      </c>
      <c r="P1097" s="10" t="str">
        <f>IF(L1097="MISSING","MISSING",IF(O1097=1,"PASS","DUPLICATE"))</f>
        <v>PASS</v>
      </c>
    </row>
    <row r="1098" ht="22" customHeight="1">
      <c r="A1098" s="15" t="inlineStr">
        <is>
          <t xml:space="preserve">Galatians 3</t>
        </is>
      </c>
      <c r="B1098" s="15">
        <v>1094</v>
      </c>
      <c r="C1098" s="15" t="inlineStr">
        <is>
          <t xml:space="preserve">New Testament</t>
        </is>
      </c>
      <c r="D1098" s="15">
        <v>48</v>
      </c>
      <c r="E1098" s="15" t="inlineStr">
        <is>
          <t xml:space="preserve">Galatians</t>
        </is>
      </c>
      <c r="F1098" s="15">
        <v>3</v>
      </c>
      <c r="G1098" s="15" t="inlineStr">
        <is>
          <t xml:space="preserve">v0.8</t>
        </is>
      </c>
      <c r="H1098" s="15" t="inlineStr">
        <is>
          <t xml:space="preserve">Bible_Journey_Canon_Map_v0_8_Acts_Pauline_Letters.xlsx</t>
        </is>
      </c>
      <c r="I1098" s="15" t="inlineStr">
        <is>
          <t xml:space="preserve">Canon Coverage</t>
        </is>
      </c>
      <c r="J1098" s="15" t="inlineStr">
        <is>
          <t xml:space="preserve">CRS-NT-013</t>
        </is>
      </c>
      <c r="K1098" s="15" t="inlineStr">
        <is>
          <t xml:space="preserve">BLK-013</t>
        </is>
      </c>
      <c r="L1098" s="10" t="inlineStr">
        <is>
          <t xml:space="preserve">Mapped once</t>
        </is>
      </c>
      <c r="M1098" s="15"/>
      <c r="N1098" s="15" t="inlineStr">
        <is>
          <t xml:space="preserve">S02; S03</t>
        </is>
      </c>
      <c r="O1098" s="15">
        <v>1</v>
      </c>
      <c r="P1098" s="10" t="str">
        <f>IF(L1098="MISSING","MISSING",IF(O1098=1,"PASS","DUPLICATE"))</f>
        <v>PASS</v>
      </c>
    </row>
    <row r="1099" ht="22" customHeight="1">
      <c r="A1099" s="15" t="inlineStr">
        <is>
          <t xml:space="preserve">Galatians 4</t>
        </is>
      </c>
      <c r="B1099" s="15">
        <v>1095</v>
      </c>
      <c r="C1099" s="15" t="inlineStr">
        <is>
          <t xml:space="preserve">New Testament</t>
        </is>
      </c>
      <c r="D1099" s="15">
        <v>48</v>
      </c>
      <c r="E1099" s="15" t="inlineStr">
        <is>
          <t xml:space="preserve">Galatians</t>
        </is>
      </c>
      <c r="F1099" s="15">
        <v>4</v>
      </c>
      <c r="G1099" s="15" t="inlineStr">
        <is>
          <t xml:space="preserve">v0.8</t>
        </is>
      </c>
      <c r="H1099" s="15" t="inlineStr">
        <is>
          <t xml:space="preserve">Bible_Journey_Canon_Map_v0_8_Acts_Pauline_Letters.xlsx</t>
        </is>
      </c>
      <c r="I1099" s="15" t="inlineStr">
        <is>
          <t xml:space="preserve">Canon Coverage</t>
        </is>
      </c>
      <c r="J1099" s="15" t="inlineStr">
        <is>
          <t xml:space="preserve">CRS-NT-013</t>
        </is>
      </c>
      <c r="K1099" s="15" t="inlineStr">
        <is>
          <t xml:space="preserve">BLK-013</t>
        </is>
      </c>
      <c r="L1099" s="10" t="inlineStr">
        <is>
          <t xml:space="preserve">Mapped once</t>
        </is>
      </c>
      <c r="M1099" s="15"/>
      <c r="N1099" s="15" t="inlineStr">
        <is>
          <t xml:space="preserve">S02; S03</t>
        </is>
      </c>
      <c r="O1099" s="15">
        <v>1</v>
      </c>
      <c r="P1099" s="10" t="str">
        <f>IF(L1099="MISSING","MISSING",IF(O1099=1,"PASS","DUPLICATE"))</f>
        <v>PASS</v>
      </c>
    </row>
    <row r="1100" ht="22" customHeight="1">
      <c r="A1100" s="15" t="inlineStr">
        <is>
          <t xml:space="preserve">Galatians 5</t>
        </is>
      </c>
      <c r="B1100" s="15">
        <v>1096</v>
      </c>
      <c r="C1100" s="15" t="inlineStr">
        <is>
          <t xml:space="preserve">New Testament</t>
        </is>
      </c>
      <c r="D1100" s="15">
        <v>48</v>
      </c>
      <c r="E1100" s="15" t="inlineStr">
        <is>
          <t xml:space="preserve">Galatians</t>
        </is>
      </c>
      <c r="F1100" s="15">
        <v>5</v>
      </c>
      <c r="G1100" s="15" t="inlineStr">
        <is>
          <t xml:space="preserve">v0.8</t>
        </is>
      </c>
      <c r="H1100" s="15" t="inlineStr">
        <is>
          <t xml:space="preserve">Bible_Journey_Canon_Map_v0_8_Acts_Pauline_Letters.xlsx</t>
        </is>
      </c>
      <c r="I1100" s="15" t="inlineStr">
        <is>
          <t xml:space="preserve">Canon Coverage</t>
        </is>
      </c>
      <c r="J1100" s="15" t="inlineStr">
        <is>
          <t xml:space="preserve">CRS-NT-013</t>
        </is>
      </c>
      <c r="K1100" s="15" t="inlineStr">
        <is>
          <t xml:space="preserve">BLK-013</t>
        </is>
      </c>
      <c r="L1100" s="10" t="inlineStr">
        <is>
          <t xml:space="preserve">Mapped once</t>
        </is>
      </c>
      <c r="M1100" s="15"/>
      <c r="N1100" s="15" t="inlineStr">
        <is>
          <t xml:space="preserve">S02; S03</t>
        </is>
      </c>
      <c r="O1100" s="15">
        <v>1</v>
      </c>
      <c r="P1100" s="10" t="str">
        <f>IF(L1100="MISSING","MISSING",IF(O1100=1,"PASS","DUPLICATE"))</f>
        <v>PASS</v>
      </c>
    </row>
    <row r="1101" ht="22" customHeight="1">
      <c r="A1101" s="15" t="inlineStr">
        <is>
          <t xml:space="preserve">Galatians 6</t>
        </is>
      </c>
      <c r="B1101" s="15">
        <v>1097</v>
      </c>
      <c r="C1101" s="15" t="inlineStr">
        <is>
          <t xml:space="preserve">New Testament</t>
        </is>
      </c>
      <c r="D1101" s="15">
        <v>48</v>
      </c>
      <c r="E1101" s="15" t="inlineStr">
        <is>
          <t xml:space="preserve">Galatians</t>
        </is>
      </c>
      <c r="F1101" s="15">
        <v>6</v>
      </c>
      <c r="G1101" s="15" t="inlineStr">
        <is>
          <t xml:space="preserve">v0.8</t>
        </is>
      </c>
      <c r="H1101" s="15" t="inlineStr">
        <is>
          <t xml:space="preserve">Bible_Journey_Canon_Map_v0_8_Acts_Pauline_Letters.xlsx</t>
        </is>
      </c>
      <c r="I1101" s="15" t="inlineStr">
        <is>
          <t xml:space="preserve">Canon Coverage</t>
        </is>
      </c>
      <c r="J1101" s="15" t="inlineStr">
        <is>
          <t xml:space="preserve">CRS-NT-013</t>
        </is>
      </c>
      <c r="K1101" s="15" t="inlineStr">
        <is>
          <t xml:space="preserve">BLK-013</t>
        </is>
      </c>
      <c r="L1101" s="10" t="inlineStr">
        <is>
          <t xml:space="preserve">Mapped once</t>
        </is>
      </c>
      <c r="M1101" s="15"/>
      <c r="N1101" s="15" t="inlineStr">
        <is>
          <t xml:space="preserve">S02; S03</t>
        </is>
      </c>
      <c r="O1101" s="15">
        <v>1</v>
      </c>
      <c r="P1101" s="10" t="str">
        <f>IF(L1101="MISSING","MISSING",IF(O1101=1,"PASS","DUPLICATE"))</f>
        <v>PASS</v>
      </c>
    </row>
    <row r="1102" ht="22" customHeight="1">
      <c r="A1102" s="15" t="inlineStr">
        <is>
          <t xml:space="preserve">Ephesians 1</t>
        </is>
      </c>
      <c r="B1102" s="15">
        <v>1098</v>
      </c>
      <c r="C1102" s="15" t="inlineStr">
        <is>
          <t xml:space="preserve">New Testament</t>
        </is>
      </c>
      <c r="D1102" s="15">
        <v>49</v>
      </c>
      <c r="E1102" s="15" t="inlineStr">
        <is>
          <t xml:space="preserve">Ephesians</t>
        </is>
      </c>
      <c r="F1102" s="15">
        <v>1</v>
      </c>
      <c r="G1102" s="15" t="inlineStr">
        <is>
          <t xml:space="preserve">v0.8</t>
        </is>
      </c>
      <c r="H1102" s="15" t="inlineStr">
        <is>
          <t xml:space="preserve">Bible_Journey_Canon_Map_v0_8_Acts_Pauline_Letters.xlsx</t>
        </is>
      </c>
      <c r="I1102" s="15" t="inlineStr">
        <is>
          <t xml:space="preserve">Canon Coverage</t>
        </is>
      </c>
      <c r="J1102" s="15" t="inlineStr">
        <is>
          <t xml:space="preserve">CRS-NT-036</t>
        </is>
      </c>
      <c r="K1102" s="15" t="inlineStr">
        <is>
          <t xml:space="preserve">BLK-036</t>
        </is>
      </c>
      <c r="L1102" s="10" t="inlineStr">
        <is>
          <t xml:space="preserve">Mapped once</t>
        </is>
      </c>
      <c r="M1102" s="15"/>
      <c r="N1102" s="15" t="inlineStr">
        <is>
          <t xml:space="preserve">S06</t>
        </is>
      </c>
      <c r="O1102" s="15">
        <v>1</v>
      </c>
      <c r="P1102" s="10" t="str">
        <f>IF(L1102="MISSING","MISSING",IF(O1102=1,"PASS","DUPLICATE"))</f>
        <v>PASS</v>
      </c>
    </row>
    <row r="1103" ht="22" customHeight="1">
      <c r="A1103" s="15" t="inlineStr">
        <is>
          <t xml:space="preserve">Ephesians 2</t>
        </is>
      </c>
      <c r="B1103" s="15">
        <v>1099</v>
      </c>
      <c r="C1103" s="15" t="inlineStr">
        <is>
          <t xml:space="preserve">New Testament</t>
        </is>
      </c>
      <c r="D1103" s="15">
        <v>49</v>
      </c>
      <c r="E1103" s="15" t="inlineStr">
        <is>
          <t xml:space="preserve">Ephesians</t>
        </is>
      </c>
      <c r="F1103" s="15">
        <v>2</v>
      </c>
      <c r="G1103" s="15" t="inlineStr">
        <is>
          <t xml:space="preserve">v0.8</t>
        </is>
      </c>
      <c r="H1103" s="15" t="inlineStr">
        <is>
          <t xml:space="preserve">Bible_Journey_Canon_Map_v0_8_Acts_Pauline_Letters.xlsx</t>
        </is>
      </c>
      <c r="I1103" s="15" t="inlineStr">
        <is>
          <t xml:space="preserve">Canon Coverage</t>
        </is>
      </c>
      <c r="J1103" s="15" t="inlineStr">
        <is>
          <t xml:space="preserve">CRS-NT-036</t>
        </is>
      </c>
      <c r="K1103" s="15" t="inlineStr">
        <is>
          <t xml:space="preserve">BLK-036</t>
        </is>
      </c>
      <c r="L1103" s="10" t="inlineStr">
        <is>
          <t xml:space="preserve">Mapped once</t>
        </is>
      </c>
      <c r="M1103" s="15"/>
      <c r="N1103" s="15" t="inlineStr">
        <is>
          <t xml:space="preserve">S06</t>
        </is>
      </c>
      <c r="O1103" s="15">
        <v>1</v>
      </c>
      <c r="P1103" s="10" t="str">
        <f>IF(L1103="MISSING","MISSING",IF(O1103=1,"PASS","DUPLICATE"))</f>
        <v>PASS</v>
      </c>
    </row>
    <row r="1104" ht="22" customHeight="1">
      <c r="A1104" s="15" t="inlineStr">
        <is>
          <t xml:space="preserve">Ephesians 3</t>
        </is>
      </c>
      <c r="B1104" s="15">
        <v>1100</v>
      </c>
      <c r="C1104" s="15" t="inlineStr">
        <is>
          <t xml:space="preserve">New Testament</t>
        </is>
      </c>
      <c r="D1104" s="15">
        <v>49</v>
      </c>
      <c r="E1104" s="15" t="inlineStr">
        <is>
          <t xml:space="preserve">Ephesians</t>
        </is>
      </c>
      <c r="F1104" s="15">
        <v>3</v>
      </c>
      <c r="G1104" s="15" t="inlineStr">
        <is>
          <t xml:space="preserve">v0.8</t>
        </is>
      </c>
      <c r="H1104" s="15" t="inlineStr">
        <is>
          <t xml:space="preserve">Bible_Journey_Canon_Map_v0_8_Acts_Pauline_Letters.xlsx</t>
        </is>
      </c>
      <c r="I1104" s="15" t="inlineStr">
        <is>
          <t xml:space="preserve">Canon Coverage</t>
        </is>
      </c>
      <c r="J1104" s="15" t="inlineStr">
        <is>
          <t xml:space="preserve">CRS-NT-036</t>
        </is>
      </c>
      <c r="K1104" s="15" t="inlineStr">
        <is>
          <t xml:space="preserve">BLK-036</t>
        </is>
      </c>
      <c r="L1104" s="10" t="inlineStr">
        <is>
          <t xml:space="preserve">Mapped once</t>
        </is>
      </c>
      <c r="M1104" s="15"/>
      <c r="N1104" s="15" t="inlineStr">
        <is>
          <t xml:space="preserve">S06</t>
        </is>
      </c>
      <c r="O1104" s="15">
        <v>1</v>
      </c>
      <c r="P1104" s="10" t="str">
        <f>IF(L1104="MISSING","MISSING",IF(O1104=1,"PASS","DUPLICATE"))</f>
        <v>PASS</v>
      </c>
    </row>
    <row r="1105" ht="22" customHeight="1">
      <c r="A1105" s="15" t="inlineStr">
        <is>
          <t xml:space="preserve">Ephesians 4</t>
        </is>
      </c>
      <c r="B1105" s="15">
        <v>1101</v>
      </c>
      <c r="C1105" s="15" t="inlineStr">
        <is>
          <t xml:space="preserve">New Testament</t>
        </is>
      </c>
      <c r="D1105" s="15">
        <v>49</v>
      </c>
      <c r="E1105" s="15" t="inlineStr">
        <is>
          <t xml:space="preserve">Ephesians</t>
        </is>
      </c>
      <c r="F1105" s="15">
        <v>4</v>
      </c>
      <c r="G1105" s="15" t="inlineStr">
        <is>
          <t xml:space="preserve">v0.8</t>
        </is>
      </c>
      <c r="H1105" s="15" t="inlineStr">
        <is>
          <t xml:space="preserve">Bible_Journey_Canon_Map_v0_8_Acts_Pauline_Letters.xlsx</t>
        </is>
      </c>
      <c r="I1105" s="15" t="inlineStr">
        <is>
          <t xml:space="preserve">Canon Coverage</t>
        </is>
      </c>
      <c r="J1105" s="15" t="inlineStr">
        <is>
          <t xml:space="preserve">CRS-NT-036</t>
        </is>
      </c>
      <c r="K1105" s="15" t="inlineStr">
        <is>
          <t xml:space="preserve">BLK-036</t>
        </is>
      </c>
      <c r="L1105" s="10" t="inlineStr">
        <is>
          <t xml:space="preserve">Mapped once</t>
        </is>
      </c>
      <c r="M1105" s="15"/>
      <c r="N1105" s="15" t="inlineStr">
        <is>
          <t xml:space="preserve">S06</t>
        </is>
      </c>
      <c r="O1105" s="15">
        <v>1</v>
      </c>
      <c r="P1105" s="10" t="str">
        <f>IF(L1105="MISSING","MISSING",IF(O1105=1,"PASS","DUPLICATE"))</f>
        <v>PASS</v>
      </c>
    </row>
    <row r="1106" ht="22" customHeight="1">
      <c r="A1106" s="15" t="inlineStr">
        <is>
          <t xml:space="preserve">Ephesians 5</t>
        </is>
      </c>
      <c r="B1106" s="15">
        <v>1102</v>
      </c>
      <c r="C1106" s="15" t="inlineStr">
        <is>
          <t xml:space="preserve">New Testament</t>
        </is>
      </c>
      <c r="D1106" s="15">
        <v>49</v>
      </c>
      <c r="E1106" s="15" t="inlineStr">
        <is>
          <t xml:space="preserve">Ephesians</t>
        </is>
      </c>
      <c r="F1106" s="15">
        <v>5</v>
      </c>
      <c r="G1106" s="15" t="inlineStr">
        <is>
          <t xml:space="preserve">v0.8</t>
        </is>
      </c>
      <c r="H1106" s="15" t="inlineStr">
        <is>
          <t xml:space="preserve">Bible_Journey_Canon_Map_v0_8_Acts_Pauline_Letters.xlsx</t>
        </is>
      </c>
      <c r="I1106" s="15" t="inlineStr">
        <is>
          <t xml:space="preserve">Canon Coverage</t>
        </is>
      </c>
      <c r="J1106" s="15" t="inlineStr">
        <is>
          <t xml:space="preserve">CRS-NT-036</t>
        </is>
      </c>
      <c r="K1106" s="15" t="inlineStr">
        <is>
          <t xml:space="preserve">BLK-036</t>
        </is>
      </c>
      <c r="L1106" s="10" t="inlineStr">
        <is>
          <t xml:space="preserve">Mapped once</t>
        </is>
      </c>
      <c r="M1106" s="15"/>
      <c r="N1106" s="15" t="inlineStr">
        <is>
          <t xml:space="preserve">S06</t>
        </is>
      </c>
      <c r="O1106" s="15">
        <v>1</v>
      </c>
      <c r="P1106" s="10" t="str">
        <f>IF(L1106="MISSING","MISSING",IF(O1106=1,"PASS","DUPLICATE"))</f>
        <v>PASS</v>
      </c>
    </row>
    <row r="1107" ht="22" customHeight="1">
      <c r="A1107" s="15" t="inlineStr">
        <is>
          <t xml:space="preserve">Ephesians 6</t>
        </is>
      </c>
      <c r="B1107" s="15">
        <v>1103</v>
      </c>
      <c r="C1107" s="15" t="inlineStr">
        <is>
          <t xml:space="preserve">New Testament</t>
        </is>
      </c>
      <c r="D1107" s="15">
        <v>49</v>
      </c>
      <c r="E1107" s="15" t="inlineStr">
        <is>
          <t xml:space="preserve">Ephesians</t>
        </is>
      </c>
      <c r="F1107" s="15">
        <v>6</v>
      </c>
      <c r="G1107" s="15" t="inlineStr">
        <is>
          <t xml:space="preserve">v0.8</t>
        </is>
      </c>
      <c r="H1107" s="15" t="inlineStr">
        <is>
          <t xml:space="preserve">Bible_Journey_Canon_Map_v0_8_Acts_Pauline_Letters.xlsx</t>
        </is>
      </c>
      <c r="I1107" s="15" t="inlineStr">
        <is>
          <t xml:space="preserve">Canon Coverage</t>
        </is>
      </c>
      <c r="J1107" s="15" t="inlineStr">
        <is>
          <t xml:space="preserve">CRS-NT-036</t>
        </is>
      </c>
      <c r="K1107" s="15" t="inlineStr">
        <is>
          <t xml:space="preserve">BLK-036</t>
        </is>
      </c>
      <c r="L1107" s="10" t="inlineStr">
        <is>
          <t xml:space="preserve">Mapped once</t>
        </is>
      </c>
      <c r="M1107" s="15"/>
      <c r="N1107" s="15" t="inlineStr">
        <is>
          <t xml:space="preserve">S06</t>
        </is>
      </c>
      <c r="O1107" s="15">
        <v>1</v>
      </c>
      <c r="P1107" s="10" t="str">
        <f>IF(L1107="MISSING","MISSING",IF(O1107=1,"PASS","DUPLICATE"))</f>
        <v>PASS</v>
      </c>
    </row>
    <row r="1108" ht="22" customHeight="1">
      <c r="A1108" s="15" t="inlineStr">
        <is>
          <t xml:space="preserve">Philippians 1</t>
        </is>
      </c>
      <c r="B1108" s="15">
        <v>1104</v>
      </c>
      <c r="C1108" s="15" t="inlineStr">
        <is>
          <t xml:space="preserve">New Testament</t>
        </is>
      </c>
      <c r="D1108" s="15">
        <v>50</v>
      </c>
      <c r="E1108" s="15" t="inlineStr">
        <is>
          <t xml:space="preserve">Philippians</t>
        </is>
      </c>
      <c r="F1108" s="15">
        <v>1</v>
      </c>
      <c r="G1108" s="15" t="inlineStr">
        <is>
          <t xml:space="preserve">v0.8</t>
        </is>
      </c>
      <c r="H1108" s="15" t="inlineStr">
        <is>
          <t xml:space="preserve">Bible_Journey_Canon_Map_v0_8_Acts_Pauline_Letters.xlsx</t>
        </is>
      </c>
      <c r="I1108" s="15" t="inlineStr">
        <is>
          <t xml:space="preserve">Canon Coverage</t>
        </is>
      </c>
      <c r="J1108" s="15" t="inlineStr">
        <is>
          <t xml:space="preserve">CRS-NT-037</t>
        </is>
      </c>
      <c r="K1108" s="15" t="inlineStr">
        <is>
          <t xml:space="preserve">BLK-037</t>
        </is>
      </c>
      <c r="L1108" s="10" t="inlineStr">
        <is>
          <t xml:space="preserve">Mapped once</t>
        </is>
      </c>
      <c r="M1108" s="15"/>
      <c r="N1108" s="15" t="inlineStr">
        <is>
          <t xml:space="preserve">S02; S06</t>
        </is>
      </c>
      <c r="O1108" s="15">
        <v>1</v>
      </c>
      <c r="P1108" s="10" t="str">
        <f>IF(L1108="MISSING","MISSING",IF(O1108=1,"PASS","DUPLICATE"))</f>
        <v>PASS</v>
      </c>
    </row>
    <row r="1109" ht="22" customHeight="1">
      <c r="A1109" s="15" t="inlineStr">
        <is>
          <t xml:space="preserve">Philippians 2</t>
        </is>
      </c>
      <c r="B1109" s="15">
        <v>1105</v>
      </c>
      <c r="C1109" s="15" t="inlineStr">
        <is>
          <t xml:space="preserve">New Testament</t>
        </is>
      </c>
      <c r="D1109" s="15">
        <v>50</v>
      </c>
      <c r="E1109" s="15" t="inlineStr">
        <is>
          <t xml:space="preserve">Philippians</t>
        </is>
      </c>
      <c r="F1109" s="15">
        <v>2</v>
      </c>
      <c r="G1109" s="15" t="inlineStr">
        <is>
          <t xml:space="preserve">v0.8</t>
        </is>
      </c>
      <c r="H1109" s="15" t="inlineStr">
        <is>
          <t xml:space="preserve">Bible_Journey_Canon_Map_v0_8_Acts_Pauline_Letters.xlsx</t>
        </is>
      </c>
      <c r="I1109" s="15" t="inlineStr">
        <is>
          <t xml:space="preserve">Canon Coverage</t>
        </is>
      </c>
      <c r="J1109" s="15" t="inlineStr">
        <is>
          <t xml:space="preserve">CRS-NT-037</t>
        </is>
      </c>
      <c r="K1109" s="15" t="inlineStr">
        <is>
          <t xml:space="preserve">BLK-037</t>
        </is>
      </c>
      <c r="L1109" s="10" t="inlineStr">
        <is>
          <t xml:space="preserve">Mapped once</t>
        </is>
      </c>
      <c r="M1109" s="15"/>
      <c r="N1109" s="15" t="inlineStr">
        <is>
          <t xml:space="preserve">S02; S06</t>
        </is>
      </c>
      <c r="O1109" s="15">
        <v>1</v>
      </c>
      <c r="P1109" s="10" t="str">
        <f>IF(L1109="MISSING","MISSING",IF(O1109=1,"PASS","DUPLICATE"))</f>
        <v>PASS</v>
      </c>
    </row>
    <row r="1110" ht="22" customHeight="1">
      <c r="A1110" s="15" t="inlineStr">
        <is>
          <t xml:space="preserve">Philippians 3</t>
        </is>
      </c>
      <c r="B1110" s="15">
        <v>1106</v>
      </c>
      <c r="C1110" s="15" t="inlineStr">
        <is>
          <t xml:space="preserve">New Testament</t>
        </is>
      </c>
      <c r="D1110" s="15">
        <v>50</v>
      </c>
      <c r="E1110" s="15" t="inlineStr">
        <is>
          <t xml:space="preserve">Philippians</t>
        </is>
      </c>
      <c r="F1110" s="15">
        <v>3</v>
      </c>
      <c r="G1110" s="15" t="inlineStr">
        <is>
          <t xml:space="preserve">v0.8</t>
        </is>
      </c>
      <c r="H1110" s="15" t="inlineStr">
        <is>
          <t xml:space="preserve">Bible_Journey_Canon_Map_v0_8_Acts_Pauline_Letters.xlsx</t>
        </is>
      </c>
      <c r="I1110" s="15" t="inlineStr">
        <is>
          <t xml:space="preserve">Canon Coverage</t>
        </is>
      </c>
      <c r="J1110" s="15" t="inlineStr">
        <is>
          <t xml:space="preserve">CRS-NT-037</t>
        </is>
      </c>
      <c r="K1110" s="15" t="inlineStr">
        <is>
          <t xml:space="preserve">BLK-037</t>
        </is>
      </c>
      <c r="L1110" s="10" t="inlineStr">
        <is>
          <t xml:space="preserve">Mapped once</t>
        </is>
      </c>
      <c r="M1110" s="15"/>
      <c r="N1110" s="15" t="inlineStr">
        <is>
          <t xml:space="preserve">S02; S06</t>
        </is>
      </c>
      <c r="O1110" s="15">
        <v>1</v>
      </c>
      <c r="P1110" s="10" t="str">
        <f>IF(L1110="MISSING","MISSING",IF(O1110=1,"PASS","DUPLICATE"))</f>
        <v>PASS</v>
      </c>
    </row>
    <row r="1111" ht="22" customHeight="1">
      <c r="A1111" s="15" t="inlineStr">
        <is>
          <t xml:space="preserve">Philippians 4</t>
        </is>
      </c>
      <c r="B1111" s="15">
        <v>1107</v>
      </c>
      <c r="C1111" s="15" t="inlineStr">
        <is>
          <t xml:space="preserve">New Testament</t>
        </is>
      </c>
      <c r="D1111" s="15">
        <v>50</v>
      </c>
      <c r="E1111" s="15" t="inlineStr">
        <is>
          <t xml:space="preserve">Philippians</t>
        </is>
      </c>
      <c r="F1111" s="15">
        <v>4</v>
      </c>
      <c r="G1111" s="15" t="inlineStr">
        <is>
          <t xml:space="preserve">v0.8</t>
        </is>
      </c>
      <c r="H1111" s="15" t="inlineStr">
        <is>
          <t xml:space="preserve">Bible_Journey_Canon_Map_v0_8_Acts_Pauline_Letters.xlsx</t>
        </is>
      </c>
      <c r="I1111" s="15" t="inlineStr">
        <is>
          <t xml:space="preserve">Canon Coverage</t>
        </is>
      </c>
      <c r="J1111" s="15" t="inlineStr">
        <is>
          <t xml:space="preserve">CRS-NT-037</t>
        </is>
      </c>
      <c r="K1111" s="15" t="inlineStr">
        <is>
          <t xml:space="preserve">BLK-037</t>
        </is>
      </c>
      <c r="L1111" s="10" t="inlineStr">
        <is>
          <t xml:space="preserve">Mapped once</t>
        </is>
      </c>
      <c r="M1111" s="15"/>
      <c r="N1111" s="15" t="inlineStr">
        <is>
          <t xml:space="preserve">S02; S06</t>
        </is>
      </c>
      <c r="O1111" s="15">
        <v>1</v>
      </c>
      <c r="P1111" s="10" t="str">
        <f>IF(L1111="MISSING","MISSING",IF(O1111=1,"PASS","DUPLICATE"))</f>
        <v>PASS</v>
      </c>
    </row>
    <row r="1112" ht="22" customHeight="1">
      <c r="A1112" s="15" t="inlineStr">
        <is>
          <t xml:space="preserve">Colossians 1</t>
        </is>
      </c>
      <c r="B1112" s="15">
        <v>1108</v>
      </c>
      <c r="C1112" s="15" t="inlineStr">
        <is>
          <t xml:space="preserve">New Testament</t>
        </is>
      </c>
      <c r="D1112" s="15">
        <v>51</v>
      </c>
      <c r="E1112" s="15" t="inlineStr">
        <is>
          <t xml:space="preserve">Colossians</t>
        </is>
      </c>
      <c r="F1112" s="15">
        <v>1</v>
      </c>
      <c r="G1112" s="15" t="inlineStr">
        <is>
          <t xml:space="preserve">v0.8</t>
        </is>
      </c>
      <c r="H1112" s="15" t="inlineStr">
        <is>
          <t xml:space="preserve">Bible_Journey_Canon_Map_v0_8_Acts_Pauline_Letters.xlsx</t>
        </is>
      </c>
      <c r="I1112" s="15" t="inlineStr">
        <is>
          <t xml:space="preserve">Canon Coverage</t>
        </is>
      </c>
      <c r="J1112" s="15" t="inlineStr">
        <is>
          <t xml:space="preserve">CRS-NT-035</t>
        </is>
      </c>
      <c r="K1112" s="15" t="inlineStr">
        <is>
          <t xml:space="preserve">BLK-035</t>
        </is>
      </c>
      <c r="L1112" s="10" t="inlineStr">
        <is>
          <t xml:space="preserve">Mapped once</t>
        </is>
      </c>
      <c r="M1112" s="15"/>
      <c r="N1112" s="15" t="inlineStr">
        <is>
          <t xml:space="preserve">S06</t>
        </is>
      </c>
      <c r="O1112" s="15">
        <v>1</v>
      </c>
      <c r="P1112" s="10" t="str">
        <f>IF(L1112="MISSING","MISSING",IF(O1112=1,"PASS","DUPLICATE"))</f>
        <v>PASS</v>
      </c>
    </row>
    <row r="1113" ht="22" customHeight="1">
      <c r="A1113" s="15" t="inlineStr">
        <is>
          <t xml:space="preserve">Colossians 2</t>
        </is>
      </c>
      <c r="B1113" s="15">
        <v>1109</v>
      </c>
      <c r="C1113" s="15" t="inlineStr">
        <is>
          <t xml:space="preserve">New Testament</t>
        </is>
      </c>
      <c r="D1113" s="15">
        <v>51</v>
      </c>
      <c r="E1113" s="15" t="inlineStr">
        <is>
          <t xml:space="preserve">Colossians</t>
        </is>
      </c>
      <c r="F1113" s="15">
        <v>2</v>
      </c>
      <c r="G1113" s="15" t="inlineStr">
        <is>
          <t xml:space="preserve">v0.8</t>
        </is>
      </c>
      <c r="H1113" s="15" t="inlineStr">
        <is>
          <t xml:space="preserve">Bible_Journey_Canon_Map_v0_8_Acts_Pauline_Letters.xlsx</t>
        </is>
      </c>
      <c r="I1113" s="15" t="inlineStr">
        <is>
          <t xml:space="preserve">Canon Coverage</t>
        </is>
      </c>
      <c r="J1113" s="15" t="inlineStr">
        <is>
          <t xml:space="preserve">CRS-NT-035</t>
        </is>
      </c>
      <c r="K1113" s="15" t="inlineStr">
        <is>
          <t xml:space="preserve">BLK-035</t>
        </is>
      </c>
      <c r="L1113" s="10" t="inlineStr">
        <is>
          <t xml:space="preserve">Mapped once</t>
        </is>
      </c>
      <c r="M1113" s="15"/>
      <c r="N1113" s="15" t="inlineStr">
        <is>
          <t xml:space="preserve">S06</t>
        </is>
      </c>
      <c r="O1113" s="15">
        <v>1</v>
      </c>
      <c r="P1113" s="10" t="str">
        <f>IF(L1113="MISSING","MISSING",IF(O1113=1,"PASS","DUPLICATE"))</f>
        <v>PASS</v>
      </c>
    </row>
    <row r="1114" ht="22" customHeight="1">
      <c r="A1114" s="15" t="inlineStr">
        <is>
          <t xml:space="preserve">Colossians 3</t>
        </is>
      </c>
      <c r="B1114" s="15">
        <v>1110</v>
      </c>
      <c r="C1114" s="15" t="inlineStr">
        <is>
          <t xml:space="preserve">New Testament</t>
        </is>
      </c>
      <c r="D1114" s="15">
        <v>51</v>
      </c>
      <c r="E1114" s="15" t="inlineStr">
        <is>
          <t xml:space="preserve">Colossians</t>
        </is>
      </c>
      <c r="F1114" s="15">
        <v>3</v>
      </c>
      <c r="G1114" s="15" t="inlineStr">
        <is>
          <t xml:space="preserve">v0.8</t>
        </is>
      </c>
      <c r="H1114" s="15" t="inlineStr">
        <is>
          <t xml:space="preserve">Bible_Journey_Canon_Map_v0_8_Acts_Pauline_Letters.xlsx</t>
        </is>
      </c>
      <c r="I1114" s="15" t="inlineStr">
        <is>
          <t xml:space="preserve">Canon Coverage</t>
        </is>
      </c>
      <c r="J1114" s="15" t="inlineStr">
        <is>
          <t xml:space="preserve">CRS-NT-035</t>
        </is>
      </c>
      <c r="K1114" s="15" t="inlineStr">
        <is>
          <t xml:space="preserve">BLK-035</t>
        </is>
      </c>
      <c r="L1114" s="10" t="inlineStr">
        <is>
          <t xml:space="preserve">Mapped once</t>
        </is>
      </c>
      <c r="M1114" s="15"/>
      <c r="N1114" s="15" t="inlineStr">
        <is>
          <t xml:space="preserve">S06</t>
        </is>
      </c>
      <c r="O1114" s="15">
        <v>1</v>
      </c>
      <c r="P1114" s="10" t="str">
        <f>IF(L1114="MISSING","MISSING",IF(O1114=1,"PASS","DUPLICATE"))</f>
        <v>PASS</v>
      </c>
    </row>
    <row r="1115" ht="22" customHeight="1">
      <c r="A1115" s="15" t="inlineStr">
        <is>
          <t xml:space="preserve">Colossians 4</t>
        </is>
      </c>
      <c r="B1115" s="15">
        <v>1111</v>
      </c>
      <c r="C1115" s="15" t="inlineStr">
        <is>
          <t xml:space="preserve">New Testament</t>
        </is>
      </c>
      <c r="D1115" s="15">
        <v>51</v>
      </c>
      <c r="E1115" s="15" t="inlineStr">
        <is>
          <t xml:space="preserve">Colossians</t>
        </is>
      </c>
      <c r="F1115" s="15">
        <v>4</v>
      </c>
      <c r="G1115" s="15" t="inlineStr">
        <is>
          <t xml:space="preserve">v0.8</t>
        </is>
      </c>
      <c r="H1115" s="15" t="inlineStr">
        <is>
          <t xml:space="preserve">Bible_Journey_Canon_Map_v0_8_Acts_Pauline_Letters.xlsx</t>
        </is>
      </c>
      <c r="I1115" s="15" t="inlineStr">
        <is>
          <t xml:space="preserve">Canon Coverage</t>
        </is>
      </c>
      <c r="J1115" s="15" t="inlineStr">
        <is>
          <t xml:space="preserve">CRS-NT-035</t>
        </is>
      </c>
      <c r="K1115" s="15" t="inlineStr">
        <is>
          <t xml:space="preserve">BLK-035</t>
        </is>
      </c>
      <c r="L1115" s="10" t="inlineStr">
        <is>
          <t xml:space="preserve">Mapped once</t>
        </is>
      </c>
      <c r="M1115" s="15"/>
      <c r="N1115" s="15" t="inlineStr">
        <is>
          <t xml:space="preserve">S06</t>
        </is>
      </c>
      <c r="O1115" s="15">
        <v>1</v>
      </c>
      <c r="P1115" s="10" t="str">
        <f>IF(L1115="MISSING","MISSING",IF(O1115=1,"PASS","DUPLICATE"))</f>
        <v>PASS</v>
      </c>
    </row>
    <row r="1116" ht="22" customHeight="1">
      <c r="A1116" s="15" t="inlineStr">
        <is>
          <t xml:space="preserve">1 Thessalonians 1</t>
        </is>
      </c>
      <c r="B1116" s="15">
        <v>1112</v>
      </c>
      <c r="C1116" s="15" t="inlineStr">
        <is>
          <t xml:space="preserve">New Testament</t>
        </is>
      </c>
      <c r="D1116" s="15">
        <v>52</v>
      </c>
      <c r="E1116" s="15" t="inlineStr">
        <is>
          <t xml:space="preserve">1 Thessalonians</t>
        </is>
      </c>
      <c r="F1116" s="15">
        <v>1</v>
      </c>
      <c r="G1116" s="15" t="inlineStr">
        <is>
          <t xml:space="preserve">v0.8</t>
        </is>
      </c>
      <c r="H1116" s="15" t="inlineStr">
        <is>
          <t xml:space="preserve">Bible_Journey_Canon_Map_v0_8_Acts_Pauline_Letters.xlsx</t>
        </is>
      </c>
      <c r="I1116" s="15" t="inlineStr">
        <is>
          <t xml:space="preserve">Canon Coverage</t>
        </is>
      </c>
      <c r="J1116" s="15" t="inlineStr">
        <is>
          <t xml:space="preserve">CRS-NT-020</t>
        </is>
      </c>
      <c r="K1116" s="15" t="inlineStr">
        <is>
          <t xml:space="preserve">BLK-020</t>
        </is>
      </c>
      <c r="L1116" s="10" t="inlineStr">
        <is>
          <t xml:space="preserve">Mapped once</t>
        </is>
      </c>
      <c r="M1116" s="15"/>
      <c r="N1116" s="15" t="inlineStr">
        <is>
          <t xml:space="preserve">S02; S05</t>
        </is>
      </c>
      <c r="O1116" s="15">
        <v>1</v>
      </c>
      <c r="P1116" s="10" t="str">
        <f>IF(L1116="MISSING","MISSING",IF(O1116=1,"PASS","DUPLICATE"))</f>
        <v>PASS</v>
      </c>
    </row>
    <row r="1117" ht="22" customHeight="1">
      <c r="A1117" s="15" t="inlineStr">
        <is>
          <t xml:space="preserve">1 Thessalonians 2</t>
        </is>
      </c>
      <c r="B1117" s="15">
        <v>1113</v>
      </c>
      <c r="C1117" s="15" t="inlineStr">
        <is>
          <t xml:space="preserve">New Testament</t>
        </is>
      </c>
      <c r="D1117" s="15">
        <v>52</v>
      </c>
      <c r="E1117" s="15" t="inlineStr">
        <is>
          <t xml:space="preserve">1 Thessalonians</t>
        </is>
      </c>
      <c r="F1117" s="15">
        <v>2</v>
      </c>
      <c r="G1117" s="15" t="inlineStr">
        <is>
          <t xml:space="preserve">v0.8</t>
        </is>
      </c>
      <c r="H1117" s="15" t="inlineStr">
        <is>
          <t xml:space="preserve">Bible_Journey_Canon_Map_v0_8_Acts_Pauline_Letters.xlsx</t>
        </is>
      </c>
      <c r="I1117" s="15" t="inlineStr">
        <is>
          <t xml:space="preserve">Canon Coverage</t>
        </is>
      </c>
      <c r="J1117" s="15" t="inlineStr">
        <is>
          <t xml:space="preserve">CRS-NT-020</t>
        </is>
      </c>
      <c r="K1117" s="15" t="inlineStr">
        <is>
          <t xml:space="preserve">BLK-020</t>
        </is>
      </c>
      <c r="L1117" s="10" t="inlineStr">
        <is>
          <t xml:space="preserve">Mapped once</t>
        </is>
      </c>
      <c r="M1117" s="15"/>
      <c r="N1117" s="15" t="inlineStr">
        <is>
          <t xml:space="preserve">S02; S05</t>
        </is>
      </c>
      <c r="O1117" s="15">
        <v>1</v>
      </c>
      <c r="P1117" s="10" t="str">
        <f>IF(L1117="MISSING","MISSING",IF(O1117=1,"PASS","DUPLICATE"))</f>
        <v>PASS</v>
      </c>
    </row>
    <row r="1118" ht="22" customHeight="1">
      <c r="A1118" s="15" t="inlineStr">
        <is>
          <t xml:space="preserve">1 Thessalonians 3</t>
        </is>
      </c>
      <c r="B1118" s="15">
        <v>1114</v>
      </c>
      <c r="C1118" s="15" t="inlineStr">
        <is>
          <t xml:space="preserve">New Testament</t>
        </is>
      </c>
      <c r="D1118" s="15">
        <v>52</v>
      </c>
      <c r="E1118" s="15" t="inlineStr">
        <is>
          <t xml:space="preserve">1 Thessalonians</t>
        </is>
      </c>
      <c r="F1118" s="15">
        <v>3</v>
      </c>
      <c r="G1118" s="15" t="inlineStr">
        <is>
          <t xml:space="preserve">v0.8</t>
        </is>
      </c>
      <c r="H1118" s="15" t="inlineStr">
        <is>
          <t xml:space="preserve">Bible_Journey_Canon_Map_v0_8_Acts_Pauline_Letters.xlsx</t>
        </is>
      </c>
      <c r="I1118" s="15" t="inlineStr">
        <is>
          <t xml:space="preserve">Canon Coverage</t>
        </is>
      </c>
      <c r="J1118" s="15" t="inlineStr">
        <is>
          <t xml:space="preserve">CRS-NT-020</t>
        </is>
      </c>
      <c r="K1118" s="15" t="inlineStr">
        <is>
          <t xml:space="preserve">BLK-020</t>
        </is>
      </c>
      <c r="L1118" s="10" t="inlineStr">
        <is>
          <t xml:space="preserve">Mapped once</t>
        </is>
      </c>
      <c r="M1118" s="15"/>
      <c r="N1118" s="15" t="inlineStr">
        <is>
          <t xml:space="preserve">S02; S05</t>
        </is>
      </c>
      <c r="O1118" s="15">
        <v>1</v>
      </c>
      <c r="P1118" s="10" t="str">
        <f>IF(L1118="MISSING","MISSING",IF(O1118=1,"PASS","DUPLICATE"))</f>
        <v>PASS</v>
      </c>
    </row>
    <row r="1119" ht="22" customHeight="1">
      <c r="A1119" s="15" t="inlineStr">
        <is>
          <t xml:space="preserve">1 Thessalonians 4</t>
        </is>
      </c>
      <c r="B1119" s="15">
        <v>1115</v>
      </c>
      <c r="C1119" s="15" t="inlineStr">
        <is>
          <t xml:space="preserve">New Testament</t>
        </is>
      </c>
      <c r="D1119" s="15">
        <v>52</v>
      </c>
      <c r="E1119" s="15" t="inlineStr">
        <is>
          <t xml:space="preserve">1 Thessalonians</t>
        </is>
      </c>
      <c r="F1119" s="15">
        <v>4</v>
      </c>
      <c r="G1119" s="15" t="inlineStr">
        <is>
          <t xml:space="preserve">v0.8</t>
        </is>
      </c>
      <c r="H1119" s="15" t="inlineStr">
        <is>
          <t xml:space="preserve">Bible_Journey_Canon_Map_v0_8_Acts_Pauline_Letters.xlsx</t>
        </is>
      </c>
      <c r="I1119" s="15" t="inlineStr">
        <is>
          <t xml:space="preserve">Canon Coverage</t>
        </is>
      </c>
      <c r="J1119" s="15" t="inlineStr">
        <is>
          <t xml:space="preserve">CRS-NT-020</t>
        </is>
      </c>
      <c r="K1119" s="15" t="inlineStr">
        <is>
          <t xml:space="preserve">BLK-020</t>
        </is>
      </c>
      <c r="L1119" s="10" t="inlineStr">
        <is>
          <t xml:space="preserve">Mapped once</t>
        </is>
      </c>
      <c r="M1119" s="15"/>
      <c r="N1119" s="15" t="inlineStr">
        <is>
          <t xml:space="preserve">S02; S05</t>
        </is>
      </c>
      <c r="O1119" s="15">
        <v>1</v>
      </c>
      <c r="P1119" s="10" t="str">
        <f>IF(L1119="MISSING","MISSING",IF(O1119=1,"PASS","DUPLICATE"))</f>
        <v>PASS</v>
      </c>
    </row>
    <row r="1120" ht="22" customHeight="1">
      <c r="A1120" s="15" t="inlineStr">
        <is>
          <t xml:space="preserve">1 Thessalonians 5</t>
        </is>
      </c>
      <c r="B1120" s="15">
        <v>1116</v>
      </c>
      <c r="C1120" s="15" t="inlineStr">
        <is>
          <t xml:space="preserve">New Testament</t>
        </is>
      </c>
      <c r="D1120" s="15">
        <v>52</v>
      </c>
      <c r="E1120" s="15" t="inlineStr">
        <is>
          <t xml:space="preserve">1 Thessalonians</t>
        </is>
      </c>
      <c r="F1120" s="15">
        <v>5</v>
      </c>
      <c r="G1120" s="15" t="inlineStr">
        <is>
          <t xml:space="preserve">v0.8</t>
        </is>
      </c>
      <c r="H1120" s="15" t="inlineStr">
        <is>
          <t xml:space="preserve">Bible_Journey_Canon_Map_v0_8_Acts_Pauline_Letters.xlsx</t>
        </is>
      </c>
      <c r="I1120" s="15" t="inlineStr">
        <is>
          <t xml:space="preserve">Canon Coverage</t>
        </is>
      </c>
      <c r="J1120" s="15" t="inlineStr">
        <is>
          <t xml:space="preserve">CRS-NT-020</t>
        </is>
      </c>
      <c r="K1120" s="15" t="inlineStr">
        <is>
          <t xml:space="preserve">BLK-020</t>
        </is>
      </c>
      <c r="L1120" s="10" t="inlineStr">
        <is>
          <t xml:space="preserve">Mapped once</t>
        </is>
      </c>
      <c r="M1120" s="15"/>
      <c r="N1120" s="15" t="inlineStr">
        <is>
          <t xml:space="preserve">S02; S05</t>
        </is>
      </c>
      <c r="O1120" s="15">
        <v>1</v>
      </c>
      <c r="P1120" s="10" t="str">
        <f>IF(L1120="MISSING","MISSING",IF(O1120=1,"PASS","DUPLICATE"))</f>
        <v>PASS</v>
      </c>
    </row>
    <row r="1121" ht="22" customHeight="1">
      <c r="A1121" s="15" t="inlineStr">
        <is>
          <t xml:space="preserve">2 Thessalonians 1</t>
        </is>
      </c>
      <c r="B1121" s="15">
        <v>1117</v>
      </c>
      <c r="C1121" s="15" t="inlineStr">
        <is>
          <t xml:space="preserve">New Testament</t>
        </is>
      </c>
      <c r="D1121" s="15">
        <v>53</v>
      </c>
      <c r="E1121" s="15" t="inlineStr">
        <is>
          <t xml:space="preserve">2 Thessalonians</t>
        </is>
      </c>
      <c r="F1121" s="15">
        <v>1</v>
      </c>
      <c r="G1121" s="15" t="inlineStr">
        <is>
          <t xml:space="preserve">v0.8</t>
        </is>
      </c>
      <c r="H1121" s="15" t="inlineStr">
        <is>
          <t xml:space="preserve">Bible_Journey_Canon_Map_v0_8_Acts_Pauline_Letters.xlsx</t>
        </is>
      </c>
      <c r="I1121" s="15" t="inlineStr">
        <is>
          <t xml:space="preserve">Canon Coverage</t>
        </is>
      </c>
      <c r="J1121" s="15" t="inlineStr">
        <is>
          <t xml:space="preserve">CRS-NT-021</t>
        </is>
      </c>
      <c r="K1121" s="15" t="inlineStr">
        <is>
          <t xml:space="preserve">BLK-021</t>
        </is>
      </c>
      <c r="L1121" s="10" t="inlineStr">
        <is>
          <t xml:space="preserve">Mapped once</t>
        </is>
      </c>
      <c r="M1121" s="15"/>
      <c r="N1121" s="15" t="inlineStr">
        <is>
          <t xml:space="preserve">S02; S06</t>
        </is>
      </c>
      <c r="O1121" s="15">
        <v>1</v>
      </c>
      <c r="P1121" s="10" t="str">
        <f>IF(L1121="MISSING","MISSING",IF(O1121=1,"PASS","DUPLICATE"))</f>
        <v>PASS</v>
      </c>
    </row>
    <row r="1122" ht="22" customHeight="1">
      <c r="A1122" s="15" t="inlineStr">
        <is>
          <t xml:space="preserve">2 Thessalonians 2</t>
        </is>
      </c>
      <c r="B1122" s="15">
        <v>1118</v>
      </c>
      <c r="C1122" s="15" t="inlineStr">
        <is>
          <t xml:space="preserve">New Testament</t>
        </is>
      </c>
      <c r="D1122" s="15">
        <v>53</v>
      </c>
      <c r="E1122" s="15" t="inlineStr">
        <is>
          <t xml:space="preserve">2 Thessalonians</t>
        </is>
      </c>
      <c r="F1122" s="15">
        <v>2</v>
      </c>
      <c r="G1122" s="15" t="inlineStr">
        <is>
          <t xml:space="preserve">v0.8</t>
        </is>
      </c>
      <c r="H1122" s="15" t="inlineStr">
        <is>
          <t xml:space="preserve">Bible_Journey_Canon_Map_v0_8_Acts_Pauline_Letters.xlsx</t>
        </is>
      </c>
      <c r="I1122" s="15" t="inlineStr">
        <is>
          <t xml:space="preserve">Canon Coverage</t>
        </is>
      </c>
      <c r="J1122" s="15" t="inlineStr">
        <is>
          <t xml:space="preserve">CRS-NT-021</t>
        </is>
      </c>
      <c r="K1122" s="15" t="inlineStr">
        <is>
          <t xml:space="preserve">BLK-021</t>
        </is>
      </c>
      <c r="L1122" s="10" t="inlineStr">
        <is>
          <t xml:space="preserve">Mapped once</t>
        </is>
      </c>
      <c r="M1122" s="15"/>
      <c r="N1122" s="15" t="inlineStr">
        <is>
          <t xml:space="preserve">S02; S06</t>
        </is>
      </c>
      <c r="O1122" s="15">
        <v>1</v>
      </c>
      <c r="P1122" s="10" t="str">
        <f>IF(L1122="MISSING","MISSING",IF(O1122=1,"PASS","DUPLICATE"))</f>
        <v>PASS</v>
      </c>
    </row>
    <row r="1123" ht="22" customHeight="1">
      <c r="A1123" s="15" t="inlineStr">
        <is>
          <t xml:space="preserve">2 Thessalonians 3</t>
        </is>
      </c>
      <c r="B1123" s="15">
        <v>1119</v>
      </c>
      <c r="C1123" s="15" t="inlineStr">
        <is>
          <t xml:space="preserve">New Testament</t>
        </is>
      </c>
      <c r="D1123" s="15">
        <v>53</v>
      </c>
      <c r="E1123" s="15" t="inlineStr">
        <is>
          <t xml:space="preserve">2 Thessalonians</t>
        </is>
      </c>
      <c r="F1123" s="15">
        <v>3</v>
      </c>
      <c r="G1123" s="15" t="inlineStr">
        <is>
          <t xml:space="preserve">v0.8</t>
        </is>
      </c>
      <c r="H1123" s="15" t="inlineStr">
        <is>
          <t xml:space="preserve">Bible_Journey_Canon_Map_v0_8_Acts_Pauline_Letters.xlsx</t>
        </is>
      </c>
      <c r="I1123" s="15" t="inlineStr">
        <is>
          <t xml:space="preserve">Canon Coverage</t>
        </is>
      </c>
      <c r="J1123" s="15" t="inlineStr">
        <is>
          <t xml:space="preserve">CRS-NT-021</t>
        </is>
      </c>
      <c r="K1123" s="15" t="inlineStr">
        <is>
          <t xml:space="preserve">BLK-021</t>
        </is>
      </c>
      <c r="L1123" s="10" t="inlineStr">
        <is>
          <t xml:space="preserve">Mapped once</t>
        </is>
      </c>
      <c r="M1123" s="15"/>
      <c r="N1123" s="15" t="inlineStr">
        <is>
          <t xml:space="preserve">S02; S06</t>
        </is>
      </c>
      <c r="O1123" s="15">
        <v>1</v>
      </c>
      <c r="P1123" s="10" t="str">
        <f>IF(L1123="MISSING","MISSING",IF(O1123=1,"PASS","DUPLICATE"))</f>
        <v>PASS</v>
      </c>
    </row>
    <row r="1124" ht="22" customHeight="1">
      <c r="A1124" s="15" t="inlineStr">
        <is>
          <t xml:space="preserve">1 Timothy 1</t>
        </is>
      </c>
      <c r="B1124" s="15">
        <v>1120</v>
      </c>
      <c r="C1124" s="15" t="inlineStr">
        <is>
          <t xml:space="preserve">New Testament</t>
        </is>
      </c>
      <c r="D1124" s="15">
        <v>54</v>
      </c>
      <c r="E1124" s="15" t="inlineStr">
        <is>
          <t xml:space="preserve">1 Timothy</t>
        </is>
      </c>
      <c r="F1124" s="15">
        <v>1</v>
      </c>
      <c r="G1124" s="15" t="inlineStr">
        <is>
          <t xml:space="preserve">v0.8</t>
        </is>
      </c>
      <c r="H1124" s="15" t="inlineStr">
        <is>
          <t xml:space="preserve">Bible_Journey_Canon_Map_v0_8_Acts_Pauline_Letters.xlsx</t>
        </is>
      </c>
      <c r="I1124" s="15" t="inlineStr">
        <is>
          <t xml:space="preserve">Canon Coverage</t>
        </is>
      </c>
      <c r="J1124" s="15" t="inlineStr">
        <is>
          <t xml:space="preserve">CRS-NT-038</t>
        </is>
      </c>
      <c r="K1124" s="15" t="inlineStr">
        <is>
          <t xml:space="preserve">BLK-038</t>
        </is>
      </c>
      <c r="L1124" s="10" t="inlineStr">
        <is>
          <t xml:space="preserve">Mapped once</t>
        </is>
      </c>
      <c r="M1124" s="15"/>
      <c r="N1124" s="15" t="inlineStr">
        <is>
          <t xml:space="preserve">S06</t>
        </is>
      </c>
      <c r="O1124" s="15">
        <v>1</v>
      </c>
      <c r="P1124" s="10" t="str">
        <f>IF(L1124="MISSING","MISSING",IF(O1124=1,"PASS","DUPLICATE"))</f>
        <v>PASS</v>
      </c>
    </row>
    <row r="1125" ht="22" customHeight="1">
      <c r="A1125" s="15" t="inlineStr">
        <is>
          <t xml:space="preserve">1 Timothy 2</t>
        </is>
      </c>
      <c r="B1125" s="15">
        <v>1121</v>
      </c>
      <c r="C1125" s="15" t="inlineStr">
        <is>
          <t xml:space="preserve">New Testament</t>
        </is>
      </c>
      <c r="D1125" s="15">
        <v>54</v>
      </c>
      <c r="E1125" s="15" t="inlineStr">
        <is>
          <t xml:space="preserve">1 Timothy</t>
        </is>
      </c>
      <c r="F1125" s="15">
        <v>2</v>
      </c>
      <c r="G1125" s="15" t="inlineStr">
        <is>
          <t xml:space="preserve">v0.8</t>
        </is>
      </c>
      <c r="H1125" s="15" t="inlineStr">
        <is>
          <t xml:space="preserve">Bible_Journey_Canon_Map_v0_8_Acts_Pauline_Letters.xlsx</t>
        </is>
      </c>
      <c r="I1125" s="15" t="inlineStr">
        <is>
          <t xml:space="preserve">Canon Coverage</t>
        </is>
      </c>
      <c r="J1125" s="15" t="inlineStr">
        <is>
          <t xml:space="preserve">CRS-NT-038</t>
        </is>
      </c>
      <c r="K1125" s="15" t="inlineStr">
        <is>
          <t xml:space="preserve">BLK-038</t>
        </is>
      </c>
      <c r="L1125" s="10" t="inlineStr">
        <is>
          <t xml:space="preserve">Mapped once</t>
        </is>
      </c>
      <c r="M1125" s="15"/>
      <c r="N1125" s="15" t="inlineStr">
        <is>
          <t xml:space="preserve">S06</t>
        </is>
      </c>
      <c r="O1125" s="15">
        <v>1</v>
      </c>
      <c r="P1125" s="10" t="str">
        <f>IF(L1125="MISSING","MISSING",IF(O1125=1,"PASS","DUPLICATE"))</f>
        <v>PASS</v>
      </c>
    </row>
    <row r="1126" ht="22" customHeight="1">
      <c r="A1126" s="15" t="inlineStr">
        <is>
          <t xml:space="preserve">1 Timothy 3</t>
        </is>
      </c>
      <c r="B1126" s="15">
        <v>1122</v>
      </c>
      <c r="C1126" s="15" t="inlineStr">
        <is>
          <t xml:space="preserve">New Testament</t>
        </is>
      </c>
      <c r="D1126" s="15">
        <v>54</v>
      </c>
      <c r="E1126" s="15" t="inlineStr">
        <is>
          <t xml:space="preserve">1 Timothy</t>
        </is>
      </c>
      <c r="F1126" s="15">
        <v>3</v>
      </c>
      <c r="G1126" s="15" t="inlineStr">
        <is>
          <t xml:space="preserve">v0.8</t>
        </is>
      </c>
      <c r="H1126" s="15" t="inlineStr">
        <is>
          <t xml:space="preserve">Bible_Journey_Canon_Map_v0_8_Acts_Pauline_Letters.xlsx</t>
        </is>
      </c>
      <c r="I1126" s="15" t="inlineStr">
        <is>
          <t xml:space="preserve">Canon Coverage</t>
        </is>
      </c>
      <c r="J1126" s="15" t="inlineStr">
        <is>
          <t xml:space="preserve">CRS-NT-038</t>
        </is>
      </c>
      <c r="K1126" s="15" t="inlineStr">
        <is>
          <t xml:space="preserve">BLK-038</t>
        </is>
      </c>
      <c r="L1126" s="10" t="inlineStr">
        <is>
          <t xml:space="preserve">Mapped once</t>
        </is>
      </c>
      <c r="M1126" s="15"/>
      <c r="N1126" s="15" t="inlineStr">
        <is>
          <t xml:space="preserve">S06</t>
        </is>
      </c>
      <c r="O1126" s="15">
        <v>1</v>
      </c>
      <c r="P1126" s="10" t="str">
        <f>IF(L1126="MISSING","MISSING",IF(O1126=1,"PASS","DUPLICATE"))</f>
        <v>PASS</v>
      </c>
    </row>
    <row r="1127" ht="22" customHeight="1">
      <c r="A1127" s="15" t="inlineStr">
        <is>
          <t xml:space="preserve">1 Timothy 4</t>
        </is>
      </c>
      <c r="B1127" s="15">
        <v>1123</v>
      </c>
      <c r="C1127" s="15" t="inlineStr">
        <is>
          <t xml:space="preserve">New Testament</t>
        </is>
      </c>
      <c r="D1127" s="15">
        <v>54</v>
      </c>
      <c r="E1127" s="15" t="inlineStr">
        <is>
          <t xml:space="preserve">1 Timothy</t>
        </is>
      </c>
      <c r="F1127" s="15">
        <v>4</v>
      </c>
      <c r="G1127" s="15" t="inlineStr">
        <is>
          <t xml:space="preserve">v0.8</t>
        </is>
      </c>
      <c r="H1127" s="15" t="inlineStr">
        <is>
          <t xml:space="preserve">Bible_Journey_Canon_Map_v0_8_Acts_Pauline_Letters.xlsx</t>
        </is>
      </c>
      <c r="I1127" s="15" t="inlineStr">
        <is>
          <t xml:space="preserve">Canon Coverage</t>
        </is>
      </c>
      <c r="J1127" s="15" t="inlineStr">
        <is>
          <t xml:space="preserve">CRS-NT-038</t>
        </is>
      </c>
      <c r="K1127" s="15" t="inlineStr">
        <is>
          <t xml:space="preserve">BLK-038</t>
        </is>
      </c>
      <c r="L1127" s="10" t="inlineStr">
        <is>
          <t xml:space="preserve">Mapped once</t>
        </is>
      </c>
      <c r="M1127" s="15"/>
      <c r="N1127" s="15" t="inlineStr">
        <is>
          <t xml:space="preserve">S06</t>
        </is>
      </c>
      <c r="O1127" s="15">
        <v>1</v>
      </c>
      <c r="P1127" s="10" t="str">
        <f>IF(L1127="MISSING","MISSING",IF(O1127=1,"PASS","DUPLICATE"))</f>
        <v>PASS</v>
      </c>
    </row>
    <row r="1128" ht="22" customHeight="1">
      <c r="A1128" s="15" t="inlineStr">
        <is>
          <t xml:space="preserve">1 Timothy 5</t>
        </is>
      </c>
      <c r="B1128" s="15">
        <v>1124</v>
      </c>
      <c r="C1128" s="15" t="inlineStr">
        <is>
          <t xml:space="preserve">New Testament</t>
        </is>
      </c>
      <c r="D1128" s="15">
        <v>54</v>
      </c>
      <c r="E1128" s="15" t="inlineStr">
        <is>
          <t xml:space="preserve">1 Timothy</t>
        </is>
      </c>
      <c r="F1128" s="15">
        <v>5</v>
      </c>
      <c r="G1128" s="15" t="inlineStr">
        <is>
          <t xml:space="preserve">v0.8</t>
        </is>
      </c>
      <c r="H1128" s="15" t="inlineStr">
        <is>
          <t xml:space="preserve">Bible_Journey_Canon_Map_v0_8_Acts_Pauline_Letters.xlsx</t>
        </is>
      </c>
      <c r="I1128" s="15" t="inlineStr">
        <is>
          <t xml:space="preserve">Canon Coverage</t>
        </is>
      </c>
      <c r="J1128" s="15" t="inlineStr">
        <is>
          <t xml:space="preserve">CRS-NT-038</t>
        </is>
      </c>
      <c r="K1128" s="15" t="inlineStr">
        <is>
          <t xml:space="preserve">BLK-038</t>
        </is>
      </c>
      <c r="L1128" s="10" t="inlineStr">
        <is>
          <t xml:space="preserve">Mapped once</t>
        </is>
      </c>
      <c r="M1128" s="15"/>
      <c r="N1128" s="15" t="inlineStr">
        <is>
          <t xml:space="preserve">S06</t>
        </is>
      </c>
      <c r="O1128" s="15">
        <v>1</v>
      </c>
      <c r="P1128" s="10" t="str">
        <f>IF(L1128="MISSING","MISSING",IF(O1128=1,"PASS","DUPLICATE"))</f>
        <v>PASS</v>
      </c>
    </row>
    <row r="1129" ht="22" customHeight="1">
      <c r="A1129" s="15" t="inlineStr">
        <is>
          <t xml:space="preserve">1 Timothy 6</t>
        </is>
      </c>
      <c r="B1129" s="15">
        <v>1125</v>
      </c>
      <c r="C1129" s="15" t="inlineStr">
        <is>
          <t xml:space="preserve">New Testament</t>
        </is>
      </c>
      <c r="D1129" s="15">
        <v>54</v>
      </c>
      <c r="E1129" s="15" t="inlineStr">
        <is>
          <t xml:space="preserve">1 Timothy</t>
        </is>
      </c>
      <c r="F1129" s="15">
        <v>6</v>
      </c>
      <c r="G1129" s="15" t="inlineStr">
        <is>
          <t xml:space="preserve">v0.8</t>
        </is>
      </c>
      <c r="H1129" s="15" t="inlineStr">
        <is>
          <t xml:space="preserve">Bible_Journey_Canon_Map_v0_8_Acts_Pauline_Letters.xlsx</t>
        </is>
      </c>
      <c r="I1129" s="15" t="inlineStr">
        <is>
          <t xml:space="preserve">Canon Coverage</t>
        </is>
      </c>
      <c r="J1129" s="15" t="inlineStr">
        <is>
          <t xml:space="preserve">CRS-NT-038</t>
        </is>
      </c>
      <c r="K1129" s="15" t="inlineStr">
        <is>
          <t xml:space="preserve">BLK-038</t>
        </is>
      </c>
      <c r="L1129" s="10" t="inlineStr">
        <is>
          <t xml:space="preserve">Mapped once</t>
        </is>
      </c>
      <c r="M1129" s="15"/>
      <c r="N1129" s="15" t="inlineStr">
        <is>
          <t xml:space="preserve">S06</t>
        </is>
      </c>
      <c r="O1129" s="15">
        <v>1</v>
      </c>
      <c r="P1129" s="10" t="str">
        <f>IF(L1129="MISSING","MISSING",IF(O1129=1,"PASS","DUPLICATE"))</f>
        <v>PASS</v>
      </c>
    </row>
    <row r="1130" ht="22" customHeight="1">
      <c r="A1130" s="15" t="inlineStr">
        <is>
          <t xml:space="preserve">2 Timothy 1</t>
        </is>
      </c>
      <c r="B1130" s="15">
        <v>1126</v>
      </c>
      <c r="C1130" s="15" t="inlineStr">
        <is>
          <t xml:space="preserve">New Testament</t>
        </is>
      </c>
      <c r="D1130" s="15">
        <v>55</v>
      </c>
      <c r="E1130" s="15" t="inlineStr">
        <is>
          <t xml:space="preserve">2 Timothy</t>
        </is>
      </c>
      <c r="F1130" s="15">
        <v>1</v>
      </c>
      <c r="G1130" s="15" t="inlineStr">
        <is>
          <t xml:space="preserve">v0.8</t>
        </is>
      </c>
      <c r="H1130" s="15" t="inlineStr">
        <is>
          <t xml:space="preserve">Bible_Journey_Canon_Map_v0_8_Acts_Pauline_Letters.xlsx</t>
        </is>
      </c>
      <c r="I1130" s="15" t="inlineStr">
        <is>
          <t xml:space="preserve">Canon Coverage</t>
        </is>
      </c>
      <c r="J1130" s="15" t="inlineStr">
        <is>
          <t xml:space="preserve">CRS-NT-040</t>
        </is>
      </c>
      <c r="K1130" s="15" t="inlineStr">
        <is>
          <t xml:space="preserve">BLK-040</t>
        </is>
      </c>
      <c r="L1130" s="10" t="inlineStr">
        <is>
          <t xml:space="preserve">Mapped once</t>
        </is>
      </c>
      <c r="M1130" s="15"/>
      <c r="N1130" s="15" t="inlineStr">
        <is>
          <t xml:space="preserve">S06</t>
        </is>
      </c>
      <c r="O1130" s="15">
        <v>1</v>
      </c>
      <c r="P1130" s="10" t="str">
        <f>IF(L1130="MISSING","MISSING",IF(O1130=1,"PASS","DUPLICATE"))</f>
        <v>PASS</v>
      </c>
    </row>
    <row r="1131" ht="22" customHeight="1">
      <c r="A1131" s="15" t="inlineStr">
        <is>
          <t xml:space="preserve">2 Timothy 2</t>
        </is>
      </c>
      <c r="B1131" s="15">
        <v>1127</v>
      </c>
      <c r="C1131" s="15" t="inlineStr">
        <is>
          <t xml:space="preserve">New Testament</t>
        </is>
      </c>
      <c r="D1131" s="15">
        <v>55</v>
      </c>
      <c r="E1131" s="15" t="inlineStr">
        <is>
          <t xml:space="preserve">2 Timothy</t>
        </is>
      </c>
      <c r="F1131" s="15">
        <v>2</v>
      </c>
      <c r="G1131" s="15" t="inlineStr">
        <is>
          <t xml:space="preserve">v0.8</t>
        </is>
      </c>
      <c r="H1131" s="15" t="inlineStr">
        <is>
          <t xml:space="preserve">Bible_Journey_Canon_Map_v0_8_Acts_Pauline_Letters.xlsx</t>
        </is>
      </c>
      <c r="I1131" s="15" t="inlineStr">
        <is>
          <t xml:space="preserve">Canon Coverage</t>
        </is>
      </c>
      <c r="J1131" s="15" t="inlineStr">
        <is>
          <t xml:space="preserve">CRS-NT-040</t>
        </is>
      </c>
      <c r="K1131" s="15" t="inlineStr">
        <is>
          <t xml:space="preserve">BLK-040</t>
        </is>
      </c>
      <c r="L1131" s="10" t="inlineStr">
        <is>
          <t xml:space="preserve">Mapped once</t>
        </is>
      </c>
      <c r="M1131" s="15"/>
      <c r="N1131" s="15" t="inlineStr">
        <is>
          <t xml:space="preserve">S06</t>
        </is>
      </c>
      <c r="O1131" s="15">
        <v>1</v>
      </c>
      <c r="P1131" s="10" t="str">
        <f>IF(L1131="MISSING","MISSING",IF(O1131=1,"PASS","DUPLICATE"))</f>
        <v>PASS</v>
      </c>
    </row>
    <row r="1132" ht="22" customHeight="1">
      <c r="A1132" s="15" t="inlineStr">
        <is>
          <t xml:space="preserve">2 Timothy 3</t>
        </is>
      </c>
      <c r="B1132" s="15">
        <v>1128</v>
      </c>
      <c r="C1132" s="15" t="inlineStr">
        <is>
          <t xml:space="preserve">New Testament</t>
        </is>
      </c>
      <c r="D1132" s="15">
        <v>55</v>
      </c>
      <c r="E1132" s="15" t="inlineStr">
        <is>
          <t xml:space="preserve">2 Timothy</t>
        </is>
      </c>
      <c r="F1132" s="15">
        <v>3</v>
      </c>
      <c r="G1132" s="15" t="inlineStr">
        <is>
          <t xml:space="preserve">v0.8</t>
        </is>
      </c>
      <c r="H1132" s="15" t="inlineStr">
        <is>
          <t xml:space="preserve">Bible_Journey_Canon_Map_v0_8_Acts_Pauline_Letters.xlsx</t>
        </is>
      </c>
      <c r="I1132" s="15" t="inlineStr">
        <is>
          <t xml:space="preserve">Canon Coverage</t>
        </is>
      </c>
      <c r="J1132" s="15" t="inlineStr">
        <is>
          <t xml:space="preserve">CRS-NT-040</t>
        </is>
      </c>
      <c r="K1132" s="15" t="inlineStr">
        <is>
          <t xml:space="preserve">BLK-040</t>
        </is>
      </c>
      <c r="L1132" s="10" t="inlineStr">
        <is>
          <t xml:space="preserve">Mapped once</t>
        </is>
      </c>
      <c r="M1132" s="15"/>
      <c r="N1132" s="15" t="inlineStr">
        <is>
          <t xml:space="preserve">S06</t>
        </is>
      </c>
      <c r="O1132" s="15">
        <v>1</v>
      </c>
      <c r="P1132" s="10" t="str">
        <f>IF(L1132="MISSING","MISSING",IF(O1132=1,"PASS","DUPLICATE"))</f>
        <v>PASS</v>
      </c>
    </row>
    <row r="1133" ht="22" customHeight="1">
      <c r="A1133" s="15" t="inlineStr">
        <is>
          <t xml:space="preserve">2 Timothy 4</t>
        </is>
      </c>
      <c r="B1133" s="15">
        <v>1129</v>
      </c>
      <c r="C1133" s="15" t="inlineStr">
        <is>
          <t xml:space="preserve">New Testament</t>
        </is>
      </c>
      <c r="D1133" s="15">
        <v>55</v>
      </c>
      <c r="E1133" s="15" t="inlineStr">
        <is>
          <t xml:space="preserve">2 Timothy</t>
        </is>
      </c>
      <c r="F1133" s="15">
        <v>4</v>
      </c>
      <c r="G1133" s="15" t="inlineStr">
        <is>
          <t xml:space="preserve">v0.8</t>
        </is>
      </c>
      <c r="H1133" s="15" t="inlineStr">
        <is>
          <t xml:space="preserve">Bible_Journey_Canon_Map_v0_8_Acts_Pauline_Letters.xlsx</t>
        </is>
      </c>
      <c r="I1133" s="15" t="inlineStr">
        <is>
          <t xml:space="preserve">Canon Coverage</t>
        </is>
      </c>
      <c r="J1133" s="15" t="inlineStr">
        <is>
          <t xml:space="preserve">CRS-NT-040</t>
        </is>
      </c>
      <c r="K1133" s="15" t="inlineStr">
        <is>
          <t xml:space="preserve">BLK-040</t>
        </is>
      </c>
      <c r="L1133" s="10" t="inlineStr">
        <is>
          <t xml:space="preserve">Mapped once</t>
        </is>
      </c>
      <c r="M1133" s="15"/>
      <c r="N1133" s="15" t="inlineStr">
        <is>
          <t xml:space="preserve">S06</t>
        </is>
      </c>
      <c r="O1133" s="15">
        <v>1</v>
      </c>
      <c r="P1133" s="10" t="str">
        <f>IF(L1133="MISSING","MISSING",IF(O1133=1,"PASS","DUPLICATE"))</f>
        <v>PASS</v>
      </c>
    </row>
    <row r="1134" ht="22" customHeight="1">
      <c r="A1134" s="15" t="inlineStr">
        <is>
          <t xml:space="preserve">Titus 1</t>
        </is>
      </c>
      <c r="B1134" s="15">
        <v>1130</v>
      </c>
      <c r="C1134" s="15" t="inlineStr">
        <is>
          <t xml:space="preserve">New Testament</t>
        </is>
      </c>
      <c r="D1134" s="15">
        <v>56</v>
      </c>
      <c r="E1134" s="15" t="inlineStr">
        <is>
          <t xml:space="preserve">Titus</t>
        </is>
      </c>
      <c r="F1134" s="15">
        <v>1</v>
      </c>
      <c r="G1134" s="15" t="inlineStr">
        <is>
          <t xml:space="preserve">v0.8</t>
        </is>
      </c>
      <c r="H1134" s="15" t="inlineStr">
        <is>
          <t xml:space="preserve">Bible_Journey_Canon_Map_v0_8_Acts_Pauline_Letters.xlsx</t>
        </is>
      </c>
      <c r="I1134" s="15" t="inlineStr">
        <is>
          <t xml:space="preserve">Canon Coverage</t>
        </is>
      </c>
      <c r="J1134" s="15" t="inlineStr">
        <is>
          <t xml:space="preserve">CRS-NT-039</t>
        </is>
      </c>
      <c r="K1134" s="15" t="inlineStr">
        <is>
          <t xml:space="preserve">BLK-039</t>
        </is>
      </c>
      <c r="L1134" s="10" t="inlineStr">
        <is>
          <t xml:space="preserve">Mapped once</t>
        </is>
      </c>
      <c r="M1134" s="15"/>
      <c r="N1134" s="15" t="inlineStr">
        <is>
          <t xml:space="preserve">S06</t>
        </is>
      </c>
      <c r="O1134" s="15">
        <v>1</v>
      </c>
      <c r="P1134" s="10" t="str">
        <f>IF(L1134="MISSING","MISSING",IF(O1134=1,"PASS","DUPLICATE"))</f>
        <v>PASS</v>
      </c>
    </row>
    <row r="1135" ht="22" customHeight="1">
      <c r="A1135" s="15" t="inlineStr">
        <is>
          <t xml:space="preserve">Titus 2</t>
        </is>
      </c>
      <c r="B1135" s="15">
        <v>1131</v>
      </c>
      <c r="C1135" s="15" t="inlineStr">
        <is>
          <t xml:space="preserve">New Testament</t>
        </is>
      </c>
      <c r="D1135" s="15">
        <v>56</v>
      </c>
      <c r="E1135" s="15" t="inlineStr">
        <is>
          <t xml:space="preserve">Titus</t>
        </is>
      </c>
      <c r="F1135" s="15">
        <v>2</v>
      </c>
      <c r="G1135" s="15" t="inlineStr">
        <is>
          <t xml:space="preserve">v0.8</t>
        </is>
      </c>
      <c r="H1135" s="15" t="inlineStr">
        <is>
          <t xml:space="preserve">Bible_Journey_Canon_Map_v0_8_Acts_Pauline_Letters.xlsx</t>
        </is>
      </c>
      <c r="I1135" s="15" t="inlineStr">
        <is>
          <t xml:space="preserve">Canon Coverage</t>
        </is>
      </c>
      <c r="J1135" s="15" t="inlineStr">
        <is>
          <t xml:space="preserve">CRS-NT-039</t>
        </is>
      </c>
      <c r="K1135" s="15" t="inlineStr">
        <is>
          <t xml:space="preserve">BLK-039</t>
        </is>
      </c>
      <c r="L1135" s="10" t="inlineStr">
        <is>
          <t xml:space="preserve">Mapped once</t>
        </is>
      </c>
      <c r="M1135" s="15"/>
      <c r="N1135" s="15" t="inlineStr">
        <is>
          <t xml:space="preserve">S06</t>
        </is>
      </c>
      <c r="O1135" s="15">
        <v>1</v>
      </c>
      <c r="P1135" s="10" t="str">
        <f>IF(L1135="MISSING","MISSING",IF(O1135=1,"PASS","DUPLICATE"))</f>
        <v>PASS</v>
      </c>
    </row>
    <row r="1136" ht="22" customHeight="1">
      <c r="A1136" s="15" t="inlineStr">
        <is>
          <t xml:space="preserve">Titus 3</t>
        </is>
      </c>
      <c r="B1136" s="15">
        <v>1132</v>
      </c>
      <c r="C1136" s="15" t="inlineStr">
        <is>
          <t xml:space="preserve">New Testament</t>
        </is>
      </c>
      <c r="D1136" s="15">
        <v>56</v>
      </c>
      <c r="E1136" s="15" t="inlineStr">
        <is>
          <t xml:space="preserve">Titus</t>
        </is>
      </c>
      <c r="F1136" s="15">
        <v>3</v>
      </c>
      <c r="G1136" s="15" t="inlineStr">
        <is>
          <t xml:space="preserve">v0.8</t>
        </is>
      </c>
      <c r="H1136" s="15" t="inlineStr">
        <is>
          <t xml:space="preserve">Bible_Journey_Canon_Map_v0_8_Acts_Pauline_Letters.xlsx</t>
        </is>
      </c>
      <c r="I1136" s="15" t="inlineStr">
        <is>
          <t xml:space="preserve">Canon Coverage</t>
        </is>
      </c>
      <c r="J1136" s="15" t="inlineStr">
        <is>
          <t xml:space="preserve">CRS-NT-039</t>
        </is>
      </c>
      <c r="K1136" s="15" t="inlineStr">
        <is>
          <t xml:space="preserve">BLK-039</t>
        </is>
      </c>
      <c r="L1136" s="10" t="inlineStr">
        <is>
          <t xml:space="preserve">Mapped once</t>
        </is>
      </c>
      <c r="M1136" s="15"/>
      <c r="N1136" s="15" t="inlineStr">
        <is>
          <t xml:space="preserve">S06</t>
        </is>
      </c>
      <c r="O1136" s="15">
        <v>1</v>
      </c>
      <c r="P1136" s="10" t="str">
        <f>IF(L1136="MISSING","MISSING",IF(O1136=1,"PASS","DUPLICATE"))</f>
        <v>PASS</v>
      </c>
    </row>
    <row r="1137" ht="22" customHeight="1">
      <c r="A1137" s="15" t="inlineStr">
        <is>
          <t xml:space="preserve">Philemon 1</t>
        </is>
      </c>
      <c r="B1137" s="15">
        <v>1133</v>
      </c>
      <c r="C1137" s="15" t="inlineStr">
        <is>
          <t xml:space="preserve">New Testament</t>
        </is>
      </c>
      <c r="D1137" s="15">
        <v>57</v>
      </c>
      <c r="E1137" s="15" t="inlineStr">
        <is>
          <t xml:space="preserve">Philemon</t>
        </is>
      </c>
      <c r="F1137" s="15">
        <v>1</v>
      </c>
      <c r="G1137" s="15" t="inlineStr">
        <is>
          <t xml:space="preserve">v0.8</t>
        </is>
      </c>
      <c r="H1137" s="15" t="inlineStr">
        <is>
          <t xml:space="preserve">Bible_Journey_Canon_Map_v0_8_Acts_Pauline_Letters.xlsx</t>
        </is>
      </c>
      <c r="I1137" s="15" t="inlineStr">
        <is>
          <t xml:space="preserve">Canon Coverage</t>
        </is>
      </c>
      <c r="J1137" s="15" t="inlineStr">
        <is>
          <t xml:space="preserve">CRS-NT-034</t>
        </is>
      </c>
      <c r="K1137" s="15" t="inlineStr">
        <is>
          <t xml:space="preserve">BLK-034</t>
        </is>
      </c>
      <c r="L1137" s="10" t="inlineStr">
        <is>
          <t xml:space="preserve">Mapped once</t>
        </is>
      </c>
      <c r="M1137" s="15"/>
      <c r="N1137" s="15" t="inlineStr">
        <is>
          <t xml:space="preserve">S02; S06</t>
        </is>
      </c>
      <c r="O1137" s="15">
        <v>1</v>
      </c>
      <c r="P1137" s="10" t="str">
        <f>IF(L1137="MISSING","MISSING",IF(O1137=1,"PASS","DUPLICATE"))</f>
        <v>PASS</v>
      </c>
    </row>
    <row r="1138" ht="22" customHeight="1">
      <c r="A1138" s="15" t="inlineStr">
        <is>
          <t xml:space="preserve">Hebrews 1</t>
        </is>
      </c>
      <c r="B1138" s="15">
        <v>1134</v>
      </c>
      <c r="C1138" s="15" t="inlineStr">
        <is>
          <t xml:space="preserve">New Testament</t>
        </is>
      </c>
      <c r="D1138" s="15">
        <v>58</v>
      </c>
      <c r="E1138" s="15" t="inlineStr">
        <is>
          <t xml:space="preserve">Hebrews</t>
        </is>
      </c>
      <c r="F1138" s="15">
        <v>1</v>
      </c>
      <c r="G1138" s="15" t="inlineStr">
        <is>
          <t xml:space="preserve">v0.9</t>
        </is>
      </c>
      <c r="H1138" s="15" t="inlineStr">
        <is>
          <t xml:space="preserve">Bible_Journey_Canon_Map_v0_9_General_Letters_Revelation.xlsx</t>
        </is>
      </c>
      <c r="I1138" s="15" t="inlineStr">
        <is>
          <t xml:space="preserve">Canon Coverage</t>
        </is>
      </c>
      <c r="J1138" s="15" t="inlineStr">
        <is>
          <t xml:space="preserve">CRS-GEN-001</t>
        </is>
      </c>
      <c r="K1138" s="15" t="inlineStr">
        <is>
          <t xml:space="preserve">BLK-001</t>
        </is>
      </c>
      <c r="L1138" s="10" t="inlineStr">
        <is>
          <t xml:space="preserve">Mapped once</t>
        </is>
      </c>
      <c r="M1138" s="15"/>
      <c r="N1138" s="15" t="inlineStr">
        <is>
          <t xml:space="preserve">S01; S02</t>
        </is>
      </c>
      <c r="O1138" s="15">
        <v>1</v>
      </c>
      <c r="P1138" s="10" t="str">
        <f>IF(L1138="MISSING","MISSING",IF(O1138=1,"PASS","DUPLICATE"))</f>
        <v>PASS</v>
      </c>
    </row>
    <row r="1139" ht="22" customHeight="1">
      <c r="A1139" s="15" t="inlineStr">
        <is>
          <t xml:space="preserve">Hebrews 2</t>
        </is>
      </c>
      <c r="B1139" s="15">
        <v>1135</v>
      </c>
      <c r="C1139" s="15" t="inlineStr">
        <is>
          <t xml:space="preserve">New Testament</t>
        </is>
      </c>
      <c r="D1139" s="15">
        <v>58</v>
      </c>
      <c r="E1139" s="15" t="inlineStr">
        <is>
          <t xml:space="preserve">Hebrews</t>
        </is>
      </c>
      <c r="F1139" s="15">
        <v>2</v>
      </c>
      <c r="G1139" s="15" t="inlineStr">
        <is>
          <t xml:space="preserve">v0.9</t>
        </is>
      </c>
      <c r="H1139" s="15" t="inlineStr">
        <is>
          <t xml:space="preserve">Bible_Journey_Canon_Map_v0_9_General_Letters_Revelation.xlsx</t>
        </is>
      </c>
      <c r="I1139" s="15" t="inlineStr">
        <is>
          <t xml:space="preserve">Canon Coverage</t>
        </is>
      </c>
      <c r="J1139" s="15" t="inlineStr">
        <is>
          <t xml:space="preserve">CRS-GEN-001</t>
        </is>
      </c>
      <c r="K1139" s="15" t="inlineStr">
        <is>
          <t xml:space="preserve">BLK-001</t>
        </is>
      </c>
      <c r="L1139" s="10" t="inlineStr">
        <is>
          <t xml:space="preserve">Mapped once</t>
        </is>
      </c>
      <c r="M1139" s="15"/>
      <c r="N1139" s="15" t="inlineStr">
        <is>
          <t xml:space="preserve">S01; S02</t>
        </is>
      </c>
      <c r="O1139" s="15">
        <v>1</v>
      </c>
      <c r="P1139" s="10" t="str">
        <f>IF(L1139="MISSING","MISSING",IF(O1139=1,"PASS","DUPLICATE"))</f>
        <v>PASS</v>
      </c>
    </row>
    <row r="1140" ht="22" customHeight="1">
      <c r="A1140" s="15" t="inlineStr">
        <is>
          <t xml:space="preserve">Hebrews 3</t>
        </is>
      </c>
      <c r="B1140" s="15">
        <v>1136</v>
      </c>
      <c r="C1140" s="15" t="inlineStr">
        <is>
          <t xml:space="preserve">New Testament</t>
        </is>
      </c>
      <c r="D1140" s="15">
        <v>58</v>
      </c>
      <c r="E1140" s="15" t="inlineStr">
        <is>
          <t xml:space="preserve">Hebrews</t>
        </is>
      </c>
      <c r="F1140" s="15">
        <v>3</v>
      </c>
      <c r="G1140" s="15" t="inlineStr">
        <is>
          <t xml:space="preserve">v0.9</t>
        </is>
      </c>
      <c r="H1140" s="15" t="inlineStr">
        <is>
          <t xml:space="preserve">Bible_Journey_Canon_Map_v0_9_General_Letters_Revelation.xlsx</t>
        </is>
      </c>
      <c r="I1140" s="15" t="inlineStr">
        <is>
          <t xml:space="preserve">Canon Coverage</t>
        </is>
      </c>
      <c r="J1140" s="15" t="inlineStr">
        <is>
          <t xml:space="preserve">CRS-GEN-002</t>
        </is>
      </c>
      <c r="K1140" s="15" t="inlineStr">
        <is>
          <t xml:space="preserve">BLK-002</t>
        </is>
      </c>
      <c r="L1140" s="10" t="inlineStr">
        <is>
          <t xml:space="preserve">Mapped once</t>
        </is>
      </c>
      <c r="M1140" s="15"/>
      <c r="N1140" s="15" t="inlineStr">
        <is>
          <t xml:space="preserve">S01; S02</t>
        </is>
      </c>
      <c r="O1140" s="15">
        <v>1</v>
      </c>
      <c r="P1140" s="10" t="str">
        <f>IF(L1140="MISSING","MISSING",IF(O1140=1,"PASS","DUPLICATE"))</f>
        <v>PASS</v>
      </c>
    </row>
    <row r="1141" ht="22" customHeight="1">
      <c r="A1141" s="15" t="inlineStr">
        <is>
          <t xml:space="preserve">Hebrews 4</t>
        </is>
      </c>
      <c r="B1141" s="15">
        <v>1137</v>
      </c>
      <c r="C1141" s="15" t="inlineStr">
        <is>
          <t xml:space="preserve">New Testament</t>
        </is>
      </c>
      <c r="D1141" s="15">
        <v>58</v>
      </c>
      <c r="E1141" s="15" t="inlineStr">
        <is>
          <t xml:space="preserve">Hebrews</t>
        </is>
      </c>
      <c r="F1141" s="15">
        <v>4</v>
      </c>
      <c r="G1141" s="15" t="inlineStr">
        <is>
          <t xml:space="preserve">v0.9</t>
        </is>
      </c>
      <c r="H1141" s="15" t="inlineStr">
        <is>
          <t xml:space="preserve">Bible_Journey_Canon_Map_v0_9_General_Letters_Revelation.xlsx</t>
        </is>
      </c>
      <c r="I1141" s="15" t="inlineStr">
        <is>
          <t xml:space="preserve">Canon Coverage</t>
        </is>
      </c>
      <c r="J1141" s="15" t="inlineStr">
        <is>
          <t xml:space="preserve">CRS-GEN-002</t>
        </is>
      </c>
      <c r="K1141" s="15" t="inlineStr">
        <is>
          <t xml:space="preserve">BLK-002</t>
        </is>
      </c>
      <c r="L1141" s="10" t="inlineStr">
        <is>
          <t xml:space="preserve">Mapped once</t>
        </is>
      </c>
      <c r="M1141" s="15"/>
      <c r="N1141" s="15" t="inlineStr">
        <is>
          <t xml:space="preserve">S01; S02</t>
        </is>
      </c>
      <c r="O1141" s="15">
        <v>1</v>
      </c>
      <c r="P1141" s="10" t="str">
        <f>IF(L1141="MISSING","MISSING",IF(O1141=1,"PASS","DUPLICATE"))</f>
        <v>PASS</v>
      </c>
    </row>
    <row r="1142" ht="22" customHeight="1">
      <c r="A1142" s="15" t="inlineStr">
        <is>
          <t xml:space="preserve">Hebrews 5</t>
        </is>
      </c>
      <c r="B1142" s="15">
        <v>1138</v>
      </c>
      <c r="C1142" s="15" t="inlineStr">
        <is>
          <t xml:space="preserve">New Testament</t>
        </is>
      </c>
      <c r="D1142" s="15">
        <v>58</v>
      </c>
      <c r="E1142" s="15" t="inlineStr">
        <is>
          <t xml:space="preserve">Hebrews</t>
        </is>
      </c>
      <c r="F1142" s="15">
        <v>5</v>
      </c>
      <c r="G1142" s="15" t="inlineStr">
        <is>
          <t xml:space="preserve">v0.9</t>
        </is>
      </c>
      <c r="H1142" s="15" t="inlineStr">
        <is>
          <t xml:space="preserve">Bible_Journey_Canon_Map_v0_9_General_Letters_Revelation.xlsx</t>
        </is>
      </c>
      <c r="I1142" s="15" t="inlineStr">
        <is>
          <t xml:space="preserve">Canon Coverage</t>
        </is>
      </c>
      <c r="J1142" s="15" t="inlineStr">
        <is>
          <t xml:space="preserve">CRS-GEN-003</t>
        </is>
      </c>
      <c r="K1142" s="15" t="inlineStr">
        <is>
          <t xml:space="preserve">BLK-003</t>
        </is>
      </c>
      <c r="L1142" s="10" t="inlineStr">
        <is>
          <t xml:space="preserve">Mapped once</t>
        </is>
      </c>
      <c r="M1142" s="15"/>
      <c r="N1142" s="15" t="inlineStr">
        <is>
          <t xml:space="preserve">S01; S02</t>
        </is>
      </c>
      <c r="O1142" s="15">
        <v>1</v>
      </c>
      <c r="P1142" s="10" t="str">
        <f>IF(L1142="MISSING","MISSING",IF(O1142=1,"PASS","DUPLICATE"))</f>
        <v>PASS</v>
      </c>
    </row>
    <row r="1143" ht="22" customHeight="1">
      <c r="A1143" s="15" t="inlineStr">
        <is>
          <t xml:space="preserve">Hebrews 6</t>
        </is>
      </c>
      <c r="B1143" s="15">
        <v>1139</v>
      </c>
      <c r="C1143" s="15" t="inlineStr">
        <is>
          <t xml:space="preserve">New Testament</t>
        </is>
      </c>
      <c r="D1143" s="15">
        <v>58</v>
      </c>
      <c r="E1143" s="15" t="inlineStr">
        <is>
          <t xml:space="preserve">Hebrews</t>
        </is>
      </c>
      <c r="F1143" s="15">
        <v>6</v>
      </c>
      <c r="G1143" s="15" t="inlineStr">
        <is>
          <t xml:space="preserve">v0.9</t>
        </is>
      </c>
      <c r="H1143" s="15" t="inlineStr">
        <is>
          <t xml:space="preserve">Bible_Journey_Canon_Map_v0_9_General_Letters_Revelation.xlsx</t>
        </is>
      </c>
      <c r="I1143" s="15" t="inlineStr">
        <is>
          <t xml:space="preserve">Canon Coverage</t>
        </is>
      </c>
      <c r="J1143" s="15" t="inlineStr">
        <is>
          <t xml:space="preserve">CRS-GEN-003</t>
        </is>
      </c>
      <c r="K1143" s="15" t="inlineStr">
        <is>
          <t xml:space="preserve">BLK-003</t>
        </is>
      </c>
      <c r="L1143" s="10" t="inlineStr">
        <is>
          <t xml:space="preserve">Mapped once</t>
        </is>
      </c>
      <c r="M1143" s="15"/>
      <c r="N1143" s="15" t="inlineStr">
        <is>
          <t xml:space="preserve">S01; S02</t>
        </is>
      </c>
      <c r="O1143" s="15">
        <v>1</v>
      </c>
      <c r="P1143" s="10" t="str">
        <f>IF(L1143="MISSING","MISSING",IF(O1143=1,"PASS","DUPLICATE"))</f>
        <v>PASS</v>
      </c>
    </row>
    <row r="1144" ht="22" customHeight="1">
      <c r="A1144" s="15" t="inlineStr">
        <is>
          <t xml:space="preserve">Hebrews 7</t>
        </is>
      </c>
      <c r="B1144" s="15">
        <v>1140</v>
      </c>
      <c r="C1144" s="15" t="inlineStr">
        <is>
          <t xml:space="preserve">New Testament</t>
        </is>
      </c>
      <c r="D1144" s="15">
        <v>58</v>
      </c>
      <c r="E1144" s="15" t="inlineStr">
        <is>
          <t xml:space="preserve">Hebrews</t>
        </is>
      </c>
      <c r="F1144" s="15">
        <v>7</v>
      </c>
      <c r="G1144" s="15" t="inlineStr">
        <is>
          <t xml:space="preserve">v0.9</t>
        </is>
      </c>
      <c r="H1144" s="15" t="inlineStr">
        <is>
          <t xml:space="preserve">Bible_Journey_Canon_Map_v0_9_General_Letters_Revelation.xlsx</t>
        </is>
      </c>
      <c r="I1144" s="15" t="inlineStr">
        <is>
          <t xml:space="preserve">Canon Coverage</t>
        </is>
      </c>
      <c r="J1144" s="15" t="inlineStr">
        <is>
          <t xml:space="preserve">CRS-GEN-003</t>
        </is>
      </c>
      <c r="K1144" s="15" t="inlineStr">
        <is>
          <t xml:space="preserve">BLK-003</t>
        </is>
      </c>
      <c r="L1144" s="10" t="inlineStr">
        <is>
          <t xml:space="preserve">Mapped once</t>
        </is>
      </c>
      <c r="M1144" s="15"/>
      <c r="N1144" s="15" t="inlineStr">
        <is>
          <t xml:space="preserve">S01; S02</t>
        </is>
      </c>
      <c r="O1144" s="15">
        <v>1</v>
      </c>
      <c r="P1144" s="10" t="str">
        <f>IF(L1144="MISSING","MISSING",IF(O1144=1,"PASS","DUPLICATE"))</f>
        <v>PASS</v>
      </c>
    </row>
    <row r="1145" ht="22" customHeight="1">
      <c r="A1145" s="15" t="inlineStr">
        <is>
          <t xml:space="preserve">Hebrews 8</t>
        </is>
      </c>
      <c r="B1145" s="15">
        <v>1141</v>
      </c>
      <c r="C1145" s="15" t="inlineStr">
        <is>
          <t xml:space="preserve">New Testament</t>
        </is>
      </c>
      <c r="D1145" s="15">
        <v>58</v>
      </c>
      <c r="E1145" s="15" t="inlineStr">
        <is>
          <t xml:space="preserve">Hebrews</t>
        </is>
      </c>
      <c r="F1145" s="15">
        <v>8</v>
      </c>
      <c r="G1145" s="15" t="inlineStr">
        <is>
          <t xml:space="preserve">v0.9</t>
        </is>
      </c>
      <c r="H1145" s="15" t="inlineStr">
        <is>
          <t xml:space="preserve">Bible_Journey_Canon_Map_v0_9_General_Letters_Revelation.xlsx</t>
        </is>
      </c>
      <c r="I1145" s="15" t="inlineStr">
        <is>
          <t xml:space="preserve">Canon Coverage</t>
        </is>
      </c>
      <c r="J1145" s="15" t="inlineStr">
        <is>
          <t xml:space="preserve">CRS-GEN-004</t>
        </is>
      </c>
      <c r="K1145" s="15" t="inlineStr">
        <is>
          <t xml:space="preserve">BLK-004</t>
        </is>
      </c>
      <c r="L1145" s="10" t="inlineStr">
        <is>
          <t xml:space="preserve">Mapped once</t>
        </is>
      </c>
      <c r="M1145" s="15"/>
      <c r="N1145" s="15" t="inlineStr">
        <is>
          <t xml:space="preserve">S01; S02</t>
        </is>
      </c>
      <c r="O1145" s="15">
        <v>1</v>
      </c>
      <c r="P1145" s="10" t="str">
        <f>IF(L1145="MISSING","MISSING",IF(O1145=1,"PASS","DUPLICATE"))</f>
        <v>PASS</v>
      </c>
    </row>
    <row r="1146" ht="22" customHeight="1">
      <c r="A1146" s="15" t="inlineStr">
        <is>
          <t xml:space="preserve">Hebrews 9</t>
        </is>
      </c>
      <c r="B1146" s="15">
        <v>1142</v>
      </c>
      <c r="C1146" s="15" t="inlineStr">
        <is>
          <t xml:space="preserve">New Testament</t>
        </is>
      </c>
      <c r="D1146" s="15">
        <v>58</v>
      </c>
      <c r="E1146" s="15" t="inlineStr">
        <is>
          <t xml:space="preserve">Hebrews</t>
        </is>
      </c>
      <c r="F1146" s="15">
        <v>9</v>
      </c>
      <c r="G1146" s="15" t="inlineStr">
        <is>
          <t xml:space="preserve">v0.9</t>
        </is>
      </c>
      <c r="H1146" s="15" t="inlineStr">
        <is>
          <t xml:space="preserve">Bible_Journey_Canon_Map_v0_9_General_Letters_Revelation.xlsx</t>
        </is>
      </c>
      <c r="I1146" s="15" t="inlineStr">
        <is>
          <t xml:space="preserve">Canon Coverage</t>
        </is>
      </c>
      <c r="J1146" s="15" t="inlineStr">
        <is>
          <t xml:space="preserve">CRS-GEN-004</t>
        </is>
      </c>
      <c r="K1146" s="15" t="inlineStr">
        <is>
          <t xml:space="preserve">BLK-004</t>
        </is>
      </c>
      <c r="L1146" s="10" t="inlineStr">
        <is>
          <t xml:space="preserve">Mapped once</t>
        </is>
      </c>
      <c r="M1146" s="15"/>
      <c r="N1146" s="15" t="inlineStr">
        <is>
          <t xml:space="preserve">S01; S02</t>
        </is>
      </c>
      <c r="O1146" s="15">
        <v>1</v>
      </c>
      <c r="P1146" s="10" t="str">
        <f>IF(L1146="MISSING","MISSING",IF(O1146=1,"PASS","DUPLICATE"))</f>
        <v>PASS</v>
      </c>
    </row>
    <row r="1147" ht="22" customHeight="1">
      <c r="A1147" s="15" t="inlineStr">
        <is>
          <t xml:space="preserve">Hebrews 10</t>
        </is>
      </c>
      <c r="B1147" s="15">
        <v>1143</v>
      </c>
      <c r="C1147" s="15" t="inlineStr">
        <is>
          <t xml:space="preserve">New Testament</t>
        </is>
      </c>
      <c r="D1147" s="15">
        <v>58</v>
      </c>
      <c r="E1147" s="15" t="inlineStr">
        <is>
          <t xml:space="preserve">Hebrews</t>
        </is>
      </c>
      <c r="F1147" s="15">
        <v>10</v>
      </c>
      <c r="G1147" s="15" t="inlineStr">
        <is>
          <t xml:space="preserve">v0.9</t>
        </is>
      </c>
      <c r="H1147" s="15" t="inlineStr">
        <is>
          <t xml:space="preserve">Bible_Journey_Canon_Map_v0_9_General_Letters_Revelation.xlsx</t>
        </is>
      </c>
      <c r="I1147" s="15" t="inlineStr">
        <is>
          <t xml:space="preserve">Canon Coverage</t>
        </is>
      </c>
      <c r="J1147" s="15" t="inlineStr">
        <is>
          <t xml:space="preserve">CRS-GEN-004</t>
        </is>
      </c>
      <c r="K1147" s="15" t="inlineStr">
        <is>
          <t xml:space="preserve">BLK-004</t>
        </is>
      </c>
      <c r="L1147" s="10" t="inlineStr">
        <is>
          <t xml:space="preserve">Mapped once</t>
        </is>
      </c>
      <c r="M1147" s="15"/>
      <c r="N1147" s="15" t="inlineStr">
        <is>
          <t xml:space="preserve">S01; S02</t>
        </is>
      </c>
      <c r="O1147" s="15">
        <v>1</v>
      </c>
      <c r="P1147" s="10" t="str">
        <f>IF(L1147="MISSING","MISSING",IF(O1147=1,"PASS","DUPLICATE"))</f>
        <v>PASS</v>
      </c>
    </row>
    <row r="1148" ht="22" customHeight="1">
      <c r="A1148" s="15" t="inlineStr">
        <is>
          <t xml:space="preserve">Hebrews 11</t>
        </is>
      </c>
      <c r="B1148" s="15">
        <v>1144</v>
      </c>
      <c r="C1148" s="15" t="inlineStr">
        <is>
          <t xml:space="preserve">New Testament</t>
        </is>
      </c>
      <c r="D1148" s="15">
        <v>58</v>
      </c>
      <c r="E1148" s="15" t="inlineStr">
        <is>
          <t xml:space="preserve">Hebrews</t>
        </is>
      </c>
      <c r="F1148" s="15">
        <v>11</v>
      </c>
      <c r="G1148" s="15" t="inlineStr">
        <is>
          <t xml:space="preserve">v0.9</t>
        </is>
      </c>
      <c r="H1148" s="15" t="inlineStr">
        <is>
          <t xml:space="preserve">Bible_Journey_Canon_Map_v0_9_General_Letters_Revelation.xlsx</t>
        </is>
      </c>
      <c r="I1148" s="15" t="inlineStr">
        <is>
          <t xml:space="preserve">Canon Coverage</t>
        </is>
      </c>
      <c r="J1148" s="15" t="inlineStr">
        <is>
          <t xml:space="preserve">CRS-GEN-005</t>
        </is>
      </c>
      <c r="K1148" s="15" t="inlineStr">
        <is>
          <t xml:space="preserve">BLK-005</t>
        </is>
      </c>
      <c r="L1148" s="10" t="inlineStr">
        <is>
          <t xml:space="preserve">Mapped once</t>
        </is>
      </c>
      <c r="M1148" s="15"/>
      <c r="N1148" s="15" t="inlineStr">
        <is>
          <t xml:space="preserve">S01; S02</t>
        </is>
      </c>
      <c r="O1148" s="15">
        <v>1</v>
      </c>
      <c r="P1148" s="10" t="str">
        <f>IF(L1148="MISSING","MISSING",IF(O1148=1,"PASS","DUPLICATE"))</f>
        <v>PASS</v>
      </c>
    </row>
    <row r="1149" ht="22" customHeight="1">
      <c r="A1149" s="15" t="inlineStr">
        <is>
          <t xml:space="preserve">Hebrews 12</t>
        </is>
      </c>
      <c r="B1149" s="15">
        <v>1145</v>
      </c>
      <c r="C1149" s="15" t="inlineStr">
        <is>
          <t xml:space="preserve">New Testament</t>
        </is>
      </c>
      <c r="D1149" s="15">
        <v>58</v>
      </c>
      <c r="E1149" s="15" t="inlineStr">
        <is>
          <t xml:space="preserve">Hebrews</t>
        </is>
      </c>
      <c r="F1149" s="15">
        <v>12</v>
      </c>
      <c r="G1149" s="15" t="inlineStr">
        <is>
          <t xml:space="preserve">v0.9</t>
        </is>
      </c>
      <c r="H1149" s="15" t="inlineStr">
        <is>
          <t xml:space="preserve">Bible_Journey_Canon_Map_v0_9_General_Letters_Revelation.xlsx</t>
        </is>
      </c>
      <c r="I1149" s="15" t="inlineStr">
        <is>
          <t xml:space="preserve">Canon Coverage</t>
        </is>
      </c>
      <c r="J1149" s="15" t="inlineStr">
        <is>
          <t xml:space="preserve">CRS-GEN-005</t>
        </is>
      </c>
      <c r="K1149" s="15" t="inlineStr">
        <is>
          <t xml:space="preserve">BLK-005</t>
        </is>
      </c>
      <c r="L1149" s="10" t="inlineStr">
        <is>
          <t xml:space="preserve">Mapped once</t>
        </is>
      </c>
      <c r="M1149" s="15"/>
      <c r="N1149" s="15" t="inlineStr">
        <is>
          <t xml:space="preserve">S01; S02</t>
        </is>
      </c>
      <c r="O1149" s="15">
        <v>1</v>
      </c>
      <c r="P1149" s="10" t="str">
        <f>IF(L1149="MISSING","MISSING",IF(O1149=1,"PASS","DUPLICATE"))</f>
        <v>PASS</v>
      </c>
    </row>
    <row r="1150" ht="22" customHeight="1">
      <c r="A1150" s="15" t="inlineStr">
        <is>
          <t xml:space="preserve">Hebrews 13</t>
        </is>
      </c>
      <c r="B1150" s="15">
        <v>1146</v>
      </c>
      <c r="C1150" s="15" t="inlineStr">
        <is>
          <t xml:space="preserve">New Testament</t>
        </is>
      </c>
      <c r="D1150" s="15">
        <v>58</v>
      </c>
      <c r="E1150" s="15" t="inlineStr">
        <is>
          <t xml:space="preserve">Hebrews</t>
        </is>
      </c>
      <c r="F1150" s="15">
        <v>13</v>
      </c>
      <c r="G1150" s="15" t="inlineStr">
        <is>
          <t xml:space="preserve">v0.9</t>
        </is>
      </c>
      <c r="H1150" s="15" t="inlineStr">
        <is>
          <t xml:space="preserve">Bible_Journey_Canon_Map_v0_9_General_Letters_Revelation.xlsx</t>
        </is>
      </c>
      <c r="I1150" s="15" t="inlineStr">
        <is>
          <t xml:space="preserve">Canon Coverage</t>
        </is>
      </c>
      <c r="J1150" s="15" t="inlineStr">
        <is>
          <t xml:space="preserve">CRS-GEN-005</t>
        </is>
      </c>
      <c r="K1150" s="15" t="inlineStr">
        <is>
          <t xml:space="preserve">BLK-005</t>
        </is>
      </c>
      <c r="L1150" s="10" t="inlineStr">
        <is>
          <t xml:space="preserve">Mapped once</t>
        </is>
      </c>
      <c r="M1150" s="15"/>
      <c r="N1150" s="15" t="inlineStr">
        <is>
          <t xml:space="preserve">S01; S02</t>
        </is>
      </c>
      <c r="O1150" s="15">
        <v>1</v>
      </c>
      <c r="P1150" s="10" t="str">
        <f>IF(L1150="MISSING","MISSING",IF(O1150=1,"PASS","DUPLICATE"))</f>
        <v>PASS</v>
      </c>
    </row>
    <row r="1151" ht="22" customHeight="1">
      <c r="A1151" s="15" t="inlineStr">
        <is>
          <t xml:space="preserve">James 1</t>
        </is>
      </c>
      <c r="B1151" s="15">
        <v>1147</v>
      </c>
      <c r="C1151" s="15" t="inlineStr">
        <is>
          <t xml:space="preserve">New Testament</t>
        </is>
      </c>
      <c r="D1151" s="15">
        <v>59</v>
      </c>
      <c r="E1151" s="15" t="inlineStr">
        <is>
          <t xml:space="preserve">James</t>
        </is>
      </c>
      <c r="F1151" s="15">
        <v>1</v>
      </c>
      <c r="G1151" s="15" t="inlineStr">
        <is>
          <t xml:space="preserve">v0.9</t>
        </is>
      </c>
      <c r="H1151" s="15" t="inlineStr">
        <is>
          <t xml:space="preserve">Bible_Journey_Canon_Map_v0_9_General_Letters_Revelation.xlsx</t>
        </is>
      </c>
      <c r="I1151" s="15" t="inlineStr">
        <is>
          <t xml:space="preserve">Canon Coverage</t>
        </is>
      </c>
      <c r="J1151" s="15" t="inlineStr">
        <is>
          <t xml:space="preserve">CRS-GEN-006</t>
        </is>
      </c>
      <c r="K1151" s="15" t="inlineStr">
        <is>
          <t xml:space="preserve">BLK-006</t>
        </is>
      </c>
      <c r="L1151" s="10" t="inlineStr">
        <is>
          <t xml:space="preserve">Mapped once</t>
        </is>
      </c>
      <c r="M1151" s="15"/>
      <c r="N1151" s="15" t="inlineStr">
        <is>
          <t xml:space="preserve">S03; S04</t>
        </is>
      </c>
      <c r="O1151" s="15">
        <v>1</v>
      </c>
      <c r="P1151" s="10" t="str">
        <f>IF(L1151="MISSING","MISSING",IF(O1151=1,"PASS","DUPLICATE"))</f>
        <v>PASS</v>
      </c>
    </row>
    <row r="1152" ht="22" customHeight="1">
      <c r="A1152" s="15" t="inlineStr">
        <is>
          <t xml:space="preserve">James 2</t>
        </is>
      </c>
      <c r="B1152" s="15">
        <v>1148</v>
      </c>
      <c r="C1152" s="15" t="inlineStr">
        <is>
          <t xml:space="preserve">New Testament</t>
        </is>
      </c>
      <c r="D1152" s="15">
        <v>59</v>
      </c>
      <c r="E1152" s="15" t="inlineStr">
        <is>
          <t xml:space="preserve">James</t>
        </is>
      </c>
      <c r="F1152" s="15">
        <v>2</v>
      </c>
      <c r="G1152" s="15" t="inlineStr">
        <is>
          <t xml:space="preserve">v0.9</t>
        </is>
      </c>
      <c r="H1152" s="15" t="inlineStr">
        <is>
          <t xml:space="preserve">Bible_Journey_Canon_Map_v0_9_General_Letters_Revelation.xlsx</t>
        </is>
      </c>
      <c r="I1152" s="15" t="inlineStr">
        <is>
          <t xml:space="preserve">Canon Coverage</t>
        </is>
      </c>
      <c r="J1152" s="15" t="inlineStr">
        <is>
          <t xml:space="preserve">CRS-GEN-006</t>
        </is>
      </c>
      <c r="K1152" s="15" t="inlineStr">
        <is>
          <t xml:space="preserve">BLK-006</t>
        </is>
      </c>
      <c r="L1152" s="10" t="inlineStr">
        <is>
          <t xml:space="preserve">Mapped once</t>
        </is>
      </c>
      <c r="M1152" s="15"/>
      <c r="N1152" s="15" t="inlineStr">
        <is>
          <t xml:space="preserve">S03; S04</t>
        </is>
      </c>
      <c r="O1152" s="15">
        <v>1</v>
      </c>
      <c r="P1152" s="10" t="str">
        <f>IF(L1152="MISSING","MISSING",IF(O1152=1,"PASS","DUPLICATE"))</f>
        <v>PASS</v>
      </c>
    </row>
    <row r="1153" ht="22" customHeight="1">
      <c r="A1153" s="15" t="inlineStr">
        <is>
          <t xml:space="preserve">James 3</t>
        </is>
      </c>
      <c r="B1153" s="15">
        <v>1149</v>
      </c>
      <c r="C1153" s="15" t="inlineStr">
        <is>
          <t xml:space="preserve">New Testament</t>
        </is>
      </c>
      <c r="D1153" s="15">
        <v>59</v>
      </c>
      <c r="E1153" s="15" t="inlineStr">
        <is>
          <t xml:space="preserve">James</t>
        </is>
      </c>
      <c r="F1153" s="15">
        <v>3</v>
      </c>
      <c r="G1153" s="15" t="inlineStr">
        <is>
          <t xml:space="preserve">v0.9</t>
        </is>
      </c>
      <c r="H1153" s="15" t="inlineStr">
        <is>
          <t xml:space="preserve">Bible_Journey_Canon_Map_v0_9_General_Letters_Revelation.xlsx</t>
        </is>
      </c>
      <c r="I1153" s="15" t="inlineStr">
        <is>
          <t xml:space="preserve">Canon Coverage</t>
        </is>
      </c>
      <c r="J1153" s="15" t="inlineStr">
        <is>
          <t xml:space="preserve">CRS-GEN-007</t>
        </is>
      </c>
      <c r="K1153" s="15" t="inlineStr">
        <is>
          <t xml:space="preserve">BLK-007</t>
        </is>
      </c>
      <c r="L1153" s="10" t="inlineStr">
        <is>
          <t xml:space="preserve">Mapped once</t>
        </is>
      </c>
      <c r="M1153" s="15"/>
      <c r="N1153" s="15" t="inlineStr">
        <is>
          <t xml:space="preserve">S03; S04</t>
        </is>
      </c>
      <c r="O1153" s="15">
        <v>1</v>
      </c>
      <c r="P1153" s="10" t="str">
        <f>IF(L1153="MISSING","MISSING",IF(O1153=1,"PASS","DUPLICATE"))</f>
        <v>PASS</v>
      </c>
    </row>
    <row r="1154" ht="22" customHeight="1">
      <c r="A1154" s="15" t="inlineStr">
        <is>
          <t xml:space="preserve">James 4</t>
        </is>
      </c>
      <c r="B1154" s="15">
        <v>1150</v>
      </c>
      <c r="C1154" s="15" t="inlineStr">
        <is>
          <t xml:space="preserve">New Testament</t>
        </is>
      </c>
      <c r="D1154" s="15">
        <v>59</v>
      </c>
      <c r="E1154" s="15" t="inlineStr">
        <is>
          <t xml:space="preserve">James</t>
        </is>
      </c>
      <c r="F1154" s="15">
        <v>4</v>
      </c>
      <c r="G1154" s="15" t="inlineStr">
        <is>
          <t xml:space="preserve">v0.9</t>
        </is>
      </c>
      <c r="H1154" s="15" t="inlineStr">
        <is>
          <t xml:space="preserve">Bible_Journey_Canon_Map_v0_9_General_Letters_Revelation.xlsx</t>
        </is>
      </c>
      <c r="I1154" s="15" t="inlineStr">
        <is>
          <t xml:space="preserve">Canon Coverage</t>
        </is>
      </c>
      <c r="J1154" s="15" t="inlineStr">
        <is>
          <t xml:space="preserve">CRS-GEN-007</t>
        </is>
      </c>
      <c r="K1154" s="15" t="inlineStr">
        <is>
          <t xml:space="preserve">BLK-007</t>
        </is>
      </c>
      <c r="L1154" s="10" t="inlineStr">
        <is>
          <t xml:space="preserve">Mapped once</t>
        </is>
      </c>
      <c r="M1154" s="15"/>
      <c r="N1154" s="15" t="inlineStr">
        <is>
          <t xml:space="preserve">S03; S04</t>
        </is>
      </c>
      <c r="O1154" s="15">
        <v>1</v>
      </c>
      <c r="P1154" s="10" t="str">
        <f>IF(L1154="MISSING","MISSING",IF(O1154=1,"PASS","DUPLICATE"))</f>
        <v>PASS</v>
      </c>
    </row>
    <row r="1155" ht="22" customHeight="1">
      <c r="A1155" s="15" t="inlineStr">
        <is>
          <t xml:space="preserve">James 5</t>
        </is>
      </c>
      <c r="B1155" s="15">
        <v>1151</v>
      </c>
      <c r="C1155" s="15" t="inlineStr">
        <is>
          <t xml:space="preserve">New Testament</t>
        </is>
      </c>
      <c r="D1155" s="15">
        <v>59</v>
      </c>
      <c r="E1155" s="15" t="inlineStr">
        <is>
          <t xml:space="preserve">James</t>
        </is>
      </c>
      <c r="F1155" s="15">
        <v>5</v>
      </c>
      <c r="G1155" s="15" t="inlineStr">
        <is>
          <t xml:space="preserve">v0.9</t>
        </is>
      </c>
      <c r="H1155" s="15" t="inlineStr">
        <is>
          <t xml:space="preserve">Bible_Journey_Canon_Map_v0_9_General_Letters_Revelation.xlsx</t>
        </is>
      </c>
      <c r="I1155" s="15" t="inlineStr">
        <is>
          <t xml:space="preserve">Canon Coverage</t>
        </is>
      </c>
      <c r="J1155" s="15" t="inlineStr">
        <is>
          <t xml:space="preserve">CRS-GEN-007</t>
        </is>
      </c>
      <c r="K1155" s="15" t="inlineStr">
        <is>
          <t xml:space="preserve">BLK-007</t>
        </is>
      </c>
      <c r="L1155" s="10" t="inlineStr">
        <is>
          <t xml:space="preserve">Mapped once</t>
        </is>
      </c>
      <c r="M1155" s="15"/>
      <c r="N1155" s="15" t="inlineStr">
        <is>
          <t xml:space="preserve">S03; S04</t>
        </is>
      </c>
      <c r="O1155" s="15">
        <v>1</v>
      </c>
      <c r="P1155" s="10" t="str">
        <f>IF(L1155="MISSING","MISSING",IF(O1155=1,"PASS","DUPLICATE"))</f>
        <v>PASS</v>
      </c>
    </row>
    <row r="1156" ht="22" customHeight="1">
      <c r="A1156" s="15" t="inlineStr">
        <is>
          <t xml:space="preserve">1 Peter 1</t>
        </is>
      </c>
      <c r="B1156" s="15">
        <v>1152</v>
      </c>
      <c r="C1156" s="15" t="inlineStr">
        <is>
          <t xml:space="preserve">New Testament</t>
        </is>
      </c>
      <c r="D1156" s="15">
        <v>60</v>
      </c>
      <c r="E1156" s="15" t="inlineStr">
        <is>
          <t xml:space="preserve">1 Peter</t>
        </is>
      </c>
      <c r="F1156" s="15">
        <v>1</v>
      </c>
      <c r="G1156" s="15" t="inlineStr">
        <is>
          <t xml:space="preserve">v0.9</t>
        </is>
      </c>
      <c r="H1156" s="15" t="inlineStr">
        <is>
          <t xml:space="preserve">Bible_Journey_Canon_Map_v0_9_General_Letters_Revelation.xlsx</t>
        </is>
      </c>
      <c r="I1156" s="15" t="inlineStr">
        <is>
          <t xml:space="preserve">Canon Coverage</t>
        </is>
      </c>
      <c r="J1156" s="15" t="inlineStr">
        <is>
          <t xml:space="preserve">CRS-GEN-008</t>
        </is>
      </c>
      <c r="K1156" s="15" t="inlineStr">
        <is>
          <t xml:space="preserve">BLK-008</t>
        </is>
      </c>
      <c r="L1156" s="10" t="inlineStr">
        <is>
          <t xml:space="preserve">Mapped once</t>
        </is>
      </c>
      <c r="M1156" s="15"/>
      <c r="N1156" s="15" t="inlineStr">
        <is>
          <t xml:space="preserve">S05; S06</t>
        </is>
      </c>
      <c r="O1156" s="15">
        <v>1</v>
      </c>
      <c r="P1156" s="10" t="str">
        <f>IF(L1156="MISSING","MISSING",IF(O1156=1,"PASS","DUPLICATE"))</f>
        <v>PASS</v>
      </c>
    </row>
    <row r="1157" ht="22" customHeight="1">
      <c r="A1157" s="15" t="inlineStr">
        <is>
          <t xml:space="preserve">1 Peter 2</t>
        </is>
      </c>
      <c r="B1157" s="15">
        <v>1153</v>
      </c>
      <c r="C1157" s="15" t="inlineStr">
        <is>
          <t xml:space="preserve">New Testament</t>
        </is>
      </c>
      <c r="D1157" s="15">
        <v>60</v>
      </c>
      <c r="E1157" s="15" t="inlineStr">
        <is>
          <t xml:space="preserve">1 Peter</t>
        </is>
      </c>
      <c r="F1157" s="15">
        <v>2</v>
      </c>
      <c r="G1157" s="15" t="inlineStr">
        <is>
          <t xml:space="preserve">v0.9</t>
        </is>
      </c>
      <c r="H1157" s="15" t="inlineStr">
        <is>
          <t xml:space="preserve">Bible_Journey_Canon_Map_v0_9_General_Letters_Revelation.xlsx</t>
        </is>
      </c>
      <c r="I1157" s="15" t="inlineStr">
        <is>
          <t xml:space="preserve">Canon Coverage</t>
        </is>
      </c>
      <c r="J1157" s="15" t="inlineStr">
        <is>
          <t xml:space="preserve">CRS-GEN-008</t>
        </is>
      </c>
      <c r="K1157" s="15" t="inlineStr">
        <is>
          <t xml:space="preserve">BLK-008</t>
        </is>
      </c>
      <c r="L1157" s="10" t="inlineStr">
        <is>
          <t xml:space="preserve">Mapped once</t>
        </is>
      </c>
      <c r="M1157" s="15"/>
      <c r="N1157" s="15" t="inlineStr">
        <is>
          <t xml:space="preserve">S05; S06</t>
        </is>
      </c>
      <c r="O1157" s="15">
        <v>1</v>
      </c>
      <c r="P1157" s="10" t="str">
        <f>IF(L1157="MISSING","MISSING",IF(O1157=1,"PASS","DUPLICATE"))</f>
        <v>PASS</v>
      </c>
    </row>
    <row r="1158" ht="22" customHeight="1">
      <c r="A1158" s="15" t="inlineStr">
        <is>
          <t xml:space="preserve">1 Peter 3</t>
        </is>
      </c>
      <c r="B1158" s="15">
        <v>1154</v>
      </c>
      <c r="C1158" s="15" t="inlineStr">
        <is>
          <t xml:space="preserve">New Testament</t>
        </is>
      </c>
      <c r="D1158" s="15">
        <v>60</v>
      </c>
      <c r="E1158" s="15" t="inlineStr">
        <is>
          <t xml:space="preserve">1 Peter</t>
        </is>
      </c>
      <c r="F1158" s="15">
        <v>3</v>
      </c>
      <c r="G1158" s="15" t="inlineStr">
        <is>
          <t xml:space="preserve">v0.9</t>
        </is>
      </c>
      <c r="H1158" s="15" t="inlineStr">
        <is>
          <t xml:space="preserve">Bible_Journey_Canon_Map_v0_9_General_Letters_Revelation.xlsx</t>
        </is>
      </c>
      <c r="I1158" s="15" t="inlineStr">
        <is>
          <t xml:space="preserve">Canon Coverage</t>
        </is>
      </c>
      <c r="J1158" s="15" t="inlineStr">
        <is>
          <t xml:space="preserve">CRS-GEN-009</t>
        </is>
      </c>
      <c r="K1158" s="15" t="inlineStr">
        <is>
          <t xml:space="preserve">BLK-009</t>
        </is>
      </c>
      <c r="L1158" s="10" t="inlineStr">
        <is>
          <t xml:space="preserve">Mapped once</t>
        </is>
      </c>
      <c r="M1158" s="15"/>
      <c r="N1158" s="15" t="inlineStr">
        <is>
          <t xml:space="preserve">S05; S06</t>
        </is>
      </c>
      <c r="O1158" s="15">
        <v>1</v>
      </c>
      <c r="P1158" s="10" t="str">
        <f>IF(L1158="MISSING","MISSING",IF(O1158=1,"PASS","DUPLICATE"))</f>
        <v>PASS</v>
      </c>
    </row>
    <row r="1159" ht="22" customHeight="1">
      <c r="A1159" s="15" t="inlineStr">
        <is>
          <t xml:space="preserve">1 Peter 4</t>
        </is>
      </c>
      <c r="B1159" s="15">
        <v>1155</v>
      </c>
      <c r="C1159" s="15" t="inlineStr">
        <is>
          <t xml:space="preserve">New Testament</t>
        </is>
      </c>
      <c r="D1159" s="15">
        <v>60</v>
      </c>
      <c r="E1159" s="15" t="inlineStr">
        <is>
          <t xml:space="preserve">1 Peter</t>
        </is>
      </c>
      <c r="F1159" s="15">
        <v>4</v>
      </c>
      <c r="G1159" s="15" t="inlineStr">
        <is>
          <t xml:space="preserve">v0.9</t>
        </is>
      </c>
      <c r="H1159" s="15" t="inlineStr">
        <is>
          <t xml:space="preserve">Bible_Journey_Canon_Map_v0_9_General_Letters_Revelation.xlsx</t>
        </is>
      </c>
      <c r="I1159" s="15" t="inlineStr">
        <is>
          <t xml:space="preserve">Canon Coverage</t>
        </is>
      </c>
      <c r="J1159" s="15" t="inlineStr">
        <is>
          <t xml:space="preserve">CRS-GEN-009</t>
        </is>
      </c>
      <c r="K1159" s="15" t="inlineStr">
        <is>
          <t xml:space="preserve">BLK-009</t>
        </is>
      </c>
      <c r="L1159" s="10" t="inlineStr">
        <is>
          <t xml:space="preserve">Mapped once</t>
        </is>
      </c>
      <c r="M1159" s="15"/>
      <c r="N1159" s="15" t="inlineStr">
        <is>
          <t xml:space="preserve">S05; S06</t>
        </is>
      </c>
      <c r="O1159" s="15">
        <v>1</v>
      </c>
      <c r="P1159" s="10" t="str">
        <f>IF(L1159="MISSING","MISSING",IF(O1159=1,"PASS","DUPLICATE"))</f>
        <v>PASS</v>
      </c>
    </row>
    <row r="1160" ht="22" customHeight="1">
      <c r="A1160" s="15" t="inlineStr">
        <is>
          <t xml:space="preserve">1 Peter 5</t>
        </is>
      </c>
      <c r="B1160" s="15">
        <v>1156</v>
      </c>
      <c r="C1160" s="15" t="inlineStr">
        <is>
          <t xml:space="preserve">New Testament</t>
        </is>
      </c>
      <c r="D1160" s="15">
        <v>60</v>
      </c>
      <c r="E1160" s="15" t="inlineStr">
        <is>
          <t xml:space="preserve">1 Peter</t>
        </is>
      </c>
      <c r="F1160" s="15">
        <v>5</v>
      </c>
      <c r="G1160" s="15" t="inlineStr">
        <is>
          <t xml:space="preserve">v0.9</t>
        </is>
      </c>
      <c r="H1160" s="15" t="inlineStr">
        <is>
          <t xml:space="preserve">Bible_Journey_Canon_Map_v0_9_General_Letters_Revelation.xlsx</t>
        </is>
      </c>
      <c r="I1160" s="15" t="inlineStr">
        <is>
          <t xml:space="preserve">Canon Coverage</t>
        </is>
      </c>
      <c r="J1160" s="15" t="inlineStr">
        <is>
          <t xml:space="preserve">CRS-GEN-009</t>
        </is>
      </c>
      <c r="K1160" s="15" t="inlineStr">
        <is>
          <t xml:space="preserve">BLK-009</t>
        </is>
      </c>
      <c r="L1160" s="10" t="inlineStr">
        <is>
          <t xml:space="preserve">Mapped once</t>
        </is>
      </c>
      <c r="M1160" s="15"/>
      <c r="N1160" s="15" t="inlineStr">
        <is>
          <t xml:space="preserve">S05; S06</t>
        </is>
      </c>
      <c r="O1160" s="15">
        <v>1</v>
      </c>
      <c r="P1160" s="10" t="str">
        <f>IF(L1160="MISSING","MISSING",IF(O1160=1,"PASS","DUPLICATE"))</f>
        <v>PASS</v>
      </c>
    </row>
    <row r="1161" ht="22" customHeight="1">
      <c r="A1161" s="15" t="inlineStr">
        <is>
          <t xml:space="preserve">2 Peter 1</t>
        </is>
      </c>
      <c r="B1161" s="15">
        <v>1157</v>
      </c>
      <c r="C1161" s="15" t="inlineStr">
        <is>
          <t xml:space="preserve">New Testament</t>
        </is>
      </c>
      <c r="D1161" s="15">
        <v>61</v>
      </c>
      <c r="E1161" s="15" t="inlineStr">
        <is>
          <t xml:space="preserve">2 Peter</t>
        </is>
      </c>
      <c r="F1161" s="15">
        <v>1</v>
      </c>
      <c r="G1161" s="15" t="inlineStr">
        <is>
          <t xml:space="preserve">v0.9</t>
        </is>
      </c>
      <c r="H1161" s="15" t="inlineStr">
        <is>
          <t xml:space="preserve">Bible_Journey_Canon_Map_v0_9_General_Letters_Revelation.xlsx</t>
        </is>
      </c>
      <c r="I1161" s="15" t="inlineStr">
        <is>
          <t xml:space="preserve">Canon Coverage</t>
        </is>
      </c>
      <c r="J1161" s="15" t="inlineStr">
        <is>
          <t xml:space="preserve">CRS-GEN-010</t>
        </is>
      </c>
      <c r="K1161" s="15" t="inlineStr">
        <is>
          <t xml:space="preserve">BLK-010</t>
        </is>
      </c>
      <c r="L1161" s="10" t="inlineStr">
        <is>
          <t xml:space="preserve">Mapped once</t>
        </is>
      </c>
      <c r="M1161" s="15"/>
      <c r="N1161" s="15" t="inlineStr">
        <is>
          <t xml:space="preserve">S07; S08</t>
        </is>
      </c>
      <c r="O1161" s="15">
        <v>1</v>
      </c>
      <c r="P1161" s="10" t="str">
        <f>IF(L1161="MISSING","MISSING",IF(O1161=1,"PASS","DUPLICATE"))</f>
        <v>PASS</v>
      </c>
    </row>
    <row r="1162" ht="22" customHeight="1">
      <c r="A1162" s="15" t="inlineStr">
        <is>
          <t xml:space="preserve">2 Peter 2</t>
        </is>
      </c>
      <c r="B1162" s="15">
        <v>1158</v>
      </c>
      <c r="C1162" s="15" t="inlineStr">
        <is>
          <t xml:space="preserve">New Testament</t>
        </is>
      </c>
      <c r="D1162" s="15">
        <v>61</v>
      </c>
      <c r="E1162" s="15" t="inlineStr">
        <is>
          <t xml:space="preserve">2 Peter</t>
        </is>
      </c>
      <c r="F1162" s="15">
        <v>2</v>
      </c>
      <c r="G1162" s="15" t="inlineStr">
        <is>
          <t xml:space="preserve">v0.9</t>
        </is>
      </c>
      <c r="H1162" s="15" t="inlineStr">
        <is>
          <t xml:space="preserve">Bible_Journey_Canon_Map_v0_9_General_Letters_Revelation.xlsx</t>
        </is>
      </c>
      <c r="I1162" s="15" t="inlineStr">
        <is>
          <t xml:space="preserve">Canon Coverage</t>
        </is>
      </c>
      <c r="J1162" s="15" t="inlineStr">
        <is>
          <t xml:space="preserve">CRS-GEN-010</t>
        </is>
      </c>
      <c r="K1162" s="15" t="inlineStr">
        <is>
          <t xml:space="preserve">BLK-010</t>
        </is>
      </c>
      <c r="L1162" s="10" t="inlineStr">
        <is>
          <t xml:space="preserve">Mapped once</t>
        </is>
      </c>
      <c r="M1162" s="15"/>
      <c r="N1162" s="15" t="inlineStr">
        <is>
          <t xml:space="preserve">S07; S08</t>
        </is>
      </c>
      <c r="O1162" s="15">
        <v>1</v>
      </c>
      <c r="P1162" s="10" t="str">
        <f>IF(L1162="MISSING","MISSING",IF(O1162=1,"PASS","DUPLICATE"))</f>
        <v>PASS</v>
      </c>
    </row>
    <row r="1163" ht="22" customHeight="1">
      <c r="A1163" s="15" t="inlineStr">
        <is>
          <t xml:space="preserve">2 Peter 3</t>
        </is>
      </c>
      <c r="B1163" s="15">
        <v>1159</v>
      </c>
      <c r="C1163" s="15" t="inlineStr">
        <is>
          <t xml:space="preserve">New Testament</t>
        </is>
      </c>
      <c r="D1163" s="15">
        <v>61</v>
      </c>
      <c r="E1163" s="15" t="inlineStr">
        <is>
          <t xml:space="preserve">2 Peter</t>
        </is>
      </c>
      <c r="F1163" s="15">
        <v>3</v>
      </c>
      <c r="G1163" s="15" t="inlineStr">
        <is>
          <t xml:space="preserve">v0.9</t>
        </is>
      </c>
      <c r="H1163" s="15" t="inlineStr">
        <is>
          <t xml:space="preserve">Bible_Journey_Canon_Map_v0_9_General_Letters_Revelation.xlsx</t>
        </is>
      </c>
      <c r="I1163" s="15" t="inlineStr">
        <is>
          <t xml:space="preserve">Canon Coverage</t>
        </is>
      </c>
      <c r="J1163" s="15" t="inlineStr">
        <is>
          <t xml:space="preserve">CRS-GEN-010</t>
        </is>
      </c>
      <c r="K1163" s="15" t="inlineStr">
        <is>
          <t xml:space="preserve">BLK-010</t>
        </is>
      </c>
      <c r="L1163" s="10" t="inlineStr">
        <is>
          <t xml:space="preserve">Mapped once</t>
        </is>
      </c>
      <c r="M1163" s="15"/>
      <c r="N1163" s="15" t="inlineStr">
        <is>
          <t xml:space="preserve">S07; S08</t>
        </is>
      </c>
      <c r="O1163" s="15">
        <v>1</v>
      </c>
      <c r="P1163" s="10" t="str">
        <f>IF(L1163="MISSING","MISSING",IF(O1163=1,"PASS","DUPLICATE"))</f>
        <v>PASS</v>
      </c>
    </row>
    <row r="1164" ht="22" customHeight="1">
      <c r="A1164" s="15" t="inlineStr">
        <is>
          <t xml:space="preserve">1 John 1</t>
        </is>
      </c>
      <c r="B1164" s="15">
        <v>1160</v>
      </c>
      <c r="C1164" s="15" t="inlineStr">
        <is>
          <t xml:space="preserve">New Testament</t>
        </is>
      </c>
      <c r="D1164" s="15">
        <v>62</v>
      </c>
      <c r="E1164" s="15" t="inlineStr">
        <is>
          <t xml:space="preserve">1 John</t>
        </is>
      </c>
      <c r="F1164" s="15">
        <v>1</v>
      </c>
      <c r="G1164" s="15" t="inlineStr">
        <is>
          <t xml:space="preserve">v0.9</t>
        </is>
      </c>
      <c r="H1164" s="15" t="inlineStr">
        <is>
          <t xml:space="preserve">Bible_Journey_Canon_Map_v0_9_General_Letters_Revelation.xlsx</t>
        </is>
      </c>
      <c r="I1164" s="15" t="inlineStr">
        <is>
          <t xml:space="preserve">Canon Coverage</t>
        </is>
      </c>
      <c r="J1164" s="15" t="inlineStr">
        <is>
          <t xml:space="preserve">CRS-GEN-011</t>
        </is>
      </c>
      <c r="K1164" s="15" t="inlineStr">
        <is>
          <t xml:space="preserve">BLK-011</t>
        </is>
      </c>
      <c r="L1164" s="10" t="inlineStr">
        <is>
          <t xml:space="preserve">Mapped once</t>
        </is>
      </c>
      <c r="M1164" s="15"/>
      <c r="N1164" s="15" t="inlineStr">
        <is>
          <t xml:space="preserve">S09; S10</t>
        </is>
      </c>
      <c r="O1164" s="15">
        <v>1</v>
      </c>
      <c r="P1164" s="10" t="str">
        <f>IF(L1164="MISSING","MISSING",IF(O1164=1,"PASS","DUPLICATE"))</f>
        <v>PASS</v>
      </c>
    </row>
    <row r="1165" ht="22" customHeight="1">
      <c r="A1165" s="15" t="inlineStr">
        <is>
          <t xml:space="preserve">1 John 2</t>
        </is>
      </c>
      <c r="B1165" s="15">
        <v>1161</v>
      </c>
      <c r="C1165" s="15" t="inlineStr">
        <is>
          <t xml:space="preserve">New Testament</t>
        </is>
      </c>
      <c r="D1165" s="15">
        <v>62</v>
      </c>
      <c r="E1165" s="15" t="inlineStr">
        <is>
          <t xml:space="preserve">1 John</t>
        </is>
      </c>
      <c r="F1165" s="15">
        <v>2</v>
      </c>
      <c r="G1165" s="15" t="inlineStr">
        <is>
          <t xml:space="preserve">v0.9</t>
        </is>
      </c>
      <c r="H1165" s="15" t="inlineStr">
        <is>
          <t xml:space="preserve">Bible_Journey_Canon_Map_v0_9_General_Letters_Revelation.xlsx</t>
        </is>
      </c>
      <c r="I1165" s="15" t="inlineStr">
        <is>
          <t xml:space="preserve">Canon Coverage</t>
        </is>
      </c>
      <c r="J1165" s="15" t="inlineStr">
        <is>
          <t xml:space="preserve">CRS-GEN-011</t>
        </is>
      </c>
      <c r="K1165" s="15" t="inlineStr">
        <is>
          <t xml:space="preserve">BLK-011</t>
        </is>
      </c>
      <c r="L1165" s="10" t="inlineStr">
        <is>
          <t xml:space="preserve">Mapped once</t>
        </is>
      </c>
      <c r="M1165" s="15"/>
      <c r="N1165" s="15" t="inlineStr">
        <is>
          <t xml:space="preserve">S09; S10</t>
        </is>
      </c>
      <c r="O1165" s="15">
        <v>1</v>
      </c>
      <c r="P1165" s="10" t="str">
        <f>IF(L1165="MISSING","MISSING",IF(O1165=1,"PASS","DUPLICATE"))</f>
        <v>PASS</v>
      </c>
    </row>
    <row r="1166" ht="22" customHeight="1">
      <c r="A1166" s="15" t="inlineStr">
        <is>
          <t xml:space="preserve">1 John 3</t>
        </is>
      </c>
      <c r="B1166" s="15">
        <v>1162</v>
      </c>
      <c r="C1166" s="15" t="inlineStr">
        <is>
          <t xml:space="preserve">New Testament</t>
        </is>
      </c>
      <c r="D1166" s="15">
        <v>62</v>
      </c>
      <c r="E1166" s="15" t="inlineStr">
        <is>
          <t xml:space="preserve">1 John</t>
        </is>
      </c>
      <c r="F1166" s="15">
        <v>3</v>
      </c>
      <c r="G1166" s="15" t="inlineStr">
        <is>
          <t xml:space="preserve">v0.9</t>
        </is>
      </c>
      <c r="H1166" s="15" t="inlineStr">
        <is>
          <t xml:space="preserve">Bible_Journey_Canon_Map_v0_9_General_Letters_Revelation.xlsx</t>
        </is>
      </c>
      <c r="I1166" s="15" t="inlineStr">
        <is>
          <t xml:space="preserve">Canon Coverage</t>
        </is>
      </c>
      <c r="J1166" s="15" t="inlineStr">
        <is>
          <t xml:space="preserve">CRS-GEN-012</t>
        </is>
      </c>
      <c r="K1166" s="15" t="inlineStr">
        <is>
          <t xml:space="preserve">BLK-012</t>
        </is>
      </c>
      <c r="L1166" s="10" t="inlineStr">
        <is>
          <t xml:space="preserve">Mapped once</t>
        </is>
      </c>
      <c r="M1166" s="15"/>
      <c r="N1166" s="15" t="inlineStr">
        <is>
          <t xml:space="preserve">S09; S10</t>
        </is>
      </c>
      <c r="O1166" s="15">
        <v>1</v>
      </c>
      <c r="P1166" s="10" t="str">
        <f>IF(L1166="MISSING","MISSING",IF(O1166=1,"PASS","DUPLICATE"))</f>
        <v>PASS</v>
      </c>
    </row>
    <row r="1167" ht="22" customHeight="1">
      <c r="A1167" s="15" t="inlineStr">
        <is>
          <t xml:space="preserve">1 John 4</t>
        </is>
      </c>
      <c r="B1167" s="15">
        <v>1163</v>
      </c>
      <c r="C1167" s="15" t="inlineStr">
        <is>
          <t xml:space="preserve">New Testament</t>
        </is>
      </c>
      <c r="D1167" s="15">
        <v>62</v>
      </c>
      <c r="E1167" s="15" t="inlineStr">
        <is>
          <t xml:space="preserve">1 John</t>
        </is>
      </c>
      <c r="F1167" s="15">
        <v>4</v>
      </c>
      <c r="G1167" s="15" t="inlineStr">
        <is>
          <t xml:space="preserve">v0.9</t>
        </is>
      </c>
      <c r="H1167" s="15" t="inlineStr">
        <is>
          <t xml:space="preserve">Bible_Journey_Canon_Map_v0_9_General_Letters_Revelation.xlsx</t>
        </is>
      </c>
      <c r="I1167" s="15" t="inlineStr">
        <is>
          <t xml:space="preserve">Canon Coverage</t>
        </is>
      </c>
      <c r="J1167" s="15" t="inlineStr">
        <is>
          <t xml:space="preserve">CRS-GEN-012</t>
        </is>
      </c>
      <c r="K1167" s="15" t="inlineStr">
        <is>
          <t xml:space="preserve">BLK-012</t>
        </is>
      </c>
      <c r="L1167" s="10" t="inlineStr">
        <is>
          <t xml:space="preserve">Mapped once</t>
        </is>
      </c>
      <c r="M1167" s="15"/>
      <c r="N1167" s="15" t="inlineStr">
        <is>
          <t xml:space="preserve">S09; S10</t>
        </is>
      </c>
      <c r="O1167" s="15">
        <v>1</v>
      </c>
      <c r="P1167" s="10" t="str">
        <f>IF(L1167="MISSING","MISSING",IF(O1167=1,"PASS","DUPLICATE"))</f>
        <v>PASS</v>
      </c>
    </row>
    <row r="1168" ht="22" customHeight="1">
      <c r="A1168" s="15" t="inlineStr">
        <is>
          <t xml:space="preserve">1 John 5</t>
        </is>
      </c>
      <c r="B1168" s="15">
        <v>1164</v>
      </c>
      <c r="C1168" s="15" t="inlineStr">
        <is>
          <t xml:space="preserve">New Testament</t>
        </is>
      </c>
      <c r="D1168" s="15">
        <v>62</v>
      </c>
      <c r="E1168" s="15" t="inlineStr">
        <is>
          <t xml:space="preserve">1 John</t>
        </is>
      </c>
      <c r="F1168" s="15">
        <v>5</v>
      </c>
      <c r="G1168" s="15" t="inlineStr">
        <is>
          <t xml:space="preserve">v0.9</t>
        </is>
      </c>
      <c r="H1168" s="15" t="inlineStr">
        <is>
          <t xml:space="preserve">Bible_Journey_Canon_Map_v0_9_General_Letters_Revelation.xlsx</t>
        </is>
      </c>
      <c r="I1168" s="15" t="inlineStr">
        <is>
          <t xml:space="preserve">Canon Coverage</t>
        </is>
      </c>
      <c r="J1168" s="15" t="inlineStr">
        <is>
          <t xml:space="preserve">CRS-GEN-012</t>
        </is>
      </c>
      <c r="K1168" s="15" t="inlineStr">
        <is>
          <t xml:space="preserve">BLK-012</t>
        </is>
      </c>
      <c r="L1168" s="10" t="inlineStr">
        <is>
          <t xml:space="preserve">Mapped once</t>
        </is>
      </c>
      <c r="M1168" s="15"/>
      <c r="N1168" s="15" t="inlineStr">
        <is>
          <t xml:space="preserve">S09; S10</t>
        </is>
      </c>
      <c r="O1168" s="15">
        <v>1</v>
      </c>
      <c r="P1168" s="10" t="str">
        <f>IF(L1168="MISSING","MISSING",IF(O1168=1,"PASS","DUPLICATE"))</f>
        <v>PASS</v>
      </c>
    </row>
    <row r="1169" ht="22" customHeight="1">
      <c r="A1169" s="15" t="inlineStr">
        <is>
          <t xml:space="preserve">2 John 1</t>
        </is>
      </c>
      <c r="B1169" s="15">
        <v>1165</v>
      </c>
      <c r="C1169" s="15" t="inlineStr">
        <is>
          <t xml:space="preserve">New Testament</t>
        </is>
      </c>
      <c r="D1169" s="15">
        <v>63</v>
      </c>
      <c r="E1169" s="15" t="inlineStr">
        <is>
          <t xml:space="preserve">2 John</t>
        </is>
      </c>
      <c r="F1169" s="15">
        <v>1</v>
      </c>
      <c r="G1169" s="15" t="inlineStr">
        <is>
          <t xml:space="preserve">v0.9</t>
        </is>
      </c>
      <c r="H1169" s="15" t="inlineStr">
        <is>
          <t xml:space="preserve">Bible_Journey_Canon_Map_v0_9_General_Letters_Revelation.xlsx</t>
        </is>
      </c>
      <c r="I1169" s="15" t="inlineStr">
        <is>
          <t xml:space="preserve">Canon Coverage</t>
        </is>
      </c>
      <c r="J1169" s="15" t="inlineStr">
        <is>
          <t xml:space="preserve">CRS-GEN-013</t>
        </is>
      </c>
      <c r="K1169" s="15" t="inlineStr">
        <is>
          <t xml:space="preserve">BLK-013</t>
        </is>
      </c>
      <c r="L1169" s="10" t="inlineStr">
        <is>
          <t xml:space="preserve">Mapped once</t>
        </is>
      </c>
      <c r="M1169" s="15"/>
      <c r="N1169" s="15" t="inlineStr">
        <is>
          <t xml:space="preserve">S09; S10</t>
        </is>
      </c>
      <c r="O1169" s="15">
        <v>1</v>
      </c>
      <c r="P1169" s="10" t="str">
        <f>IF(L1169="MISSING","MISSING",IF(O1169=1,"PASS","DUPLICATE"))</f>
        <v>PASS</v>
      </c>
    </row>
    <row r="1170" ht="22" customHeight="1">
      <c r="A1170" s="15" t="inlineStr">
        <is>
          <t xml:space="preserve">3 John 1</t>
        </is>
      </c>
      <c r="B1170" s="15">
        <v>1166</v>
      </c>
      <c r="C1170" s="15" t="inlineStr">
        <is>
          <t xml:space="preserve">New Testament</t>
        </is>
      </c>
      <c r="D1170" s="15">
        <v>64</v>
      </c>
      <c r="E1170" s="15" t="inlineStr">
        <is>
          <t xml:space="preserve">3 John</t>
        </is>
      </c>
      <c r="F1170" s="15">
        <v>1</v>
      </c>
      <c r="G1170" s="15" t="inlineStr">
        <is>
          <t xml:space="preserve">v0.9</t>
        </is>
      </c>
      <c r="H1170" s="15" t="inlineStr">
        <is>
          <t xml:space="preserve">Bible_Journey_Canon_Map_v0_9_General_Letters_Revelation.xlsx</t>
        </is>
      </c>
      <c r="I1170" s="15" t="inlineStr">
        <is>
          <t xml:space="preserve">Canon Coverage</t>
        </is>
      </c>
      <c r="J1170" s="15" t="inlineStr">
        <is>
          <t xml:space="preserve">CRS-GEN-014</t>
        </is>
      </c>
      <c r="K1170" s="15" t="inlineStr">
        <is>
          <t xml:space="preserve">BLK-014</t>
        </is>
      </c>
      <c r="L1170" s="10" t="inlineStr">
        <is>
          <t xml:space="preserve">Mapped once</t>
        </is>
      </c>
      <c r="M1170" s="15"/>
      <c r="N1170" s="15" t="inlineStr">
        <is>
          <t xml:space="preserve">S09; S10</t>
        </is>
      </c>
      <c r="O1170" s="15">
        <v>1</v>
      </c>
      <c r="P1170" s="10" t="str">
        <f>IF(L1170="MISSING","MISSING",IF(O1170=1,"PASS","DUPLICATE"))</f>
        <v>PASS</v>
      </c>
    </row>
    <row r="1171" ht="22" customHeight="1">
      <c r="A1171" s="15" t="inlineStr">
        <is>
          <t xml:space="preserve">Jude 1</t>
        </is>
      </c>
      <c r="B1171" s="15">
        <v>1167</v>
      </c>
      <c r="C1171" s="15" t="inlineStr">
        <is>
          <t xml:space="preserve">New Testament</t>
        </is>
      </c>
      <c r="D1171" s="15">
        <v>65</v>
      </c>
      <c r="E1171" s="15" t="inlineStr">
        <is>
          <t xml:space="preserve">Jude</t>
        </is>
      </c>
      <c r="F1171" s="15">
        <v>1</v>
      </c>
      <c r="G1171" s="15" t="inlineStr">
        <is>
          <t xml:space="preserve">v0.9</t>
        </is>
      </c>
      <c r="H1171" s="15" t="inlineStr">
        <is>
          <t xml:space="preserve">Bible_Journey_Canon_Map_v0_9_General_Letters_Revelation.xlsx</t>
        </is>
      </c>
      <c r="I1171" s="15" t="inlineStr">
        <is>
          <t xml:space="preserve">Canon Coverage</t>
        </is>
      </c>
      <c r="J1171" s="15" t="inlineStr">
        <is>
          <t xml:space="preserve">CRS-GEN-015</t>
        </is>
      </c>
      <c r="K1171" s="15" t="inlineStr">
        <is>
          <t xml:space="preserve">BLK-015</t>
        </is>
      </c>
      <c r="L1171" s="10" t="inlineStr">
        <is>
          <t xml:space="preserve">Mapped once</t>
        </is>
      </c>
      <c r="M1171" s="15"/>
      <c r="N1171" s="15" t="inlineStr">
        <is>
          <t xml:space="preserve">S08; S11</t>
        </is>
      </c>
      <c r="O1171" s="15">
        <v>1</v>
      </c>
      <c r="P1171" s="10" t="str">
        <f>IF(L1171="MISSING","MISSING",IF(O1171=1,"PASS","DUPLICATE"))</f>
        <v>PASS</v>
      </c>
    </row>
    <row r="1172" ht="22" customHeight="1">
      <c r="A1172" s="15" t="inlineStr">
        <is>
          <t xml:space="preserve">Revelation 1</t>
        </is>
      </c>
      <c r="B1172" s="15">
        <v>1168</v>
      </c>
      <c r="C1172" s="15" t="inlineStr">
        <is>
          <t xml:space="preserve">New Testament</t>
        </is>
      </c>
      <c r="D1172" s="15">
        <v>66</v>
      </c>
      <c r="E1172" s="15" t="inlineStr">
        <is>
          <t xml:space="preserve">Revelation</t>
        </is>
      </c>
      <c r="F1172" s="15">
        <v>1</v>
      </c>
      <c r="G1172" s="15" t="inlineStr">
        <is>
          <t xml:space="preserve">v0.9</t>
        </is>
      </c>
      <c r="H1172" s="15" t="inlineStr">
        <is>
          <t xml:space="preserve">Bible_Journey_Canon_Map_v0_9_General_Letters_Revelation.xlsx</t>
        </is>
      </c>
      <c r="I1172" s="15" t="inlineStr">
        <is>
          <t xml:space="preserve">Canon Coverage</t>
        </is>
      </c>
      <c r="J1172" s="15" t="inlineStr">
        <is>
          <t xml:space="preserve">CRS-REV-001</t>
        </is>
      </c>
      <c r="K1172" s="15" t="inlineStr">
        <is>
          <t xml:space="preserve">BLK-016</t>
        </is>
      </c>
      <c r="L1172" s="10" t="inlineStr">
        <is>
          <t xml:space="preserve">Mapped once</t>
        </is>
      </c>
      <c r="M1172" s="15"/>
      <c r="N1172" s="15" t="inlineStr">
        <is>
          <t xml:space="preserve">S12; S13</t>
        </is>
      </c>
      <c r="O1172" s="15">
        <v>1</v>
      </c>
      <c r="P1172" s="10" t="str">
        <f>IF(L1172="MISSING","MISSING",IF(O1172=1,"PASS","DUPLICATE"))</f>
        <v>PASS</v>
      </c>
    </row>
    <row r="1173" ht="22" customHeight="1">
      <c r="A1173" s="15" t="inlineStr">
        <is>
          <t xml:space="preserve">Revelation 2</t>
        </is>
      </c>
      <c r="B1173" s="15">
        <v>1169</v>
      </c>
      <c r="C1173" s="15" t="inlineStr">
        <is>
          <t xml:space="preserve">New Testament</t>
        </is>
      </c>
      <c r="D1173" s="15">
        <v>66</v>
      </c>
      <c r="E1173" s="15" t="inlineStr">
        <is>
          <t xml:space="preserve">Revelation</t>
        </is>
      </c>
      <c r="F1173" s="15">
        <v>2</v>
      </c>
      <c r="G1173" s="15" t="inlineStr">
        <is>
          <t xml:space="preserve">v0.9</t>
        </is>
      </c>
      <c r="H1173" s="15" t="inlineStr">
        <is>
          <t xml:space="preserve">Bible_Journey_Canon_Map_v0_9_General_Letters_Revelation.xlsx</t>
        </is>
      </c>
      <c r="I1173" s="15" t="inlineStr">
        <is>
          <t xml:space="preserve">Canon Coverage</t>
        </is>
      </c>
      <c r="J1173" s="15" t="inlineStr">
        <is>
          <t xml:space="preserve">CRS-REV-002</t>
        </is>
      </c>
      <c r="K1173" s="15" t="inlineStr">
        <is>
          <t xml:space="preserve">BLK-017</t>
        </is>
      </c>
      <c r="L1173" s="10" t="inlineStr">
        <is>
          <t xml:space="preserve">Mapped once</t>
        </is>
      </c>
      <c r="M1173" s="15"/>
      <c r="N1173" s="15" t="inlineStr">
        <is>
          <t xml:space="preserve">S13; S14</t>
        </is>
      </c>
      <c r="O1173" s="15">
        <v>1</v>
      </c>
      <c r="P1173" s="10" t="str">
        <f>IF(L1173="MISSING","MISSING",IF(O1173=1,"PASS","DUPLICATE"))</f>
        <v>PASS</v>
      </c>
    </row>
    <row r="1174" ht="22" customHeight="1">
      <c r="A1174" s="15" t="inlineStr">
        <is>
          <t xml:space="preserve">Revelation 3</t>
        </is>
      </c>
      <c r="B1174" s="15">
        <v>1170</v>
      </c>
      <c r="C1174" s="15" t="inlineStr">
        <is>
          <t xml:space="preserve">New Testament</t>
        </is>
      </c>
      <c r="D1174" s="15">
        <v>66</v>
      </c>
      <c r="E1174" s="15" t="inlineStr">
        <is>
          <t xml:space="preserve">Revelation</t>
        </is>
      </c>
      <c r="F1174" s="15">
        <v>3</v>
      </c>
      <c r="G1174" s="15" t="inlineStr">
        <is>
          <t xml:space="preserve">v0.9</t>
        </is>
      </c>
      <c r="H1174" s="15" t="inlineStr">
        <is>
          <t xml:space="preserve">Bible_Journey_Canon_Map_v0_9_General_Letters_Revelation.xlsx</t>
        </is>
      </c>
      <c r="I1174" s="15" t="inlineStr">
        <is>
          <t xml:space="preserve">Canon Coverage</t>
        </is>
      </c>
      <c r="J1174" s="15" t="inlineStr">
        <is>
          <t xml:space="preserve">CRS-REV-002</t>
        </is>
      </c>
      <c r="K1174" s="15" t="inlineStr">
        <is>
          <t xml:space="preserve">BLK-017</t>
        </is>
      </c>
      <c r="L1174" s="10" t="inlineStr">
        <is>
          <t xml:space="preserve">Mapped once</t>
        </is>
      </c>
      <c r="M1174" s="15"/>
      <c r="N1174" s="15" t="inlineStr">
        <is>
          <t xml:space="preserve">S13; S14</t>
        </is>
      </c>
      <c r="O1174" s="15">
        <v>1</v>
      </c>
      <c r="P1174" s="10" t="str">
        <f>IF(L1174="MISSING","MISSING",IF(O1174=1,"PASS","DUPLICATE"))</f>
        <v>PASS</v>
      </c>
    </row>
    <row r="1175" ht="22" customHeight="1">
      <c r="A1175" s="15" t="inlineStr">
        <is>
          <t xml:space="preserve">Revelation 4</t>
        </is>
      </c>
      <c r="B1175" s="15">
        <v>1171</v>
      </c>
      <c r="C1175" s="15" t="inlineStr">
        <is>
          <t xml:space="preserve">New Testament</t>
        </is>
      </c>
      <c r="D1175" s="15">
        <v>66</v>
      </c>
      <c r="E1175" s="15" t="inlineStr">
        <is>
          <t xml:space="preserve">Revelation</t>
        </is>
      </c>
      <c r="F1175" s="15">
        <v>4</v>
      </c>
      <c r="G1175" s="15" t="inlineStr">
        <is>
          <t xml:space="preserve">v0.9</t>
        </is>
      </c>
      <c r="H1175" s="15" t="inlineStr">
        <is>
          <t xml:space="preserve">Bible_Journey_Canon_Map_v0_9_General_Letters_Revelation.xlsx</t>
        </is>
      </c>
      <c r="I1175" s="15" t="inlineStr">
        <is>
          <t xml:space="preserve">Canon Coverage</t>
        </is>
      </c>
      <c r="J1175" s="15" t="inlineStr">
        <is>
          <t xml:space="preserve">CRS-REV-003</t>
        </is>
      </c>
      <c r="K1175" s="15" t="inlineStr">
        <is>
          <t xml:space="preserve">BLK-018</t>
        </is>
      </c>
      <c r="L1175" s="10" t="inlineStr">
        <is>
          <t xml:space="preserve">Mapped once</t>
        </is>
      </c>
      <c r="M1175" s="15"/>
      <c r="N1175" s="15" t="inlineStr">
        <is>
          <t xml:space="preserve">S12; S13</t>
        </is>
      </c>
      <c r="O1175" s="15">
        <v>1</v>
      </c>
      <c r="P1175" s="10" t="str">
        <f>IF(L1175="MISSING","MISSING",IF(O1175=1,"PASS","DUPLICATE"))</f>
        <v>PASS</v>
      </c>
    </row>
    <row r="1176" ht="22" customHeight="1">
      <c r="A1176" s="15" t="inlineStr">
        <is>
          <t xml:space="preserve">Revelation 5</t>
        </is>
      </c>
      <c r="B1176" s="15">
        <v>1172</v>
      </c>
      <c r="C1176" s="15" t="inlineStr">
        <is>
          <t xml:space="preserve">New Testament</t>
        </is>
      </c>
      <c r="D1176" s="15">
        <v>66</v>
      </c>
      <c r="E1176" s="15" t="inlineStr">
        <is>
          <t xml:space="preserve">Revelation</t>
        </is>
      </c>
      <c r="F1176" s="15">
        <v>5</v>
      </c>
      <c r="G1176" s="15" t="inlineStr">
        <is>
          <t xml:space="preserve">v0.9</t>
        </is>
      </c>
      <c r="H1176" s="15" t="inlineStr">
        <is>
          <t xml:space="preserve">Bible_Journey_Canon_Map_v0_9_General_Letters_Revelation.xlsx</t>
        </is>
      </c>
      <c r="I1176" s="15" t="inlineStr">
        <is>
          <t xml:space="preserve">Canon Coverage</t>
        </is>
      </c>
      <c r="J1176" s="15" t="inlineStr">
        <is>
          <t xml:space="preserve">CRS-REV-003</t>
        </is>
      </c>
      <c r="K1176" s="15" t="inlineStr">
        <is>
          <t xml:space="preserve">BLK-018</t>
        </is>
      </c>
      <c r="L1176" s="10" t="inlineStr">
        <is>
          <t xml:space="preserve">Mapped once</t>
        </is>
      </c>
      <c r="M1176" s="15"/>
      <c r="N1176" s="15" t="inlineStr">
        <is>
          <t xml:space="preserve">S12; S13</t>
        </is>
      </c>
      <c r="O1176" s="15">
        <v>1</v>
      </c>
      <c r="P1176" s="10" t="str">
        <f>IF(L1176="MISSING","MISSING",IF(O1176=1,"PASS","DUPLICATE"))</f>
        <v>PASS</v>
      </c>
    </row>
    <row r="1177" ht="22" customHeight="1">
      <c r="A1177" s="15" t="inlineStr">
        <is>
          <t xml:space="preserve">Revelation 6</t>
        </is>
      </c>
      <c r="B1177" s="15">
        <v>1173</v>
      </c>
      <c r="C1177" s="15" t="inlineStr">
        <is>
          <t xml:space="preserve">New Testament</t>
        </is>
      </c>
      <c r="D1177" s="15">
        <v>66</v>
      </c>
      <c r="E1177" s="15" t="inlineStr">
        <is>
          <t xml:space="preserve">Revelation</t>
        </is>
      </c>
      <c r="F1177" s="15">
        <v>6</v>
      </c>
      <c r="G1177" s="15" t="inlineStr">
        <is>
          <t xml:space="preserve">v0.9</t>
        </is>
      </c>
      <c r="H1177" s="15" t="inlineStr">
        <is>
          <t xml:space="preserve">Bible_Journey_Canon_Map_v0_9_General_Letters_Revelation.xlsx</t>
        </is>
      </c>
      <c r="I1177" s="15" t="inlineStr">
        <is>
          <t xml:space="preserve">Canon Coverage</t>
        </is>
      </c>
      <c r="J1177" s="15" t="inlineStr">
        <is>
          <t xml:space="preserve">CRS-REV-004</t>
        </is>
      </c>
      <c r="K1177" s="15" t="inlineStr">
        <is>
          <t xml:space="preserve">BLK-019</t>
        </is>
      </c>
      <c r="L1177" s="10" t="inlineStr">
        <is>
          <t xml:space="preserve">Mapped once</t>
        </is>
      </c>
      <c r="M1177" s="15"/>
      <c r="N1177" s="15" t="inlineStr">
        <is>
          <t xml:space="preserve">S12; S15</t>
        </is>
      </c>
      <c r="O1177" s="15">
        <v>1</v>
      </c>
      <c r="P1177" s="10" t="str">
        <f>IF(L1177="MISSING","MISSING",IF(O1177=1,"PASS","DUPLICATE"))</f>
        <v>PASS</v>
      </c>
    </row>
    <row r="1178" ht="22" customHeight="1">
      <c r="A1178" s="15" t="inlineStr">
        <is>
          <t xml:space="preserve">Revelation 7</t>
        </is>
      </c>
      <c r="B1178" s="15">
        <v>1174</v>
      </c>
      <c r="C1178" s="15" t="inlineStr">
        <is>
          <t xml:space="preserve">New Testament</t>
        </is>
      </c>
      <c r="D1178" s="15">
        <v>66</v>
      </c>
      <c r="E1178" s="15" t="inlineStr">
        <is>
          <t xml:space="preserve">Revelation</t>
        </is>
      </c>
      <c r="F1178" s="15">
        <v>7</v>
      </c>
      <c r="G1178" s="15" t="inlineStr">
        <is>
          <t xml:space="preserve">v0.9</t>
        </is>
      </c>
      <c r="H1178" s="15" t="inlineStr">
        <is>
          <t xml:space="preserve">Bible_Journey_Canon_Map_v0_9_General_Letters_Revelation.xlsx</t>
        </is>
      </c>
      <c r="I1178" s="15" t="inlineStr">
        <is>
          <t xml:space="preserve">Canon Coverage</t>
        </is>
      </c>
      <c r="J1178" s="15" t="inlineStr">
        <is>
          <t xml:space="preserve">CRS-REV-004</t>
        </is>
      </c>
      <c r="K1178" s="15" t="inlineStr">
        <is>
          <t xml:space="preserve">BLK-019</t>
        </is>
      </c>
      <c r="L1178" s="10" t="inlineStr">
        <is>
          <t xml:space="preserve">Mapped once</t>
        </is>
      </c>
      <c r="M1178" s="15"/>
      <c r="N1178" s="15" t="inlineStr">
        <is>
          <t xml:space="preserve">S12; S15</t>
        </is>
      </c>
      <c r="O1178" s="15">
        <v>1</v>
      </c>
      <c r="P1178" s="10" t="str">
        <f>IF(L1178="MISSING","MISSING",IF(O1178=1,"PASS","DUPLICATE"))</f>
        <v>PASS</v>
      </c>
    </row>
    <row r="1179" ht="22" customHeight="1">
      <c r="A1179" s="15" t="inlineStr">
        <is>
          <t xml:space="preserve">Revelation 8</t>
        </is>
      </c>
      <c r="B1179" s="15">
        <v>1175</v>
      </c>
      <c r="C1179" s="15" t="inlineStr">
        <is>
          <t xml:space="preserve">New Testament</t>
        </is>
      </c>
      <c r="D1179" s="15">
        <v>66</v>
      </c>
      <c r="E1179" s="15" t="inlineStr">
        <is>
          <t xml:space="preserve">Revelation</t>
        </is>
      </c>
      <c r="F1179" s="15">
        <v>8</v>
      </c>
      <c r="G1179" s="15" t="inlineStr">
        <is>
          <t xml:space="preserve">v0.9</t>
        </is>
      </c>
      <c r="H1179" s="15" t="inlineStr">
        <is>
          <t xml:space="preserve">Bible_Journey_Canon_Map_v0_9_General_Letters_Revelation.xlsx</t>
        </is>
      </c>
      <c r="I1179" s="15" t="inlineStr">
        <is>
          <t xml:space="preserve">Canon Coverage</t>
        </is>
      </c>
      <c r="J1179" s="15" t="inlineStr">
        <is>
          <t xml:space="preserve">CRS-REV-004</t>
        </is>
      </c>
      <c r="K1179" s="15" t="inlineStr">
        <is>
          <t xml:space="preserve">BLK-019</t>
        </is>
      </c>
      <c r="L1179" s="10" t="inlineStr">
        <is>
          <t xml:space="preserve">Mapped once</t>
        </is>
      </c>
      <c r="M1179" s="15"/>
      <c r="N1179" s="15" t="inlineStr">
        <is>
          <t xml:space="preserve">S12; S15</t>
        </is>
      </c>
      <c r="O1179" s="15">
        <v>1</v>
      </c>
      <c r="P1179" s="10" t="str">
        <f>IF(L1179="MISSING","MISSING",IF(O1179=1,"PASS","DUPLICATE"))</f>
        <v>PASS</v>
      </c>
    </row>
    <row r="1180" ht="22" customHeight="1">
      <c r="A1180" s="15" t="inlineStr">
        <is>
          <t xml:space="preserve">Revelation 9</t>
        </is>
      </c>
      <c r="B1180" s="15">
        <v>1176</v>
      </c>
      <c r="C1180" s="15" t="inlineStr">
        <is>
          <t xml:space="preserve">New Testament</t>
        </is>
      </c>
      <c r="D1180" s="15">
        <v>66</v>
      </c>
      <c r="E1180" s="15" t="inlineStr">
        <is>
          <t xml:space="preserve">Revelation</t>
        </is>
      </c>
      <c r="F1180" s="15">
        <v>9</v>
      </c>
      <c r="G1180" s="15" t="inlineStr">
        <is>
          <t xml:space="preserve">v0.9</t>
        </is>
      </c>
      <c r="H1180" s="15" t="inlineStr">
        <is>
          <t xml:space="preserve">Bible_Journey_Canon_Map_v0_9_General_Letters_Revelation.xlsx</t>
        </is>
      </c>
      <c r="I1180" s="15" t="inlineStr">
        <is>
          <t xml:space="preserve">Canon Coverage</t>
        </is>
      </c>
      <c r="J1180" s="15" t="inlineStr">
        <is>
          <t xml:space="preserve">CRS-REV-005</t>
        </is>
      </c>
      <c r="K1180" s="15" t="inlineStr">
        <is>
          <t xml:space="preserve">BLK-020</t>
        </is>
      </c>
      <c r="L1180" s="10" t="inlineStr">
        <is>
          <t xml:space="preserve">Mapped once</t>
        </is>
      </c>
      <c r="M1180" s="15"/>
      <c r="N1180" s="15" t="inlineStr">
        <is>
          <t xml:space="preserve">S12; S15</t>
        </is>
      </c>
      <c r="O1180" s="15">
        <v>1</v>
      </c>
      <c r="P1180" s="10" t="str">
        <f>IF(L1180="MISSING","MISSING",IF(O1180=1,"PASS","DUPLICATE"))</f>
        <v>PASS</v>
      </c>
    </row>
    <row r="1181" ht="22" customHeight="1">
      <c r="A1181" s="15" t="inlineStr">
        <is>
          <t xml:space="preserve">Revelation 10</t>
        </is>
      </c>
      <c r="B1181" s="15">
        <v>1177</v>
      </c>
      <c r="C1181" s="15" t="inlineStr">
        <is>
          <t xml:space="preserve">New Testament</t>
        </is>
      </c>
      <c r="D1181" s="15">
        <v>66</v>
      </c>
      <c r="E1181" s="15" t="inlineStr">
        <is>
          <t xml:space="preserve">Revelation</t>
        </is>
      </c>
      <c r="F1181" s="15">
        <v>10</v>
      </c>
      <c r="G1181" s="15" t="inlineStr">
        <is>
          <t xml:space="preserve">v0.9</t>
        </is>
      </c>
      <c r="H1181" s="15" t="inlineStr">
        <is>
          <t xml:space="preserve">Bible_Journey_Canon_Map_v0_9_General_Letters_Revelation.xlsx</t>
        </is>
      </c>
      <c r="I1181" s="15" t="inlineStr">
        <is>
          <t xml:space="preserve">Canon Coverage</t>
        </is>
      </c>
      <c r="J1181" s="15" t="inlineStr">
        <is>
          <t xml:space="preserve">CRS-REV-005</t>
        </is>
      </c>
      <c r="K1181" s="15" t="inlineStr">
        <is>
          <t xml:space="preserve">BLK-020</t>
        </is>
      </c>
      <c r="L1181" s="10" t="inlineStr">
        <is>
          <t xml:space="preserve">Mapped once</t>
        </is>
      </c>
      <c r="M1181" s="15"/>
      <c r="N1181" s="15" t="inlineStr">
        <is>
          <t xml:space="preserve">S12; S15</t>
        </is>
      </c>
      <c r="O1181" s="15">
        <v>1</v>
      </c>
      <c r="P1181" s="10" t="str">
        <f>IF(L1181="MISSING","MISSING",IF(O1181=1,"PASS","DUPLICATE"))</f>
        <v>PASS</v>
      </c>
    </row>
    <row r="1182" ht="22" customHeight="1">
      <c r="A1182" s="15" t="inlineStr">
        <is>
          <t xml:space="preserve">Revelation 11</t>
        </is>
      </c>
      <c r="B1182" s="15">
        <v>1178</v>
      </c>
      <c r="C1182" s="15" t="inlineStr">
        <is>
          <t xml:space="preserve">New Testament</t>
        </is>
      </c>
      <c r="D1182" s="15">
        <v>66</v>
      </c>
      <c r="E1182" s="15" t="inlineStr">
        <is>
          <t xml:space="preserve">Revelation</t>
        </is>
      </c>
      <c r="F1182" s="15">
        <v>11</v>
      </c>
      <c r="G1182" s="15" t="inlineStr">
        <is>
          <t xml:space="preserve">v0.9</t>
        </is>
      </c>
      <c r="H1182" s="15" t="inlineStr">
        <is>
          <t xml:space="preserve">Bible_Journey_Canon_Map_v0_9_General_Letters_Revelation.xlsx</t>
        </is>
      </c>
      <c r="I1182" s="15" t="inlineStr">
        <is>
          <t xml:space="preserve">Canon Coverage</t>
        </is>
      </c>
      <c r="J1182" s="15" t="inlineStr">
        <is>
          <t xml:space="preserve">CRS-REV-005</t>
        </is>
      </c>
      <c r="K1182" s="15" t="inlineStr">
        <is>
          <t xml:space="preserve">BLK-020</t>
        </is>
      </c>
      <c r="L1182" s="10" t="inlineStr">
        <is>
          <t xml:space="preserve">Mapped once</t>
        </is>
      </c>
      <c r="M1182" s="15"/>
      <c r="N1182" s="15" t="inlineStr">
        <is>
          <t xml:space="preserve">S12; S15</t>
        </is>
      </c>
      <c r="O1182" s="15">
        <v>1</v>
      </c>
      <c r="P1182" s="10" t="str">
        <f>IF(L1182="MISSING","MISSING",IF(O1182=1,"PASS","DUPLICATE"))</f>
        <v>PASS</v>
      </c>
    </row>
    <row r="1183" ht="22" customHeight="1">
      <c r="A1183" s="15" t="inlineStr">
        <is>
          <t xml:space="preserve">Revelation 12</t>
        </is>
      </c>
      <c r="B1183" s="15">
        <v>1179</v>
      </c>
      <c r="C1183" s="15" t="inlineStr">
        <is>
          <t xml:space="preserve">New Testament</t>
        </is>
      </c>
      <c r="D1183" s="15">
        <v>66</v>
      </c>
      <c r="E1183" s="15" t="inlineStr">
        <is>
          <t xml:space="preserve">Revelation</t>
        </is>
      </c>
      <c r="F1183" s="15">
        <v>12</v>
      </c>
      <c r="G1183" s="15" t="inlineStr">
        <is>
          <t xml:space="preserve">v0.9</t>
        </is>
      </c>
      <c r="H1183" s="15" t="inlineStr">
        <is>
          <t xml:space="preserve">Bible_Journey_Canon_Map_v0_9_General_Letters_Revelation.xlsx</t>
        </is>
      </c>
      <c r="I1183" s="15" t="inlineStr">
        <is>
          <t xml:space="preserve">Canon Coverage</t>
        </is>
      </c>
      <c r="J1183" s="15" t="inlineStr">
        <is>
          <t xml:space="preserve">CRS-REV-006</t>
        </is>
      </c>
      <c r="K1183" s="15" t="inlineStr">
        <is>
          <t xml:space="preserve">BLK-021</t>
        </is>
      </c>
      <c r="L1183" s="10" t="inlineStr">
        <is>
          <t xml:space="preserve">Mapped once</t>
        </is>
      </c>
      <c r="M1183" s="15"/>
      <c r="N1183" s="15" t="inlineStr">
        <is>
          <t xml:space="preserve">S12; S15</t>
        </is>
      </c>
      <c r="O1183" s="15">
        <v>1</v>
      </c>
      <c r="P1183" s="10" t="str">
        <f>IF(L1183="MISSING","MISSING",IF(O1183=1,"PASS","DUPLICATE"))</f>
        <v>PASS</v>
      </c>
    </row>
    <row r="1184" ht="22" customHeight="1">
      <c r="A1184" s="15" t="inlineStr">
        <is>
          <t xml:space="preserve">Revelation 13</t>
        </is>
      </c>
      <c r="B1184" s="15">
        <v>1180</v>
      </c>
      <c r="C1184" s="15" t="inlineStr">
        <is>
          <t xml:space="preserve">New Testament</t>
        </is>
      </c>
      <c r="D1184" s="15">
        <v>66</v>
      </c>
      <c r="E1184" s="15" t="inlineStr">
        <is>
          <t xml:space="preserve">Revelation</t>
        </is>
      </c>
      <c r="F1184" s="15">
        <v>13</v>
      </c>
      <c r="G1184" s="15" t="inlineStr">
        <is>
          <t xml:space="preserve">v0.9</t>
        </is>
      </c>
      <c r="H1184" s="15" t="inlineStr">
        <is>
          <t xml:space="preserve">Bible_Journey_Canon_Map_v0_9_General_Letters_Revelation.xlsx</t>
        </is>
      </c>
      <c r="I1184" s="15" t="inlineStr">
        <is>
          <t xml:space="preserve">Canon Coverage</t>
        </is>
      </c>
      <c r="J1184" s="15" t="inlineStr">
        <is>
          <t xml:space="preserve">CRS-REV-006</t>
        </is>
      </c>
      <c r="K1184" s="15" t="inlineStr">
        <is>
          <t xml:space="preserve">BLK-021</t>
        </is>
      </c>
      <c r="L1184" s="10" t="inlineStr">
        <is>
          <t xml:space="preserve">Mapped once</t>
        </is>
      </c>
      <c r="M1184" s="15"/>
      <c r="N1184" s="15" t="inlineStr">
        <is>
          <t xml:space="preserve">S12; S15</t>
        </is>
      </c>
      <c r="O1184" s="15">
        <v>1</v>
      </c>
      <c r="P1184" s="10" t="str">
        <f>IF(L1184="MISSING","MISSING",IF(O1184=1,"PASS","DUPLICATE"))</f>
        <v>PASS</v>
      </c>
    </row>
    <row r="1185" ht="22" customHeight="1">
      <c r="A1185" s="15" t="inlineStr">
        <is>
          <t xml:space="preserve">Revelation 14</t>
        </is>
      </c>
      <c r="B1185" s="15">
        <v>1181</v>
      </c>
      <c r="C1185" s="15" t="inlineStr">
        <is>
          <t xml:space="preserve">New Testament</t>
        </is>
      </c>
      <c r="D1185" s="15">
        <v>66</v>
      </c>
      <c r="E1185" s="15" t="inlineStr">
        <is>
          <t xml:space="preserve">Revelation</t>
        </is>
      </c>
      <c r="F1185" s="15">
        <v>14</v>
      </c>
      <c r="G1185" s="15" t="inlineStr">
        <is>
          <t xml:space="preserve">v0.9</t>
        </is>
      </c>
      <c r="H1185" s="15" t="inlineStr">
        <is>
          <t xml:space="preserve">Bible_Journey_Canon_Map_v0_9_General_Letters_Revelation.xlsx</t>
        </is>
      </c>
      <c r="I1185" s="15" t="inlineStr">
        <is>
          <t xml:space="preserve">Canon Coverage</t>
        </is>
      </c>
      <c r="J1185" s="15" t="inlineStr">
        <is>
          <t xml:space="preserve">CRS-REV-006</t>
        </is>
      </c>
      <c r="K1185" s="15" t="inlineStr">
        <is>
          <t xml:space="preserve">BLK-021</t>
        </is>
      </c>
      <c r="L1185" s="10" t="inlineStr">
        <is>
          <t xml:space="preserve">Mapped once</t>
        </is>
      </c>
      <c r="M1185" s="15"/>
      <c r="N1185" s="15" t="inlineStr">
        <is>
          <t xml:space="preserve">S12; S15</t>
        </is>
      </c>
      <c r="O1185" s="15">
        <v>1</v>
      </c>
      <c r="P1185" s="10" t="str">
        <f>IF(L1185="MISSING","MISSING",IF(O1185=1,"PASS","DUPLICATE"))</f>
        <v>PASS</v>
      </c>
    </row>
    <row r="1186" ht="22" customHeight="1">
      <c r="A1186" s="15" t="inlineStr">
        <is>
          <t xml:space="preserve">Revelation 15</t>
        </is>
      </c>
      <c r="B1186" s="15">
        <v>1182</v>
      </c>
      <c r="C1186" s="15" t="inlineStr">
        <is>
          <t xml:space="preserve">New Testament</t>
        </is>
      </c>
      <c r="D1186" s="15">
        <v>66</v>
      </c>
      <c r="E1186" s="15" t="inlineStr">
        <is>
          <t xml:space="preserve">Revelation</t>
        </is>
      </c>
      <c r="F1186" s="15">
        <v>15</v>
      </c>
      <c r="G1186" s="15" t="inlineStr">
        <is>
          <t xml:space="preserve">v0.9</t>
        </is>
      </c>
      <c r="H1186" s="15" t="inlineStr">
        <is>
          <t xml:space="preserve">Bible_Journey_Canon_Map_v0_9_General_Letters_Revelation.xlsx</t>
        </is>
      </c>
      <c r="I1186" s="15" t="inlineStr">
        <is>
          <t xml:space="preserve">Canon Coverage</t>
        </is>
      </c>
      <c r="J1186" s="15" t="inlineStr">
        <is>
          <t xml:space="preserve">CRS-REV-007</t>
        </is>
      </c>
      <c r="K1186" s="15" t="inlineStr">
        <is>
          <t xml:space="preserve">BLK-022</t>
        </is>
      </c>
      <c r="L1186" s="10" t="inlineStr">
        <is>
          <t xml:space="preserve">Mapped once</t>
        </is>
      </c>
      <c r="M1186" s="15"/>
      <c r="N1186" s="15" t="inlineStr">
        <is>
          <t xml:space="preserve">S12; S15</t>
        </is>
      </c>
      <c r="O1186" s="15">
        <v>1</v>
      </c>
      <c r="P1186" s="10" t="str">
        <f>IF(L1186="MISSING","MISSING",IF(O1186=1,"PASS","DUPLICATE"))</f>
        <v>PASS</v>
      </c>
    </row>
    <row r="1187" ht="22" customHeight="1">
      <c r="A1187" s="15" t="inlineStr">
        <is>
          <t xml:space="preserve">Revelation 16</t>
        </is>
      </c>
      <c r="B1187" s="15">
        <v>1183</v>
      </c>
      <c r="C1187" s="15" t="inlineStr">
        <is>
          <t xml:space="preserve">New Testament</t>
        </is>
      </c>
      <c r="D1187" s="15">
        <v>66</v>
      </c>
      <c r="E1187" s="15" t="inlineStr">
        <is>
          <t xml:space="preserve">Revelation</t>
        </is>
      </c>
      <c r="F1187" s="15">
        <v>16</v>
      </c>
      <c r="G1187" s="15" t="inlineStr">
        <is>
          <t xml:space="preserve">v0.9</t>
        </is>
      </c>
      <c r="H1187" s="15" t="inlineStr">
        <is>
          <t xml:space="preserve">Bible_Journey_Canon_Map_v0_9_General_Letters_Revelation.xlsx</t>
        </is>
      </c>
      <c r="I1187" s="15" t="inlineStr">
        <is>
          <t xml:space="preserve">Canon Coverage</t>
        </is>
      </c>
      <c r="J1187" s="15" t="inlineStr">
        <is>
          <t xml:space="preserve">CRS-REV-007</t>
        </is>
      </c>
      <c r="K1187" s="15" t="inlineStr">
        <is>
          <t xml:space="preserve">BLK-022</t>
        </is>
      </c>
      <c r="L1187" s="10" t="inlineStr">
        <is>
          <t xml:space="preserve">Mapped once</t>
        </is>
      </c>
      <c r="M1187" s="15"/>
      <c r="N1187" s="15" t="inlineStr">
        <is>
          <t xml:space="preserve">S12; S15</t>
        </is>
      </c>
      <c r="O1187" s="15">
        <v>1</v>
      </c>
      <c r="P1187" s="10" t="str">
        <f>IF(L1187="MISSING","MISSING",IF(O1187=1,"PASS","DUPLICATE"))</f>
        <v>PASS</v>
      </c>
    </row>
    <row r="1188" ht="22" customHeight="1">
      <c r="A1188" s="15" t="inlineStr">
        <is>
          <t xml:space="preserve">Revelation 17</t>
        </is>
      </c>
      <c r="B1188" s="15">
        <v>1184</v>
      </c>
      <c r="C1188" s="15" t="inlineStr">
        <is>
          <t xml:space="preserve">New Testament</t>
        </is>
      </c>
      <c r="D1188" s="15">
        <v>66</v>
      </c>
      <c r="E1188" s="15" t="inlineStr">
        <is>
          <t xml:space="preserve">Revelation</t>
        </is>
      </c>
      <c r="F1188" s="15">
        <v>17</v>
      </c>
      <c r="G1188" s="15" t="inlineStr">
        <is>
          <t xml:space="preserve">v0.9</t>
        </is>
      </c>
      <c r="H1188" s="15" t="inlineStr">
        <is>
          <t xml:space="preserve">Bible_Journey_Canon_Map_v0_9_General_Letters_Revelation.xlsx</t>
        </is>
      </c>
      <c r="I1188" s="15" t="inlineStr">
        <is>
          <t xml:space="preserve">Canon Coverage</t>
        </is>
      </c>
      <c r="J1188" s="15" t="inlineStr">
        <is>
          <t xml:space="preserve">CRS-REV-008</t>
        </is>
      </c>
      <c r="K1188" s="15" t="inlineStr">
        <is>
          <t xml:space="preserve">BLK-023</t>
        </is>
      </c>
      <c r="L1188" s="10" t="inlineStr">
        <is>
          <t xml:space="preserve">Mapped once</t>
        </is>
      </c>
      <c r="M1188" s="15"/>
      <c r="N1188" s="15" t="inlineStr">
        <is>
          <t xml:space="preserve">S12; S15</t>
        </is>
      </c>
      <c r="O1188" s="15">
        <v>1</v>
      </c>
      <c r="P1188" s="10" t="str">
        <f>IF(L1188="MISSING","MISSING",IF(O1188=1,"PASS","DUPLICATE"))</f>
        <v>PASS</v>
      </c>
    </row>
    <row r="1189" ht="22" customHeight="1">
      <c r="A1189" s="15" t="inlineStr">
        <is>
          <t xml:space="preserve">Revelation 18</t>
        </is>
      </c>
      <c r="B1189" s="15">
        <v>1185</v>
      </c>
      <c r="C1189" s="15" t="inlineStr">
        <is>
          <t xml:space="preserve">New Testament</t>
        </is>
      </c>
      <c r="D1189" s="15">
        <v>66</v>
      </c>
      <c r="E1189" s="15" t="inlineStr">
        <is>
          <t xml:space="preserve">Revelation</t>
        </is>
      </c>
      <c r="F1189" s="15">
        <v>18</v>
      </c>
      <c r="G1189" s="15" t="inlineStr">
        <is>
          <t xml:space="preserve">v0.9</t>
        </is>
      </c>
      <c r="H1189" s="15" t="inlineStr">
        <is>
          <t xml:space="preserve">Bible_Journey_Canon_Map_v0_9_General_Letters_Revelation.xlsx</t>
        </is>
      </c>
      <c r="I1189" s="15" t="inlineStr">
        <is>
          <t xml:space="preserve">Canon Coverage</t>
        </is>
      </c>
      <c r="J1189" s="15" t="inlineStr">
        <is>
          <t xml:space="preserve">CRS-REV-008</t>
        </is>
      </c>
      <c r="K1189" s="15" t="inlineStr">
        <is>
          <t xml:space="preserve">BLK-023</t>
        </is>
      </c>
      <c r="L1189" s="10" t="inlineStr">
        <is>
          <t xml:space="preserve">Mapped once</t>
        </is>
      </c>
      <c r="M1189" s="15"/>
      <c r="N1189" s="15" t="inlineStr">
        <is>
          <t xml:space="preserve">S12; S15</t>
        </is>
      </c>
      <c r="O1189" s="15">
        <v>1</v>
      </c>
      <c r="P1189" s="10" t="str">
        <f>IF(L1189="MISSING","MISSING",IF(O1189=1,"PASS","DUPLICATE"))</f>
        <v>PASS</v>
      </c>
    </row>
    <row r="1190" ht="22" customHeight="1">
      <c r="A1190" s="15" t="inlineStr">
        <is>
          <t xml:space="preserve">Revelation 19</t>
        </is>
      </c>
      <c r="B1190" s="15">
        <v>1186</v>
      </c>
      <c r="C1190" s="15" t="inlineStr">
        <is>
          <t xml:space="preserve">New Testament</t>
        </is>
      </c>
      <c r="D1190" s="15">
        <v>66</v>
      </c>
      <c r="E1190" s="15" t="inlineStr">
        <is>
          <t xml:space="preserve">Revelation</t>
        </is>
      </c>
      <c r="F1190" s="15">
        <v>19</v>
      </c>
      <c r="G1190" s="15" t="inlineStr">
        <is>
          <t xml:space="preserve">v0.9</t>
        </is>
      </c>
      <c r="H1190" s="15" t="inlineStr">
        <is>
          <t xml:space="preserve">Bible_Journey_Canon_Map_v0_9_General_Letters_Revelation.xlsx</t>
        </is>
      </c>
      <c r="I1190" s="15" t="inlineStr">
        <is>
          <t xml:space="preserve">Canon Coverage</t>
        </is>
      </c>
      <c r="J1190" s="15" t="inlineStr">
        <is>
          <t xml:space="preserve">CRS-REV-009</t>
        </is>
      </c>
      <c r="K1190" s="15" t="inlineStr">
        <is>
          <t xml:space="preserve">BLK-024</t>
        </is>
      </c>
      <c r="L1190" s="10" t="inlineStr">
        <is>
          <t xml:space="preserve">Mapped once</t>
        </is>
      </c>
      <c r="M1190" s="15"/>
      <c r="N1190" s="15" t="inlineStr">
        <is>
          <t xml:space="preserve">S12; S15</t>
        </is>
      </c>
      <c r="O1190" s="15">
        <v>1</v>
      </c>
      <c r="P1190" s="10" t="str">
        <f>IF(L1190="MISSING","MISSING",IF(O1190=1,"PASS","DUPLICATE"))</f>
        <v>PASS</v>
      </c>
    </row>
    <row r="1191" ht="22" customHeight="1">
      <c r="A1191" s="15" t="inlineStr">
        <is>
          <t xml:space="preserve">Revelation 20</t>
        </is>
      </c>
      <c r="B1191" s="15">
        <v>1187</v>
      </c>
      <c r="C1191" s="15" t="inlineStr">
        <is>
          <t xml:space="preserve">New Testament</t>
        </is>
      </c>
      <c r="D1191" s="15">
        <v>66</v>
      </c>
      <c r="E1191" s="15" t="inlineStr">
        <is>
          <t xml:space="preserve">Revelation</t>
        </is>
      </c>
      <c r="F1191" s="15">
        <v>20</v>
      </c>
      <c r="G1191" s="15" t="inlineStr">
        <is>
          <t xml:space="preserve">v0.9</t>
        </is>
      </c>
      <c r="H1191" s="15" t="inlineStr">
        <is>
          <t xml:space="preserve">Bible_Journey_Canon_Map_v0_9_General_Letters_Revelation.xlsx</t>
        </is>
      </c>
      <c r="I1191" s="15" t="inlineStr">
        <is>
          <t xml:space="preserve">Canon Coverage</t>
        </is>
      </c>
      <c r="J1191" s="15" t="inlineStr">
        <is>
          <t xml:space="preserve">CRS-REV-009</t>
        </is>
      </c>
      <c r="K1191" s="15" t="inlineStr">
        <is>
          <t xml:space="preserve">BLK-024</t>
        </is>
      </c>
      <c r="L1191" s="10" t="inlineStr">
        <is>
          <t xml:space="preserve">Mapped once</t>
        </is>
      </c>
      <c r="M1191" s="15"/>
      <c r="N1191" s="15" t="inlineStr">
        <is>
          <t xml:space="preserve">S12; S15</t>
        </is>
      </c>
      <c r="O1191" s="15">
        <v>1</v>
      </c>
      <c r="P1191" s="10" t="str">
        <f>IF(L1191="MISSING","MISSING",IF(O1191=1,"PASS","DUPLICATE"))</f>
        <v>PASS</v>
      </c>
    </row>
    <row r="1192" ht="22" customHeight="1">
      <c r="A1192" s="15" t="inlineStr">
        <is>
          <t xml:space="preserve">Revelation 21</t>
        </is>
      </c>
      <c r="B1192" s="15">
        <v>1188</v>
      </c>
      <c r="C1192" s="15" t="inlineStr">
        <is>
          <t xml:space="preserve">New Testament</t>
        </is>
      </c>
      <c r="D1192" s="15">
        <v>66</v>
      </c>
      <c r="E1192" s="15" t="inlineStr">
        <is>
          <t xml:space="preserve">Revelation</t>
        </is>
      </c>
      <c r="F1192" s="15">
        <v>21</v>
      </c>
      <c r="G1192" s="15" t="inlineStr">
        <is>
          <t xml:space="preserve">v0.9</t>
        </is>
      </c>
      <c r="H1192" s="15" t="inlineStr">
        <is>
          <t xml:space="preserve">Bible_Journey_Canon_Map_v0_9_General_Letters_Revelation.xlsx</t>
        </is>
      </c>
      <c r="I1192" s="15" t="inlineStr">
        <is>
          <t xml:space="preserve">Canon Coverage</t>
        </is>
      </c>
      <c r="J1192" s="15" t="inlineStr">
        <is>
          <t xml:space="preserve">CRS-REV-010</t>
        </is>
      </c>
      <c r="K1192" s="15" t="inlineStr">
        <is>
          <t xml:space="preserve">BLK-025</t>
        </is>
      </c>
      <c r="L1192" s="10" t="inlineStr">
        <is>
          <t xml:space="preserve">Mapped once</t>
        </is>
      </c>
      <c r="M1192" s="15"/>
      <c r="N1192" s="15" t="inlineStr">
        <is>
          <t xml:space="preserve">S12; S13</t>
        </is>
      </c>
      <c r="O1192" s="15">
        <v>1</v>
      </c>
      <c r="P1192" s="10" t="str">
        <f>IF(L1192="MISSING","MISSING",IF(O1192=1,"PASS","DUPLICATE"))</f>
        <v>PASS</v>
      </c>
    </row>
    <row r="1193" ht="22" customHeight="1">
      <c r="A1193" s="15" t="inlineStr">
        <is>
          <t xml:space="preserve">Revelation 22</t>
        </is>
      </c>
      <c r="B1193" s="15">
        <v>1189</v>
      </c>
      <c r="C1193" s="15" t="inlineStr">
        <is>
          <t xml:space="preserve">New Testament</t>
        </is>
      </c>
      <c r="D1193" s="15">
        <v>66</v>
      </c>
      <c r="E1193" s="15" t="inlineStr">
        <is>
          <t xml:space="preserve">Revelation</t>
        </is>
      </c>
      <c r="F1193" s="15">
        <v>22</v>
      </c>
      <c r="G1193" s="15" t="inlineStr">
        <is>
          <t xml:space="preserve">v0.9</t>
        </is>
      </c>
      <c r="H1193" s="15" t="inlineStr">
        <is>
          <t xml:space="preserve">Bible_Journey_Canon_Map_v0_9_General_Letters_Revelation.xlsx</t>
        </is>
      </c>
      <c r="I1193" s="15" t="inlineStr">
        <is>
          <t xml:space="preserve">Canon Coverage</t>
        </is>
      </c>
      <c r="J1193" s="15" t="inlineStr">
        <is>
          <t xml:space="preserve">CRS-REV-010</t>
        </is>
      </c>
      <c r="K1193" s="15" t="inlineStr">
        <is>
          <t xml:space="preserve">BLK-025</t>
        </is>
      </c>
      <c r="L1193" s="10" t="inlineStr">
        <is>
          <t xml:space="preserve">Mapped once</t>
        </is>
      </c>
      <c r="M1193" s="15"/>
      <c r="N1193" s="15" t="inlineStr">
        <is>
          <t xml:space="preserve">S12; S13</t>
        </is>
      </c>
      <c r="O1193" s="15">
        <v>1</v>
      </c>
      <c r="P1193" s="10" t="str">
        <f>IF(L1193="MISSING","MISSING",IF(O1193=1,"PASS","DUPLICATE"))</f>
        <v>PASS</v>
      </c>
    </row>
  </sheetData>
  <autoFilter ref="A4:P1193"/>
  <mergeCells count="2">
    <mergeCell ref="A1:P1"/>
    <mergeCell ref="A2:P2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F70"/>
  <sheetViews>
    <sheetView workbookViewId="0">
      <pane ySplit="4" topLeftCell="A5" activePane="bottomLeft" state="frozen"/>
      <selection pane="bottomLeft" activeCell="A5" sqref="A5"/>
    </sheetView>
  </sheetViews>
  <cols>
    <col min="1" max="1" width="18" customWidth="1"/>
    <col min="2" max="2" width="22" customWidth="1"/>
    <col min="3" max="3" width="24" customWidth="1"/>
    <col min="4" max="4" width="18" customWidth="1"/>
    <col min="5" max="5" width="24" customWidth="1"/>
    <col min="6" max="6" width="24" customWidth="1"/>
  </cols>
  <sheetData>
    <row r="1" ht="30" customHeight="1">
      <c r="A1" s="1" t="inlineStr">
        <is>
          <t xml:space="preserve">BOOK CATALOG</t>
        </is>
      </c>
    </row>
    <row r="2" ht="30" customHeight="1">
      <c r="A2" s="2" t="inlineStr">
        <is>
          <t xml:space="preserve">Canonical baseline for the Protestant 66-book / 1,189-chapter coverage audit. Other canon profiles should be added as separate expected-coverage catalogs.</t>
        </is>
      </c>
    </row>
    <row r="4">
      <c r="A4" s="3" t="inlineStr">
        <is>
          <t xml:space="preserve">Testament</t>
        </is>
      </c>
      <c r="B4" s="3" t="inlineStr">
        <is>
          <t xml:space="preserve">Canonical Book Order</t>
        </is>
      </c>
      <c r="C4" s="3" t="inlineStr">
        <is>
          <t xml:space="preserve">Book</t>
        </is>
      </c>
      <c r="D4" s="3" t="inlineStr">
        <is>
          <t xml:space="preserve">Expected Chapters</t>
        </is>
      </c>
      <c r="E4" s="3" t="inlineStr">
        <is>
          <t xml:space="preserve">Cumulative Start Chapter</t>
        </is>
      </c>
      <c r="F4" s="3" t="inlineStr">
        <is>
          <t xml:space="preserve">Cumulative End Chapter</t>
        </is>
      </c>
    </row>
    <row r="5" ht="22" customHeight="1">
      <c r="A5" s="15" t="inlineStr">
        <is>
          <t xml:space="preserve">Old Testament</t>
        </is>
      </c>
      <c r="B5" s="15">
        <v>1</v>
      </c>
      <c r="C5" s="15" t="inlineStr">
        <is>
          <t xml:space="preserve">Genesis</t>
        </is>
      </c>
      <c r="D5" s="15">
        <v>50</v>
      </c>
      <c r="E5" s="15">
        <v>1</v>
      </c>
      <c r="F5" s="15">
        <v>50</v>
      </c>
    </row>
    <row r="6" ht="22" customHeight="1">
      <c r="A6" s="15" t="inlineStr">
        <is>
          <t xml:space="preserve">Old Testament</t>
        </is>
      </c>
      <c r="B6" s="15">
        <v>2</v>
      </c>
      <c r="C6" s="15" t="inlineStr">
        <is>
          <t xml:space="preserve">Exodus</t>
        </is>
      </c>
      <c r="D6" s="15">
        <v>40</v>
      </c>
      <c r="E6" s="15">
        <v>51</v>
      </c>
      <c r="F6" s="15">
        <v>90</v>
      </c>
    </row>
    <row r="7" ht="22" customHeight="1">
      <c r="A7" s="15" t="inlineStr">
        <is>
          <t xml:space="preserve">Old Testament</t>
        </is>
      </c>
      <c r="B7" s="15">
        <v>3</v>
      </c>
      <c r="C7" s="15" t="inlineStr">
        <is>
          <t xml:space="preserve">Leviticus</t>
        </is>
      </c>
      <c r="D7" s="15">
        <v>27</v>
      </c>
      <c r="E7" s="15">
        <v>91</v>
      </c>
      <c r="F7" s="15">
        <v>117</v>
      </c>
    </row>
    <row r="8" ht="22" customHeight="1">
      <c r="A8" s="15" t="inlineStr">
        <is>
          <t xml:space="preserve">Old Testament</t>
        </is>
      </c>
      <c r="B8" s="15">
        <v>4</v>
      </c>
      <c r="C8" s="15" t="inlineStr">
        <is>
          <t xml:space="preserve">Numbers</t>
        </is>
      </c>
      <c r="D8" s="15">
        <v>36</v>
      </c>
      <c r="E8" s="15">
        <v>118</v>
      </c>
      <c r="F8" s="15">
        <v>153</v>
      </c>
    </row>
    <row r="9" ht="22" customHeight="1">
      <c r="A9" s="15" t="inlineStr">
        <is>
          <t xml:space="preserve">Old Testament</t>
        </is>
      </c>
      <c r="B9" s="15">
        <v>5</v>
      </c>
      <c r="C9" s="15" t="inlineStr">
        <is>
          <t xml:space="preserve">Deuteronomy</t>
        </is>
      </c>
      <c r="D9" s="15">
        <v>34</v>
      </c>
      <c r="E9" s="15">
        <v>154</v>
      </c>
      <c r="F9" s="15">
        <v>187</v>
      </c>
    </row>
    <row r="10" ht="22" customHeight="1">
      <c r="A10" s="15" t="inlineStr">
        <is>
          <t xml:space="preserve">Old Testament</t>
        </is>
      </c>
      <c r="B10" s="15">
        <v>6</v>
      </c>
      <c r="C10" s="15" t="inlineStr">
        <is>
          <t xml:space="preserve">Joshua</t>
        </is>
      </c>
      <c r="D10" s="15">
        <v>24</v>
      </c>
      <c r="E10" s="15">
        <v>188</v>
      </c>
      <c r="F10" s="15">
        <v>211</v>
      </c>
    </row>
    <row r="11" ht="22" customHeight="1">
      <c r="A11" s="15" t="inlineStr">
        <is>
          <t xml:space="preserve">Old Testament</t>
        </is>
      </c>
      <c r="B11" s="15">
        <v>7</v>
      </c>
      <c r="C11" s="15" t="inlineStr">
        <is>
          <t xml:space="preserve">Judges</t>
        </is>
      </c>
      <c r="D11" s="15">
        <v>21</v>
      </c>
      <c r="E11" s="15">
        <v>212</v>
      </c>
      <c r="F11" s="15">
        <v>232</v>
      </c>
    </row>
    <row r="12" ht="22" customHeight="1">
      <c r="A12" s="15" t="inlineStr">
        <is>
          <t xml:space="preserve">Old Testament</t>
        </is>
      </c>
      <c r="B12" s="15">
        <v>8</v>
      </c>
      <c r="C12" s="15" t="inlineStr">
        <is>
          <t xml:space="preserve">Ruth</t>
        </is>
      </c>
      <c r="D12" s="15">
        <v>4</v>
      </c>
      <c r="E12" s="15">
        <v>233</v>
      </c>
      <c r="F12" s="15">
        <v>236</v>
      </c>
    </row>
    <row r="13" ht="22" customHeight="1">
      <c r="A13" s="15" t="inlineStr">
        <is>
          <t xml:space="preserve">Old Testament</t>
        </is>
      </c>
      <c r="B13" s="15">
        <v>9</v>
      </c>
      <c r="C13" s="15" t="inlineStr">
        <is>
          <t xml:space="preserve">1 Samuel</t>
        </is>
      </c>
      <c r="D13" s="15">
        <v>31</v>
      </c>
      <c r="E13" s="15">
        <v>237</v>
      </c>
      <c r="F13" s="15">
        <v>267</v>
      </c>
    </row>
    <row r="14" ht="22" customHeight="1">
      <c r="A14" s="15" t="inlineStr">
        <is>
          <t xml:space="preserve">Old Testament</t>
        </is>
      </c>
      <c r="B14" s="15">
        <v>10</v>
      </c>
      <c r="C14" s="15" t="inlineStr">
        <is>
          <t xml:space="preserve">2 Samuel</t>
        </is>
      </c>
      <c r="D14" s="15">
        <v>24</v>
      </c>
      <c r="E14" s="15">
        <v>268</v>
      </c>
      <c r="F14" s="15">
        <v>291</v>
      </c>
    </row>
    <row r="15" ht="22" customHeight="1">
      <c r="A15" s="15" t="inlineStr">
        <is>
          <t xml:space="preserve">Old Testament</t>
        </is>
      </c>
      <c r="B15" s="15">
        <v>11</v>
      </c>
      <c r="C15" s="15" t="inlineStr">
        <is>
          <t xml:space="preserve">1 Kings</t>
        </is>
      </c>
      <c r="D15" s="15">
        <v>22</v>
      </c>
      <c r="E15" s="15">
        <v>292</v>
      </c>
      <c r="F15" s="15">
        <v>313</v>
      </c>
    </row>
    <row r="16" ht="22" customHeight="1">
      <c r="A16" s="15" t="inlineStr">
        <is>
          <t xml:space="preserve">Old Testament</t>
        </is>
      </c>
      <c r="B16" s="15">
        <v>12</v>
      </c>
      <c r="C16" s="15" t="inlineStr">
        <is>
          <t xml:space="preserve">2 Kings</t>
        </is>
      </c>
      <c r="D16" s="15">
        <v>25</v>
      </c>
      <c r="E16" s="15">
        <v>314</v>
      </c>
      <c r="F16" s="15">
        <v>338</v>
      </c>
    </row>
    <row r="17" ht="22" customHeight="1">
      <c r="A17" s="15" t="inlineStr">
        <is>
          <t xml:space="preserve">Old Testament</t>
        </is>
      </c>
      <c r="B17" s="15">
        <v>13</v>
      </c>
      <c r="C17" s="15" t="inlineStr">
        <is>
          <t xml:space="preserve">1 Chronicles</t>
        </is>
      </c>
      <c r="D17" s="15">
        <v>29</v>
      </c>
      <c r="E17" s="15">
        <v>339</v>
      </c>
      <c r="F17" s="15">
        <v>367</v>
      </c>
    </row>
    <row r="18" ht="22" customHeight="1">
      <c r="A18" s="15" t="inlineStr">
        <is>
          <t xml:space="preserve">Old Testament</t>
        </is>
      </c>
      <c r="B18" s="15">
        <v>14</v>
      </c>
      <c r="C18" s="15" t="inlineStr">
        <is>
          <t xml:space="preserve">2 Chronicles</t>
        </is>
      </c>
      <c r="D18" s="15">
        <v>36</v>
      </c>
      <c r="E18" s="15">
        <v>368</v>
      </c>
      <c r="F18" s="15">
        <v>403</v>
      </c>
    </row>
    <row r="19" ht="22" customHeight="1">
      <c r="A19" s="15" t="inlineStr">
        <is>
          <t xml:space="preserve">Old Testament</t>
        </is>
      </c>
      <c r="B19" s="15">
        <v>15</v>
      </c>
      <c r="C19" s="15" t="inlineStr">
        <is>
          <t xml:space="preserve">Ezra</t>
        </is>
      </c>
      <c r="D19" s="15">
        <v>10</v>
      </c>
      <c r="E19" s="15">
        <v>404</v>
      </c>
      <c r="F19" s="15">
        <v>413</v>
      </c>
    </row>
    <row r="20" ht="22" customHeight="1">
      <c r="A20" s="15" t="inlineStr">
        <is>
          <t xml:space="preserve">Old Testament</t>
        </is>
      </c>
      <c r="B20" s="15">
        <v>16</v>
      </c>
      <c r="C20" s="15" t="inlineStr">
        <is>
          <t xml:space="preserve">Nehemiah</t>
        </is>
      </c>
      <c r="D20" s="15">
        <v>13</v>
      </c>
      <c r="E20" s="15">
        <v>414</v>
      </c>
      <c r="F20" s="15">
        <v>426</v>
      </c>
    </row>
    <row r="21" ht="22" customHeight="1">
      <c r="A21" s="15" t="inlineStr">
        <is>
          <t xml:space="preserve">Old Testament</t>
        </is>
      </c>
      <c r="B21" s="15">
        <v>17</v>
      </c>
      <c r="C21" s="15" t="inlineStr">
        <is>
          <t xml:space="preserve">Esther</t>
        </is>
      </c>
      <c r="D21" s="15">
        <v>10</v>
      </c>
      <c r="E21" s="15">
        <v>427</v>
      </c>
      <c r="F21" s="15">
        <v>436</v>
      </c>
    </row>
    <row r="22" ht="22" customHeight="1">
      <c r="A22" s="15" t="inlineStr">
        <is>
          <t xml:space="preserve">Old Testament</t>
        </is>
      </c>
      <c r="B22" s="15">
        <v>18</v>
      </c>
      <c r="C22" s="15" t="inlineStr">
        <is>
          <t xml:space="preserve">Job</t>
        </is>
      </c>
      <c r="D22" s="15">
        <v>42</v>
      </c>
      <c r="E22" s="15">
        <v>437</v>
      </c>
      <c r="F22" s="15">
        <v>478</v>
      </c>
    </row>
    <row r="23" ht="22" customHeight="1">
      <c r="A23" s="15" t="inlineStr">
        <is>
          <t xml:space="preserve">Old Testament</t>
        </is>
      </c>
      <c r="B23" s="15">
        <v>19</v>
      </c>
      <c r="C23" s="15" t="inlineStr">
        <is>
          <t xml:space="preserve">Psalms</t>
        </is>
      </c>
      <c r="D23" s="15">
        <v>150</v>
      </c>
      <c r="E23" s="15">
        <v>479</v>
      </c>
      <c r="F23" s="15">
        <v>628</v>
      </c>
    </row>
    <row r="24" ht="22" customHeight="1">
      <c r="A24" s="15" t="inlineStr">
        <is>
          <t xml:space="preserve">Old Testament</t>
        </is>
      </c>
      <c r="B24" s="15">
        <v>20</v>
      </c>
      <c r="C24" s="15" t="inlineStr">
        <is>
          <t xml:space="preserve">Proverbs</t>
        </is>
      </c>
      <c r="D24" s="15">
        <v>31</v>
      </c>
      <c r="E24" s="15">
        <v>629</v>
      </c>
      <c r="F24" s="15">
        <v>659</v>
      </c>
    </row>
    <row r="25" ht="22" customHeight="1">
      <c r="A25" s="15" t="inlineStr">
        <is>
          <t xml:space="preserve">Old Testament</t>
        </is>
      </c>
      <c r="B25" s="15">
        <v>21</v>
      </c>
      <c r="C25" s="15" t="inlineStr">
        <is>
          <t xml:space="preserve">Ecclesiastes</t>
        </is>
      </c>
      <c r="D25" s="15">
        <v>12</v>
      </c>
      <c r="E25" s="15">
        <v>660</v>
      </c>
      <c r="F25" s="15">
        <v>671</v>
      </c>
    </row>
    <row r="26" ht="22" customHeight="1">
      <c r="A26" s="15" t="inlineStr">
        <is>
          <t xml:space="preserve">Old Testament</t>
        </is>
      </c>
      <c r="B26" s="15">
        <v>22</v>
      </c>
      <c r="C26" s="15" t="inlineStr">
        <is>
          <t xml:space="preserve">Song of Songs</t>
        </is>
      </c>
      <c r="D26" s="15">
        <v>8</v>
      </c>
      <c r="E26" s="15">
        <v>672</v>
      </c>
      <c r="F26" s="15">
        <v>679</v>
      </c>
    </row>
    <row r="27" ht="22" customHeight="1">
      <c r="A27" s="15" t="inlineStr">
        <is>
          <t xml:space="preserve">Old Testament</t>
        </is>
      </c>
      <c r="B27" s="15">
        <v>23</v>
      </c>
      <c r="C27" s="15" t="inlineStr">
        <is>
          <t xml:space="preserve">Isaiah</t>
        </is>
      </c>
      <c r="D27" s="15">
        <v>66</v>
      </c>
      <c r="E27" s="15">
        <v>680</v>
      </c>
      <c r="F27" s="15">
        <v>745</v>
      </c>
    </row>
    <row r="28" ht="22" customHeight="1">
      <c r="A28" s="15" t="inlineStr">
        <is>
          <t xml:space="preserve">Old Testament</t>
        </is>
      </c>
      <c r="B28" s="15">
        <v>24</v>
      </c>
      <c r="C28" s="15" t="inlineStr">
        <is>
          <t xml:space="preserve">Jeremiah</t>
        </is>
      </c>
      <c r="D28" s="15">
        <v>52</v>
      </c>
      <c r="E28" s="15">
        <v>746</v>
      </c>
      <c r="F28" s="15">
        <v>797</v>
      </c>
    </row>
    <row r="29" ht="22" customHeight="1">
      <c r="A29" s="15" t="inlineStr">
        <is>
          <t xml:space="preserve">Old Testament</t>
        </is>
      </c>
      <c r="B29" s="15">
        <v>25</v>
      </c>
      <c r="C29" s="15" t="inlineStr">
        <is>
          <t xml:space="preserve">Lamentations</t>
        </is>
      </c>
      <c r="D29" s="15">
        <v>5</v>
      </c>
      <c r="E29" s="15">
        <v>798</v>
      </c>
      <c r="F29" s="15">
        <v>802</v>
      </c>
    </row>
    <row r="30" ht="22" customHeight="1">
      <c r="A30" s="15" t="inlineStr">
        <is>
          <t xml:space="preserve">Old Testament</t>
        </is>
      </c>
      <c r="B30" s="15">
        <v>26</v>
      </c>
      <c r="C30" s="15" t="inlineStr">
        <is>
          <t xml:space="preserve">Ezekiel</t>
        </is>
      </c>
      <c r="D30" s="15">
        <v>48</v>
      </c>
      <c r="E30" s="15">
        <v>803</v>
      </c>
      <c r="F30" s="15">
        <v>850</v>
      </c>
    </row>
    <row r="31" ht="22" customHeight="1">
      <c r="A31" s="15" t="inlineStr">
        <is>
          <t xml:space="preserve">Old Testament</t>
        </is>
      </c>
      <c r="B31" s="15">
        <v>27</v>
      </c>
      <c r="C31" s="15" t="inlineStr">
        <is>
          <t xml:space="preserve">Daniel</t>
        </is>
      </c>
      <c r="D31" s="15">
        <v>12</v>
      </c>
      <c r="E31" s="15">
        <v>851</v>
      </c>
      <c r="F31" s="15">
        <v>862</v>
      </c>
    </row>
    <row r="32" ht="22" customHeight="1">
      <c r="A32" s="15" t="inlineStr">
        <is>
          <t xml:space="preserve">Old Testament</t>
        </is>
      </c>
      <c r="B32" s="15">
        <v>28</v>
      </c>
      <c r="C32" s="15" t="inlineStr">
        <is>
          <t xml:space="preserve">Hosea</t>
        </is>
      </c>
      <c r="D32" s="15">
        <v>14</v>
      </c>
      <c r="E32" s="15">
        <v>863</v>
      </c>
      <c r="F32" s="15">
        <v>876</v>
      </c>
    </row>
    <row r="33" ht="22" customHeight="1">
      <c r="A33" s="15" t="inlineStr">
        <is>
          <t xml:space="preserve">Old Testament</t>
        </is>
      </c>
      <c r="B33" s="15">
        <v>29</v>
      </c>
      <c r="C33" s="15" t="inlineStr">
        <is>
          <t xml:space="preserve">Joel</t>
        </is>
      </c>
      <c r="D33" s="15">
        <v>3</v>
      </c>
      <c r="E33" s="15">
        <v>877</v>
      </c>
      <c r="F33" s="15">
        <v>879</v>
      </c>
    </row>
    <row r="34" ht="22" customHeight="1">
      <c r="A34" s="15" t="inlineStr">
        <is>
          <t xml:space="preserve">Old Testament</t>
        </is>
      </c>
      <c r="B34" s="15">
        <v>30</v>
      </c>
      <c r="C34" s="15" t="inlineStr">
        <is>
          <t xml:space="preserve">Amos</t>
        </is>
      </c>
      <c r="D34" s="15">
        <v>9</v>
      </c>
      <c r="E34" s="15">
        <v>880</v>
      </c>
      <c r="F34" s="15">
        <v>888</v>
      </c>
    </row>
    <row r="35" ht="22" customHeight="1">
      <c r="A35" s="15" t="inlineStr">
        <is>
          <t xml:space="preserve">Old Testament</t>
        </is>
      </c>
      <c r="B35" s="15">
        <v>31</v>
      </c>
      <c r="C35" s="15" t="inlineStr">
        <is>
          <t xml:space="preserve">Obadiah</t>
        </is>
      </c>
      <c r="D35" s="15">
        <v>1</v>
      </c>
      <c r="E35" s="15">
        <v>889</v>
      </c>
      <c r="F35" s="15">
        <v>889</v>
      </c>
    </row>
    <row r="36" ht="22" customHeight="1">
      <c r="A36" s="15" t="inlineStr">
        <is>
          <t xml:space="preserve">Old Testament</t>
        </is>
      </c>
      <c r="B36" s="15">
        <v>32</v>
      </c>
      <c r="C36" s="15" t="inlineStr">
        <is>
          <t xml:space="preserve">Jonah</t>
        </is>
      </c>
      <c r="D36" s="15">
        <v>4</v>
      </c>
      <c r="E36" s="15">
        <v>890</v>
      </c>
      <c r="F36" s="15">
        <v>893</v>
      </c>
    </row>
    <row r="37" ht="22" customHeight="1">
      <c r="A37" s="15" t="inlineStr">
        <is>
          <t xml:space="preserve">Old Testament</t>
        </is>
      </c>
      <c r="B37" s="15">
        <v>33</v>
      </c>
      <c r="C37" s="15" t="inlineStr">
        <is>
          <t xml:space="preserve">Micah</t>
        </is>
      </c>
      <c r="D37" s="15">
        <v>7</v>
      </c>
      <c r="E37" s="15">
        <v>894</v>
      </c>
      <c r="F37" s="15">
        <v>900</v>
      </c>
    </row>
    <row r="38" ht="22" customHeight="1">
      <c r="A38" s="15" t="inlineStr">
        <is>
          <t xml:space="preserve">Old Testament</t>
        </is>
      </c>
      <c r="B38" s="15">
        <v>34</v>
      </c>
      <c r="C38" s="15" t="inlineStr">
        <is>
          <t xml:space="preserve">Nahum</t>
        </is>
      </c>
      <c r="D38" s="15">
        <v>3</v>
      </c>
      <c r="E38" s="15">
        <v>901</v>
      </c>
      <c r="F38" s="15">
        <v>903</v>
      </c>
    </row>
    <row r="39" ht="22" customHeight="1">
      <c r="A39" s="15" t="inlineStr">
        <is>
          <t xml:space="preserve">Old Testament</t>
        </is>
      </c>
      <c r="B39" s="15">
        <v>35</v>
      </c>
      <c r="C39" s="15" t="inlineStr">
        <is>
          <t xml:space="preserve">Habakkuk</t>
        </is>
      </c>
      <c r="D39" s="15">
        <v>3</v>
      </c>
      <c r="E39" s="15">
        <v>904</v>
      </c>
      <c r="F39" s="15">
        <v>906</v>
      </c>
    </row>
    <row r="40" ht="22" customHeight="1">
      <c r="A40" s="15" t="inlineStr">
        <is>
          <t xml:space="preserve">Old Testament</t>
        </is>
      </c>
      <c r="B40" s="15">
        <v>36</v>
      </c>
      <c r="C40" s="15" t="inlineStr">
        <is>
          <t xml:space="preserve">Zephaniah</t>
        </is>
      </c>
      <c r="D40" s="15">
        <v>3</v>
      </c>
      <c r="E40" s="15">
        <v>907</v>
      </c>
      <c r="F40" s="15">
        <v>909</v>
      </c>
    </row>
    <row r="41" ht="22" customHeight="1">
      <c r="A41" s="15" t="inlineStr">
        <is>
          <t xml:space="preserve">Old Testament</t>
        </is>
      </c>
      <c r="B41" s="15">
        <v>37</v>
      </c>
      <c r="C41" s="15" t="inlineStr">
        <is>
          <t xml:space="preserve">Haggai</t>
        </is>
      </c>
      <c r="D41" s="15">
        <v>2</v>
      </c>
      <c r="E41" s="15">
        <v>910</v>
      </c>
      <c r="F41" s="15">
        <v>911</v>
      </c>
    </row>
    <row r="42" ht="22" customHeight="1">
      <c r="A42" s="15" t="inlineStr">
        <is>
          <t xml:space="preserve">Old Testament</t>
        </is>
      </c>
      <c r="B42" s="15">
        <v>38</v>
      </c>
      <c r="C42" s="15" t="inlineStr">
        <is>
          <t xml:space="preserve">Zechariah</t>
        </is>
      </c>
      <c r="D42" s="15">
        <v>14</v>
      </c>
      <c r="E42" s="15">
        <v>912</v>
      </c>
      <c r="F42" s="15">
        <v>925</v>
      </c>
    </row>
    <row r="43" ht="22" customHeight="1">
      <c r="A43" s="15" t="inlineStr">
        <is>
          <t xml:space="preserve">Old Testament</t>
        </is>
      </c>
      <c r="B43" s="15">
        <v>39</v>
      </c>
      <c r="C43" s="15" t="inlineStr">
        <is>
          <t xml:space="preserve">Malachi</t>
        </is>
      </c>
      <c r="D43" s="15">
        <v>4</v>
      </c>
      <c r="E43" s="15">
        <v>926</v>
      </c>
      <c r="F43" s="15">
        <v>929</v>
      </c>
    </row>
    <row r="44" ht="22" customHeight="1">
      <c r="A44" s="15" t="inlineStr">
        <is>
          <t xml:space="preserve">New Testament</t>
        </is>
      </c>
      <c r="B44" s="15">
        <v>40</v>
      </c>
      <c r="C44" s="15" t="inlineStr">
        <is>
          <t xml:space="preserve">Matthew</t>
        </is>
      </c>
      <c r="D44" s="15">
        <v>28</v>
      </c>
      <c r="E44" s="15">
        <v>930</v>
      </c>
      <c r="F44" s="15">
        <v>957</v>
      </c>
    </row>
    <row r="45" ht="22" customHeight="1">
      <c r="A45" s="15" t="inlineStr">
        <is>
          <t xml:space="preserve">New Testament</t>
        </is>
      </c>
      <c r="B45" s="15">
        <v>41</v>
      </c>
      <c r="C45" s="15" t="inlineStr">
        <is>
          <t xml:space="preserve">Mark</t>
        </is>
      </c>
      <c r="D45" s="15">
        <v>16</v>
      </c>
      <c r="E45" s="15">
        <v>958</v>
      </c>
      <c r="F45" s="15">
        <v>973</v>
      </c>
    </row>
    <row r="46" ht="22" customHeight="1">
      <c r="A46" s="15" t="inlineStr">
        <is>
          <t xml:space="preserve">New Testament</t>
        </is>
      </c>
      <c r="B46" s="15">
        <v>42</v>
      </c>
      <c r="C46" s="15" t="inlineStr">
        <is>
          <t xml:space="preserve">Luke</t>
        </is>
      </c>
      <c r="D46" s="15">
        <v>24</v>
      </c>
      <c r="E46" s="15">
        <v>974</v>
      </c>
      <c r="F46" s="15">
        <v>997</v>
      </c>
    </row>
    <row r="47" ht="22" customHeight="1">
      <c r="A47" s="15" t="inlineStr">
        <is>
          <t xml:space="preserve">New Testament</t>
        </is>
      </c>
      <c r="B47" s="15">
        <v>43</v>
      </c>
      <c r="C47" s="15" t="inlineStr">
        <is>
          <t xml:space="preserve">John</t>
        </is>
      </c>
      <c r="D47" s="15">
        <v>21</v>
      </c>
      <c r="E47" s="15">
        <v>998</v>
      </c>
      <c r="F47" s="15">
        <v>1018</v>
      </c>
    </row>
    <row r="48" ht="22" customHeight="1">
      <c r="A48" s="15" t="inlineStr">
        <is>
          <t xml:space="preserve">New Testament</t>
        </is>
      </c>
      <c r="B48" s="15">
        <v>44</v>
      </c>
      <c r="C48" s="15" t="inlineStr">
        <is>
          <t xml:space="preserve">Acts</t>
        </is>
      </c>
      <c r="D48" s="15">
        <v>28</v>
      </c>
      <c r="E48" s="15">
        <v>1019</v>
      </c>
      <c r="F48" s="15">
        <v>1046</v>
      </c>
    </row>
    <row r="49" ht="22" customHeight="1">
      <c r="A49" s="15" t="inlineStr">
        <is>
          <t xml:space="preserve">New Testament</t>
        </is>
      </c>
      <c r="B49" s="15">
        <v>45</v>
      </c>
      <c r="C49" s="15" t="inlineStr">
        <is>
          <t xml:space="preserve">Romans</t>
        </is>
      </c>
      <c r="D49" s="15">
        <v>16</v>
      </c>
      <c r="E49" s="15">
        <v>1047</v>
      </c>
      <c r="F49" s="15">
        <v>1062</v>
      </c>
    </row>
    <row r="50" ht="22" customHeight="1">
      <c r="A50" s="15" t="inlineStr">
        <is>
          <t xml:space="preserve">New Testament</t>
        </is>
      </c>
      <c r="B50" s="15">
        <v>46</v>
      </c>
      <c r="C50" s="15" t="inlineStr">
        <is>
          <t xml:space="preserve">1 Corinthians</t>
        </is>
      </c>
      <c r="D50" s="15">
        <v>16</v>
      </c>
      <c r="E50" s="15">
        <v>1063</v>
      </c>
      <c r="F50" s="15">
        <v>1078</v>
      </c>
    </row>
    <row r="51" ht="22" customHeight="1">
      <c r="A51" s="15" t="inlineStr">
        <is>
          <t xml:space="preserve">New Testament</t>
        </is>
      </c>
      <c r="B51" s="15">
        <v>47</v>
      </c>
      <c r="C51" s="15" t="inlineStr">
        <is>
          <t xml:space="preserve">2 Corinthians</t>
        </is>
      </c>
      <c r="D51" s="15">
        <v>13</v>
      </c>
      <c r="E51" s="15">
        <v>1079</v>
      </c>
      <c r="F51" s="15">
        <v>1091</v>
      </c>
    </row>
    <row r="52" ht="22" customHeight="1">
      <c r="A52" s="15" t="inlineStr">
        <is>
          <t xml:space="preserve">New Testament</t>
        </is>
      </c>
      <c r="B52" s="15">
        <v>48</v>
      </c>
      <c r="C52" s="15" t="inlineStr">
        <is>
          <t xml:space="preserve">Galatians</t>
        </is>
      </c>
      <c r="D52" s="15">
        <v>6</v>
      </c>
      <c r="E52" s="15">
        <v>1092</v>
      </c>
      <c r="F52" s="15">
        <v>1097</v>
      </c>
    </row>
    <row r="53" ht="22" customHeight="1">
      <c r="A53" s="15" t="inlineStr">
        <is>
          <t xml:space="preserve">New Testament</t>
        </is>
      </c>
      <c r="B53" s="15">
        <v>49</v>
      </c>
      <c r="C53" s="15" t="inlineStr">
        <is>
          <t xml:space="preserve">Ephesians</t>
        </is>
      </c>
      <c r="D53" s="15">
        <v>6</v>
      </c>
      <c r="E53" s="15">
        <v>1098</v>
      </c>
      <c r="F53" s="15">
        <v>1103</v>
      </c>
    </row>
    <row r="54" ht="22" customHeight="1">
      <c r="A54" s="15" t="inlineStr">
        <is>
          <t xml:space="preserve">New Testament</t>
        </is>
      </c>
      <c r="B54" s="15">
        <v>50</v>
      </c>
      <c r="C54" s="15" t="inlineStr">
        <is>
          <t xml:space="preserve">Philippians</t>
        </is>
      </c>
      <c r="D54" s="15">
        <v>4</v>
      </c>
      <c r="E54" s="15">
        <v>1104</v>
      </c>
      <c r="F54" s="15">
        <v>1107</v>
      </c>
    </row>
    <row r="55" ht="22" customHeight="1">
      <c r="A55" s="15" t="inlineStr">
        <is>
          <t xml:space="preserve">New Testament</t>
        </is>
      </c>
      <c r="B55" s="15">
        <v>51</v>
      </c>
      <c r="C55" s="15" t="inlineStr">
        <is>
          <t xml:space="preserve">Colossians</t>
        </is>
      </c>
      <c r="D55" s="15">
        <v>4</v>
      </c>
      <c r="E55" s="15">
        <v>1108</v>
      </c>
      <c r="F55" s="15">
        <v>1111</v>
      </c>
    </row>
    <row r="56" ht="22" customHeight="1">
      <c r="A56" s="15" t="inlineStr">
        <is>
          <t xml:space="preserve">New Testament</t>
        </is>
      </c>
      <c r="B56" s="15">
        <v>52</v>
      </c>
      <c r="C56" s="15" t="inlineStr">
        <is>
          <t xml:space="preserve">1 Thessalonians</t>
        </is>
      </c>
      <c r="D56" s="15">
        <v>5</v>
      </c>
      <c r="E56" s="15">
        <v>1112</v>
      </c>
      <c r="F56" s="15">
        <v>1116</v>
      </c>
    </row>
    <row r="57" ht="22" customHeight="1">
      <c r="A57" s="15" t="inlineStr">
        <is>
          <t xml:space="preserve">New Testament</t>
        </is>
      </c>
      <c r="B57" s="15">
        <v>53</v>
      </c>
      <c r="C57" s="15" t="inlineStr">
        <is>
          <t xml:space="preserve">2 Thessalonians</t>
        </is>
      </c>
      <c r="D57" s="15">
        <v>3</v>
      </c>
      <c r="E57" s="15">
        <v>1117</v>
      </c>
      <c r="F57" s="15">
        <v>1119</v>
      </c>
    </row>
    <row r="58" ht="22" customHeight="1">
      <c r="A58" s="15" t="inlineStr">
        <is>
          <t xml:space="preserve">New Testament</t>
        </is>
      </c>
      <c r="B58" s="15">
        <v>54</v>
      </c>
      <c r="C58" s="15" t="inlineStr">
        <is>
          <t xml:space="preserve">1 Timothy</t>
        </is>
      </c>
      <c r="D58" s="15">
        <v>6</v>
      </c>
      <c r="E58" s="15">
        <v>1120</v>
      </c>
      <c r="F58" s="15">
        <v>1125</v>
      </c>
    </row>
    <row r="59" ht="22" customHeight="1">
      <c r="A59" s="15" t="inlineStr">
        <is>
          <t xml:space="preserve">New Testament</t>
        </is>
      </c>
      <c r="B59" s="15">
        <v>55</v>
      </c>
      <c r="C59" s="15" t="inlineStr">
        <is>
          <t xml:space="preserve">2 Timothy</t>
        </is>
      </c>
      <c r="D59" s="15">
        <v>4</v>
      </c>
      <c r="E59" s="15">
        <v>1126</v>
      </c>
      <c r="F59" s="15">
        <v>1129</v>
      </c>
    </row>
    <row r="60" ht="22" customHeight="1">
      <c r="A60" s="15" t="inlineStr">
        <is>
          <t xml:space="preserve">New Testament</t>
        </is>
      </c>
      <c r="B60" s="15">
        <v>56</v>
      </c>
      <c r="C60" s="15" t="inlineStr">
        <is>
          <t xml:space="preserve">Titus</t>
        </is>
      </c>
      <c r="D60" s="15">
        <v>3</v>
      </c>
      <c r="E60" s="15">
        <v>1130</v>
      </c>
      <c r="F60" s="15">
        <v>1132</v>
      </c>
    </row>
    <row r="61" ht="22" customHeight="1">
      <c r="A61" s="15" t="inlineStr">
        <is>
          <t xml:space="preserve">New Testament</t>
        </is>
      </c>
      <c r="B61" s="15">
        <v>57</v>
      </c>
      <c r="C61" s="15" t="inlineStr">
        <is>
          <t xml:space="preserve">Philemon</t>
        </is>
      </c>
      <c r="D61" s="15">
        <v>1</v>
      </c>
      <c r="E61" s="15">
        <v>1133</v>
      </c>
      <c r="F61" s="15">
        <v>1133</v>
      </c>
    </row>
    <row r="62" ht="22" customHeight="1">
      <c r="A62" s="15" t="inlineStr">
        <is>
          <t xml:space="preserve">New Testament</t>
        </is>
      </c>
      <c r="B62" s="15">
        <v>58</v>
      </c>
      <c r="C62" s="15" t="inlineStr">
        <is>
          <t xml:space="preserve">Hebrews</t>
        </is>
      </c>
      <c r="D62" s="15">
        <v>13</v>
      </c>
      <c r="E62" s="15">
        <v>1134</v>
      </c>
      <c r="F62" s="15">
        <v>1146</v>
      </c>
    </row>
    <row r="63" ht="22" customHeight="1">
      <c r="A63" s="15" t="inlineStr">
        <is>
          <t xml:space="preserve">New Testament</t>
        </is>
      </c>
      <c r="B63" s="15">
        <v>59</v>
      </c>
      <c r="C63" s="15" t="inlineStr">
        <is>
          <t xml:space="preserve">James</t>
        </is>
      </c>
      <c r="D63" s="15">
        <v>5</v>
      </c>
      <c r="E63" s="15">
        <v>1147</v>
      </c>
      <c r="F63" s="15">
        <v>1151</v>
      </c>
    </row>
    <row r="64" ht="22" customHeight="1">
      <c r="A64" s="15" t="inlineStr">
        <is>
          <t xml:space="preserve">New Testament</t>
        </is>
      </c>
      <c r="B64" s="15">
        <v>60</v>
      </c>
      <c r="C64" s="15" t="inlineStr">
        <is>
          <t xml:space="preserve">1 Peter</t>
        </is>
      </c>
      <c r="D64" s="15">
        <v>5</v>
      </c>
      <c r="E64" s="15">
        <v>1152</v>
      </c>
      <c r="F64" s="15">
        <v>1156</v>
      </c>
    </row>
    <row r="65" ht="22" customHeight="1">
      <c r="A65" s="15" t="inlineStr">
        <is>
          <t xml:space="preserve">New Testament</t>
        </is>
      </c>
      <c r="B65" s="15">
        <v>61</v>
      </c>
      <c r="C65" s="15" t="inlineStr">
        <is>
          <t xml:space="preserve">2 Peter</t>
        </is>
      </c>
      <c r="D65" s="15">
        <v>3</v>
      </c>
      <c r="E65" s="15">
        <v>1157</v>
      </c>
      <c r="F65" s="15">
        <v>1159</v>
      </c>
    </row>
    <row r="66" ht="22" customHeight="1">
      <c r="A66" s="15" t="inlineStr">
        <is>
          <t xml:space="preserve">New Testament</t>
        </is>
      </c>
      <c r="B66" s="15">
        <v>62</v>
      </c>
      <c r="C66" s="15" t="inlineStr">
        <is>
          <t xml:space="preserve">1 John</t>
        </is>
      </c>
      <c r="D66" s="15">
        <v>5</v>
      </c>
      <c r="E66" s="15">
        <v>1160</v>
      </c>
      <c r="F66" s="15">
        <v>1164</v>
      </c>
    </row>
    <row r="67" ht="22" customHeight="1">
      <c r="A67" s="15" t="inlineStr">
        <is>
          <t xml:space="preserve">New Testament</t>
        </is>
      </c>
      <c r="B67" s="15">
        <v>63</v>
      </c>
      <c r="C67" s="15" t="inlineStr">
        <is>
          <t xml:space="preserve">2 John</t>
        </is>
      </c>
      <c r="D67" s="15">
        <v>1</v>
      </c>
      <c r="E67" s="15">
        <v>1165</v>
      </c>
      <c r="F67" s="15">
        <v>1165</v>
      </c>
    </row>
    <row r="68" ht="22" customHeight="1">
      <c r="A68" s="15" t="inlineStr">
        <is>
          <t xml:space="preserve">New Testament</t>
        </is>
      </c>
      <c r="B68" s="15">
        <v>64</v>
      </c>
      <c r="C68" s="15" t="inlineStr">
        <is>
          <t xml:space="preserve">3 John</t>
        </is>
      </c>
      <c r="D68" s="15">
        <v>1</v>
      </c>
      <c r="E68" s="15">
        <v>1166</v>
      </c>
      <c r="F68" s="15">
        <v>1166</v>
      </c>
    </row>
    <row r="69" ht="22" customHeight="1">
      <c r="A69" s="15" t="inlineStr">
        <is>
          <t xml:space="preserve">New Testament</t>
        </is>
      </c>
      <c r="B69" s="15">
        <v>65</v>
      </c>
      <c r="C69" s="15" t="inlineStr">
        <is>
          <t xml:space="preserve">Jude</t>
        </is>
      </c>
      <c r="D69" s="15">
        <v>1</v>
      </c>
      <c r="E69" s="15">
        <v>1167</v>
      </c>
      <c r="F69" s="15">
        <v>1167</v>
      </c>
    </row>
    <row r="70" ht="22" customHeight="1">
      <c r="A70" s="15" t="inlineStr">
        <is>
          <t xml:space="preserve">New Testament</t>
        </is>
      </c>
      <c r="B70" s="15">
        <v>66</v>
      </c>
      <c r="C70" s="15" t="inlineStr">
        <is>
          <t xml:space="preserve">Revelation</t>
        </is>
      </c>
      <c r="D70" s="15">
        <v>22</v>
      </c>
      <c r="E70" s="15">
        <v>1168</v>
      </c>
      <c r="F70" s="15">
        <v>1189</v>
      </c>
    </row>
  </sheetData>
  <autoFilter ref="A4:F70"/>
  <mergeCells count="2">
    <mergeCell ref="A1:F1"/>
    <mergeCell ref="A2:F2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H70"/>
  <sheetViews>
    <sheetView workbookViewId="0">
      <pane ySplit="4" topLeftCell="A5" activePane="bottomLeft" state="frozen"/>
      <selection pane="bottomLeft" activeCell="A5" sqref="A5"/>
    </sheetView>
  </sheetViews>
  <cols>
    <col min="1" max="1" width="18" customWidth="1"/>
    <col min="2" max="2" width="14" customWidth="1"/>
    <col min="3" max="3" width="24" customWidth="1"/>
    <col min="4" max="4" width="18" customWidth="1"/>
    <col min="5" max="5" width="18" customWidth="1"/>
    <col min="6" max="6" width="24" customWidth="1"/>
    <col min="7" max="7" width="16" customWidth="1"/>
    <col min="8" max="8" width="14" customWidth="1"/>
  </cols>
  <sheetData>
    <row r="1" ht="30" customHeight="1">
      <c r="A1" s="1" t="inlineStr">
        <is>
          <t xml:space="preserve">BOOK SUMMARY</t>
        </is>
      </c>
    </row>
    <row r="2" ht="30" customHeight="1">
      <c r="A2" s="2" t="inlineStr">
        <is>
          <t xml:space="preserve">Formula-driven audit by canonical book. PASS means expected chapter count equals mapped chapter count and no duplicate source-map rows remain in master coverage.</t>
        </is>
      </c>
    </row>
    <row r="4">
      <c r="A4" s="3" t="inlineStr">
        <is>
          <t xml:space="preserve">Testament</t>
        </is>
      </c>
      <c r="B4" s="3" t="inlineStr">
        <is>
          <t xml:space="preserve">Book Order</t>
        </is>
      </c>
      <c r="C4" s="3" t="inlineStr">
        <is>
          <t xml:space="preserve">Book</t>
        </is>
      </c>
      <c r="D4" s="3" t="inlineStr">
        <is>
          <t xml:space="preserve">Expected Chapters</t>
        </is>
      </c>
      <c r="E4" s="3" t="inlineStr">
        <is>
          <t xml:space="preserve">Mapped Chapters</t>
        </is>
      </c>
      <c r="F4" s="3" t="inlineStr">
        <is>
          <t xml:space="preserve">Duplicate Source Rows</t>
        </is>
      </c>
      <c r="G4" s="3" t="inlineStr">
        <is>
          <t xml:space="preserve">Book QA</t>
        </is>
      </c>
      <c r="H4" s="3" t="inlineStr">
        <is>
          <t xml:space="preserve">Coverage %</t>
        </is>
      </c>
    </row>
    <row r="5" ht="22" customHeight="1">
      <c r="A5" s="15" t="inlineStr">
        <is>
          <t xml:space="preserve">Old Testament</t>
        </is>
      </c>
      <c r="B5" s="15">
        <v>1</v>
      </c>
      <c r="C5" s="15" t="inlineStr">
        <is>
          <t xml:space="preserve">Genesis</t>
        </is>
      </c>
      <c r="D5" s="15">
        <v>50</v>
      </c>
      <c r="E5" s="15">
        <f>COUNTIF('Master Chapter Coverage'!$E$5:$E$2000,C5)</f>
        <v>50</v>
      </c>
      <c r="F5" s="15">
        <f>COUNTIFS('Master Chapter Coverage'!$E$5:$E$2000,C5,'Master Chapter Coverage'!$P$5:$P$2000,"DUPLICATE")</f>
        <v>0</v>
      </c>
      <c r="G5" s="10" t="str">
        <f>IF(AND(E5=D5,F5=0),"PASS","REVIEW")</f>
        <v>PASS</v>
      </c>
      <c r="H5" s="14">
        <f>IFERROR(E5/D5,0)</f>
        <v>1.0</v>
      </c>
    </row>
    <row r="6" ht="22" customHeight="1">
      <c r="A6" s="15" t="inlineStr">
        <is>
          <t xml:space="preserve">Old Testament</t>
        </is>
      </c>
      <c r="B6" s="15">
        <v>2</v>
      </c>
      <c r="C6" s="15" t="inlineStr">
        <is>
          <t xml:space="preserve">Exodus</t>
        </is>
      </c>
      <c r="D6" s="15">
        <v>40</v>
      </c>
      <c r="E6" s="15">
        <f>COUNTIF('Master Chapter Coverage'!$E$5:$E$2000,C6)</f>
        <v>40</v>
      </c>
      <c r="F6" s="15">
        <f>COUNTIFS('Master Chapter Coverage'!$E$5:$E$2000,C6,'Master Chapter Coverage'!$P$5:$P$2000,"DUPLICATE")</f>
        <v>0</v>
      </c>
      <c r="G6" s="10" t="str">
        <f>IF(AND(E6=D6,F6=0),"PASS","REVIEW")</f>
        <v>PASS</v>
      </c>
      <c r="H6" s="14">
        <f>IFERROR(E6/D6,0)</f>
        <v>1.0</v>
      </c>
    </row>
    <row r="7" ht="22" customHeight="1">
      <c r="A7" s="15" t="inlineStr">
        <is>
          <t xml:space="preserve">Old Testament</t>
        </is>
      </c>
      <c r="B7" s="15">
        <v>3</v>
      </c>
      <c r="C7" s="15" t="inlineStr">
        <is>
          <t xml:space="preserve">Leviticus</t>
        </is>
      </c>
      <c r="D7" s="15">
        <v>27</v>
      </c>
      <c r="E7" s="15">
        <f>COUNTIF('Master Chapter Coverage'!$E$5:$E$2000,C7)</f>
        <v>27</v>
      </c>
      <c r="F7" s="15">
        <f>COUNTIFS('Master Chapter Coverage'!$E$5:$E$2000,C7,'Master Chapter Coverage'!$P$5:$P$2000,"DUPLICATE")</f>
        <v>0</v>
      </c>
      <c r="G7" s="10" t="str">
        <f>IF(AND(E7=D7,F7=0),"PASS","REVIEW")</f>
        <v>PASS</v>
      </c>
      <c r="H7" s="14">
        <f>IFERROR(E7/D7,0)</f>
        <v>1.0</v>
      </c>
    </row>
    <row r="8" ht="22" customHeight="1">
      <c r="A8" s="15" t="inlineStr">
        <is>
          <t xml:space="preserve">Old Testament</t>
        </is>
      </c>
      <c r="B8" s="15">
        <v>4</v>
      </c>
      <c r="C8" s="15" t="inlineStr">
        <is>
          <t xml:space="preserve">Numbers</t>
        </is>
      </c>
      <c r="D8" s="15">
        <v>36</v>
      </c>
      <c r="E8" s="15">
        <f>COUNTIF('Master Chapter Coverage'!$E$5:$E$2000,C8)</f>
        <v>36</v>
      </c>
      <c r="F8" s="15">
        <f>COUNTIFS('Master Chapter Coverage'!$E$5:$E$2000,C8,'Master Chapter Coverage'!$P$5:$P$2000,"DUPLICATE")</f>
        <v>0</v>
      </c>
      <c r="G8" s="10" t="str">
        <f>IF(AND(E8=D8,F8=0),"PASS","REVIEW")</f>
        <v>PASS</v>
      </c>
      <c r="H8" s="14">
        <f>IFERROR(E8/D8,0)</f>
        <v>1.0</v>
      </c>
    </row>
    <row r="9" ht="22" customHeight="1">
      <c r="A9" s="15" t="inlineStr">
        <is>
          <t xml:space="preserve">Old Testament</t>
        </is>
      </c>
      <c r="B9" s="15">
        <v>5</v>
      </c>
      <c r="C9" s="15" t="inlineStr">
        <is>
          <t xml:space="preserve">Deuteronomy</t>
        </is>
      </c>
      <c r="D9" s="15">
        <v>34</v>
      </c>
      <c r="E9" s="15">
        <f>COUNTIF('Master Chapter Coverage'!$E$5:$E$2000,C9)</f>
        <v>34</v>
      </c>
      <c r="F9" s="15">
        <f>COUNTIFS('Master Chapter Coverage'!$E$5:$E$2000,C9,'Master Chapter Coverage'!$P$5:$P$2000,"DUPLICATE")</f>
        <v>0</v>
      </c>
      <c r="G9" s="10" t="str">
        <f>IF(AND(E9=D9,F9=0),"PASS","REVIEW")</f>
        <v>PASS</v>
      </c>
      <c r="H9" s="14">
        <f>IFERROR(E9/D9,0)</f>
        <v>1.0</v>
      </c>
    </row>
    <row r="10" ht="22" customHeight="1">
      <c r="A10" s="15" t="inlineStr">
        <is>
          <t xml:space="preserve">Old Testament</t>
        </is>
      </c>
      <c r="B10" s="15">
        <v>6</v>
      </c>
      <c r="C10" s="15" t="inlineStr">
        <is>
          <t xml:space="preserve">Joshua</t>
        </is>
      </c>
      <c r="D10" s="15">
        <v>24</v>
      </c>
      <c r="E10" s="15">
        <f>COUNTIF('Master Chapter Coverage'!$E$5:$E$2000,C10)</f>
        <v>24</v>
      </c>
      <c r="F10" s="15">
        <f>COUNTIFS('Master Chapter Coverage'!$E$5:$E$2000,C10,'Master Chapter Coverage'!$P$5:$P$2000,"DUPLICATE")</f>
        <v>0</v>
      </c>
      <c r="G10" s="10" t="str">
        <f>IF(AND(E10=D10,F10=0),"PASS","REVIEW")</f>
        <v>PASS</v>
      </c>
      <c r="H10" s="14">
        <f>IFERROR(E10/D10,0)</f>
        <v>1.0</v>
      </c>
    </row>
    <row r="11" ht="22" customHeight="1">
      <c r="A11" s="15" t="inlineStr">
        <is>
          <t xml:space="preserve">Old Testament</t>
        </is>
      </c>
      <c r="B11" s="15">
        <v>7</v>
      </c>
      <c r="C11" s="15" t="inlineStr">
        <is>
          <t xml:space="preserve">Judges</t>
        </is>
      </c>
      <c r="D11" s="15">
        <v>21</v>
      </c>
      <c r="E11" s="15">
        <f>COUNTIF('Master Chapter Coverage'!$E$5:$E$2000,C11)</f>
        <v>21</v>
      </c>
      <c r="F11" s="15">
        <f>COUNTIFS('Master Chapter Coverage'!$E$5:$E$2000,C11,'Master Chapter Coverage'!$P$5:$P$2000,"DUPLICATE")</f>
        <v>0</v>
      </c>
      <c r="G11" s="10" t="str">
        <f>IF(AND(E11=D11,F11=0),"PASS","REVIEW")</f>
        <v>PASS</v>
      </c>
      <c r="H11" s="14">
        <f>IFERROR(E11/D11,0)</f>
        <v>1.0</v>
      </c>
    </row>
    <row r="12" ht="22" customHeight="1">
      <c r="A12" s="15" t="inlineStr">
        <is>
          <t xml:space="preserve">Old Testament</t>
        </is>
      </c>
      <c r="B12" s="15">
        <v>8</v>
      </c>
      <c r="C12" s="15" t="inlineStr">
        <is>
          <t xml:space="preserve">Ruth</t>
        </is>
      </c>
      <c r="D12" s="15">
        <v>4</v>
      </c>
      <c r="E12" s="15">
        <f>COUNTIF('Master Chapter Coverage'!$E$5:$E$2000,C12)</f>
        <v>4</v>
      </c>
      <c r="F12" s="15">
        <f>COUNTIFS('Master Chapter Coverage'!$E$5:$E$2000,C12,'Master Chapter Coverage'!$P$5:$P$2000,"DUPLICATE")</f>
        <v>0</v>
      </c>
      <c r="G12" s="10" t="str">
        <f>IF(AND(E12=D12,F12=0),"PASS","REVIEW")</f>
        <v>PASS</v>
      </c>
      <c r="H12" s="14">
        <f>IFERROR(E12/D12,0)</f>
        <v>1.0</v>
      </c>
    </row>
    <row r="13" ht="22" customHeight="1">
      <c r="A13" s="15" t="inlineStr">
        <is>
          <t xml:space="preserve">Old Testament</t>
        </is>
      </c>
      <c r="B13" s="15">
        <v>9</v>
      </c>
      <c r="C13" s="15" t="inlineStr">
        <is>
          <t xml:space="preserve">1 Samuel</t>
        </is>
      </c>
      <c r="D13" s="15">
        <v>31</v>
      </c>
      <c r="E13" s="15">
        <f>COUNTIF('Master Chapter Coverage'!$E$5:$E$2000,C13)</f>
        <v>31</v>
      </c>
      <c r="F13" s="15">
        <f>COUNTIFS('Master Chapter Coverage'!$E$5:$E$2000,C13,'Master Chapter Coverage'!$P$5:$P$2000,"DUPLICATE")</f>
        <v>0</v>
      </c>
      <c r="G13" s="10" t="str">
        <f>IF(AND(E13=D13,F13=0),"PASS","REVIEW")</f>
        <v>PASS</v>
      </c>
      <c r="H13" s="14">
        <f>IFERROR(E13/D13,0)</f>
        <v>1.0</v>
      </c>
    </row>
    <row r="14" ht="22" customHeight="1">
      <c r="A14" s="15" t="inlineStr">
        <is>
          <t xml:space="preserve">Old Testament</t>
        </is>
      </c>
      <c r="B14" s="15">
        <v>10</v>
      </c>
      <c r="C14" s="15" t="inlineStr">
        <is>
          <t xml:space="preserve">2 Samuel</t>
        </is>
      </c>
      <c r="D14" s="15">
        <v>24</v>
      </c>
      <c r="E14" s="15">
        <f>COUNTIF('Master Chapter Coverage'!$E$5:$E$2000,C14)</f>
        <v>24</v>
      </c>
      <c r="F14" s="15">
        <f>COUNTIFS('Master Chapter Coverage'!$E$5:$E$2000,C14,'Master Chapter Coverage'!$P$5:$P$2000,"DUPLICATE")</f>
        <v>0</v>
      </c>
      <c r="G14" s="10" t="str">
        <f>IF(AND(E14=D14,F14=0),"PASS","REVIEW")</f>
        <v>PASS</v>
      </c>
      <c r="H14" s="14">
        <f>IFERROR(E14/D14,0)</f>
        <v>1.0</v>
      </c>
    </row>
    <row r="15" ht="22" customHeight="1">
      <c r="A15" s="15" t="inlineStr">
        <is>
          <t xml:space="preserve">Old Testament</t>
        </is>
      </c>
      <c r="B15" s="15">
        <v>11</v>
      </c>
      <c r="C15" s="15" t="inlineStr">
        <is>
          <t xml:space="preserve">1 Kings</t>
        </is>
      </c>
      <c r="D15" s="15">
        <v>22</v>
      </c>
      <c r="E15" s="15">
        <f>COUNTIF('Master Chapter Coverage'!$E$5:$E$2000,C15)</f>
        <v>22</v>
      </c>
      <c r="F15" s="15">
        <f>COUNTIFS('Master Chapter Coverage'!$E$5:$E$2000,C15,'Master Chapter Coverage'!$P$5:$P$2000,"DUPLICATE")</f>
        <v>0</v>
      </c>
      <c r="G15" s="10" t="str">
        <f>IF(AND(E15=D15,F15=0),"PASS","REVIEW")</f>
        <v>PASS</v>
      </c>
      <c r="H15" s="14">
        <f>IFERROR(E15/D15,0)</f>
        <v>1.0</v>
      </c>
    </row>
    <row r="16" ht="22" customHeight="1">
      <c r="A16" s="15" t="inlineStr">
        <is>
          <t xml:space="preserve">Old Testament</t>
        </is>
      </c>
      <c r="B16" s="15">
        <v>12</v>
      </c>
      <c r="C16" s="15" t="inlineStr">
        <is>
          <t xml:space="preserve">2 Kings</t>
        </is>
      </c>
      <c r="D16" s="15">
        <v>25</v>
      </c>
      <c r="E16" s="15">
        <f>COUNTIF('Master Chapter Coverage'!$E$5:$E$2000,C16)</f>
        <v>25</v>
      </c>
      <c r="F16" s="15">
        <f>COUNTIFS('Master Chapter Coverage'!$E$5:$E$2000,C16,'Master Chapter Coverage'!$P$5:$P$2000,"DUPLICATE")</f>
        <v>0</v>
      </c>
      <c r="G16" s="10" t="str">
        <f>IF(AND(E16=D16,F16=0),"PASS","REVIEW")</f>
        <v>PASS</v>
      </c>
      <c r="H16" s="14">
        <f>IFERROR(E16/D16,0)</f>
        <v>1.0</v>
      </c>
    </row>
    <row r="17" ht="22" customHeight="1">
      <c r="A17" s="15" t="inlineStr">
        <is>
          <t xml:space="preserve">Old Testament</t>
        </is>
      </c>
      <c r="B17" s="15">
        <v>13</v>
      </c>
      <c r="C17" s="15" t="inlineStr">
        <is>
          <t xml:space="preserve">1 Chronicles</t>
        </is>
      </c>
      <c r="D17" s="15">
        <v>29</v>
      </c>
      <c r="E17" s="15">
        <f>COUNTIF('Master Chapter Coverage'!$E$5:$E$2000,C17)</f>
        <v>29</v>
      </c>
      <c r="F17" s="15">
        <f>COUNTIFS('Master Chapter Coverage'!$E$5:$E$2000,C17,'Master Chapter Coverage'!$P$5:$P$2000,"DUPLICATE")</f>
        <v>0</v>
      </c>
      <c r="G17" s="10" t="str">
        <f>IF(AND(E17=D17,F17=0),"PASS","REVIEW")</f>
        <v>PASS</v>
      </c>
      <c r="H17" s="14">
        <f>IFERROR(E17/D17,0)</f>
        <v>1.0</v>
      </c>
    </row>
    <row r="18" ht="22" customHeight="1">
      <c r="A18" s="15" t="inlineStr">
        <is>
          <t xml:space="preserve">Old Testament</t>
        </is>
      </c>
      <c r="B18" s="15">
        <v>14</v>
      </c>
      <c r="C18" s="15" t="inlineStr">
        <is>
          <t xml:space="preserve">2 Chronicles</t>
        </is>
      </c>
      <c r="D18" s="15">
        <v>36</v>
      </c>
      <c r="E18" s="15">
        <f>COUNTIF('Master Chapter Coverage'!$E$5:$E$2000,C18)</f>
        <v>36</v>
      </c>
      <c r="F18" s="15">
        <f>COUNTIFS('Master Chapter Coverage'!$E$5:$E$2000,C18,'Master Chapter Coverage'!$P$5:$P$2000,"DUPLICATE")</f>
        <v>0</v>
      </c>
      <c r="G18" s="10" t="str">
        <f>IF(AND(E18=D18,F18=0),"PASS","REVIEW")</f>
        <v>PASS</v>
      </c>
      <c r="H18" s="14">
        <f>IFERROR(E18/D18,0)</f>
        <v>1.0</v>
      </c>
    </row>
    <row r="19" ht="22" customHeight="1">
      <c r="A19" s="15" t="inlineStr">
        <is>
          <t xml:space="preserve">Old Testament</t>
        </is>
      </c>
      <c r="B19" s="15">
        <v>15</v>
      </c>
      <c r="C19" s="15" t="inlineStr">
        <is>
          <t xml:space="preserve">Ezra</t>
        </is>
      </c>
      <c r="D19" s="15">
        <v>10</v>
      </c>
      <c r="E19" s="15">
        <f>COUNTIF('Master Chapter Coverage'!$E$5:$E$2000,C19)</f>
        <v>10</v>
      </c>
      <c r="F19" s="15">
        <f>COUNTIFS('Master Chapter Coverage'!$E$5:$E$2000,C19,'Master Chapter Coverage'!$P$5:$P$2000,"DUPLICATE")</f>
        <v>0</v>
      </c>
      <c r="G19" s="10" t="str">
        <f>IF(AND(E19=D19,F19=0),"PASS","REVIEW")</f>
        <v>PASS</v>
      </c>
      <c r="H19" s="14">
        <f>IFERROR(E19/D19,0)</f>
        <v>1.0</v>
      </c>
    </row>
    <row r="20" ht="22" customHeight="1">
      <c r="A20" s="15" t="inlineStr">
        <is>
          <t xml:space="preserve">Old Testament</t>
        </is>
      </c>
      <c r="B20" s="15">
        <v>16</v>
      </c>
      <c r="C20" s="15" t="inlineStr">
        <is>
          <t xml:space="preserve">Nehemiah</t>
        </is>
      </c>
      <c r="D20" s="15">
        <v>13</v>
      </c>
      <c r="E20" s="15">
        <f>COUNTIF('Master Chapter Coverage'!$E$5:$E$2000,C20)</f>
        <v>13</v>
      </c>
      <c r="F20" s="15">
        <f>COUNTIFS('Master Chapter Coverage'!$E$5:$E$2000,C20,'Master Chapter Coverage'!$P$5:$P$2000,"DUPLICATE")</f>
        <v>0</v>
      </c>
      <c r="G20" s="10" t="str">
        <f>IF(AND(E20=D20,F20=0),"PASS","REVIEW")</f>
        <v>PASS</v>
      </c>
      <c r="H20" s="14">
        <f>IFERROR(E20/D20,0)</f>
        <v>1.0</v>
      </c>
    </row>
    <row r="21" ht="22" customHeight="1">
      <c r="A21" s="15" t="inlineStr">
        <is>
          <t xml:space="preserve">Old Testament</t>
        </is>
      </c>
      <c r="B21" s="15">
        <v>17</v>
      </c>
      <c r="C21" s="15" t="inlineStr">
        <is>
          <t xml:space="preserve">Esther</t>
        </is>
      </c>
      <c r="D21" s="15">
        <v>10</v>
      </c>
      <c r="E21" s="15">
        <f>COUNTIF('Master Chapter Coverage'!$E$5:$E$2000,C21)</f>
        <v>10</v>
      </c>
      <c r="F21" s="15">
        <f>COUNTIFS('Master Chapter Coverage'!$E$5:$E$2000,C21,'Master Chapter Coverage'!$P$5:$P$2000,"DUPLICATE")</f>
        <v>0</v>
      </c>
      <c r="G21" s="10" t="str">
        <f>IF(AND(E21=D21,F21=0),"PASS","REVIEW")</f>
        <v>PASS</v>
      </c>
      <c r="H21" s="14">
        <f>IFERROR(E21/D21,0)</f>
        <v>1.0</v>
      </c>
    </row>
    <row r="22" ht="22" customHeight="1">
      <c r="A22" s="15" t="inlineStr">
        <is>
          <t xml:space="preserve">Old Testament</t>
        </is>
      </c>
      <c r="B22" s="15">
        <v>18</v>
      </c>
      <c r="C22" s="15" t="inlineStr">
        <is>
          <t xml:space="preserve">Job</t>
        </is>
      </c>
      <c r="D22" s="15">
        <v>42</v>
      </c>
      <c r="E22" s="15">
        <f>COUNTIF('Master Chapter Coverage'!$E$5:$E$2000,C22)</f>
        <v>42</v>
      </c>
      <c r="F22" s="15">
        <f>COUNTIFS('Master Chapter Coverage'!$E$5:$E$2000,C22,'Master Chapter Coverage'!$P$5:$P$2000,"DUPLICATE")</f>
        <v>0</v>
      </c>
      <c r="G22" s="10" t="str">
        <f>IF(AND(E22=D22,F22=0),"PASS","REVIEW")</f>
        <v>PASS</v>
      </c>
      <c r="H22" s="14">
        <f>IFERROR(E22/D22,0)</f>
        <v>1.0</v>
      </c>
    </row>
    <row r="23" ht="22" customHeight="1">
      <c r="A23" s="15" t="inlineStr">
        <is>
          <t xml:space="preserve">Old Testament</t>
        </is>
      </c>
      <c r="B23" s="15">
        <v>19</v>
      </c>
      <c r="C23" s="15" t="inlineStr">
        <is>
          <t xml:space="preserve">Psalms</t>
        </is>
      </c>
      <c r="D23" s="15">
        <v>150</v>
      </c>
      <c r="E23" s="15">
        <f>COUNTIF('Master Chapter Coverage'!$E$5:$E$2000,C23)</f>
        <v>150</v>
      </c>
      <c r="F23" s="15">
        <f>COUNTIFS('Master Chapter Coverage'!$E$5:$E$2000,C23,'Master Chapter Coverage'!$P$5:$P$2000,"DUPLICATE")</f>
        <v>0</v>
      </c>
      <c r="G23" s="10" t="str">
        <f>IF(AND(E23=D23,F23=0),"PASS","REVIEW")</f>
        <v>PASS</v>
      </c>
      <c r="H23" s="14">
        <f>IFERROR(E23/D23,0)</f>
        <v>1.0</v>
      </c>
    </row>
    <row r="24" ht="22" customHeight="1">
      <c r="A24" s="15" t="inlineStr">
        <is>
          <t xml:space="preserve">Old Testament</t>
        </is>
      </c>
      <c r="B24" s="15">
        <v>20</v>
      </c>
      <c r="C24" s="15" t="inlineStr">
        <is>
          <t xml:space="preserve">Proverbs</t>
        </is>
      </c>
      <c r="D24" s="15">
        <v>31</v>
      </c>
      <c r="E24" s="15">
        <f>COUNTIF('Master Chapter Coverage'!$E$5:$E$2000,C24)</f>
        <v>31</v>
      </c>
      <c r="F24" s="15">
        <f>COUNTIFS('Master Chapter Coverage'!$E$5:$E$2000,C24,'Master Chapter Coverage'!$P$5:$P$2000,"DUPLICATE")</f>
        <v>0</v>
      </c>
      <c r="G24" s="10" t="str">
        <f>IF(AND(E24=D24,F24=0),"PASS","REVIEW")</f>
        <v>PASS</v>
      </c>
      <c r="H24" s="14">
        <f>IFERROR(E24/D24,0)</f>
        <v>1.0</v>
      </c>
    </row>
    <row r="25" ht="22" customHeight="1">
      <c r="A25" s="15" t="inlineStr">
        <is>
          <t xml:space="preserve">Old Testament</t>
        </is>
      </c>
      <c r="B25" s="15">
        <v>21</v>
      </c>
      <c r="C25" s="15" t="inlineStr">
        <is>
          <t xml:space="preserve">Ecclesiastes</t>
        </is>
      </c>
      <c r="D25" s="15">
        <v>12</v>
      </c>
      <c r="E25" s="15">
        <f>COUNTIF('Master Chapter Coverage'!$E$5:$E$2000,C25)</f>
        <v>12</v>
      </c>
      <c r="F25" s="15">
        <f>COUNTIFS('Master Chapter Coverage'!$E$5:$E$2000,C25,'Master Chapter Coverage'!$P$5:$P$2000,"DUPLICATE")</f>
        <v>0</v>
      </c>
      <c r="G25" s="10" t="str">
        <f>IF(AND(E25=D25,F25=0),"PASS","REVIEW")</f>
        <v>PASS</v>
      </c>
      <c r="H25" s="14">
        <f>IFERROR(E25/D25,0)</f>
        <v>1.0</v>
      </c>
    </row>
    <row r="26" ht="22" customHeight="1">
      <c r="A26" s="15" t="inlineStr">
        <is>
          <t xml:space="preserve">Old Testament</t>
        </is>
      </c>
      <c r="B26" s="15">
        <v>22</v>
      </c>
      <c r="C26" s="15" t="inlineStr">
        <is>
          <t xml:space="preserve">Song of Songs</t>
        </is>
      </c>
      <c r="D26" s="15">
        <v>8</v>
      </c>
      <c r="E26" s="15">
        <f>COUNTIF('Master Chapter Coverage'!$E$5:$E$2000,C26)</f>
        <v>8</v>
      </c>
      <c r="F26" s="15">
        <f>COUNTIFS('Master Chapter Coverage'!$E$5:$E$2000,C26,'Master Chapter Coverage'!$P$5:$P$2000,"DUPLICATE")</f>
        <v>0</v>
      </c>
      <c r="G26" s="10" t="str">
        <f>IF(AND(E26=D26,F26=0),"PASS","REVIEW")</f>
        <v>PASS</v>
      </c>
      <c r="H26" s="14">
        <f>IFERROR(E26/D26,0)</f>
        <v>1.0</v>
      </c>
    </row>
    <row r="27" ht="22" customHeight="1">
      <c r="A27" s="15" t="inlineStr">
        <is>
          <t xml:space="preserve">Old Testament</t>
        </is>
      </c>
      <c r="B27" s="15">
        <v>23</v>
      </c>
      <c r="C27" s="15" t="inlineStr">
        <is>
          <t xml:space="preserve">Isaiah</t>
        </is>
      </c>
      <c r="D27" s="15">
        <v>66</v>
      </c>
      <c r="E27" s="15">
        <f>COUNTIF('Master Chapter Coverage'!$E$5:$E$2000,C27)</f>
        <v>66</v>
      </c>
      <c r="F27" s="15">
        <f>COUNTIFS('Master Chapter Coverage'!$E$5:$E$2000,C27,'Master Chapter Coverage'!$P$5:$P$2000,"DUPLICATE")</f>
        <v>0</v>
      </c>
      <c r="G27" s="10" t="str">
        <f>IF(AND(E27=D27,F27=0),"PASS","REVIEW")</f>
        <v>PASS</v>
      </c>
      <c r="H27" s="14">
        <f>IFERROR(E27/D27,0)</f>
        <v>1.0</v>
      </c>
    </row>
    <row r="28" ht="22" customHeight="1">
      <c r="A28" s="15" t="inlineStr">
        <is>
          <t xml:space="preserve">Old Testament</t>
        </is>
      </c>
      <c r="B28" s="15">
        <v>24</v>
      </c>
      <c r="C28" s="15" t="inlineStr">
        <is>
          <t xml:space="preserve">Jeremiah</t>
        </is>
      </c>
      <c r="D28" s="15">
        <v>52</v>
      </c>
      <c r="E28" s="15">
        <f>COUNTIF('Master Chapter Coverage'!$E$5:$E$2000,C28)</f>
        <v>52</v>
      </c>
      <c r="F28" s="15">
        <f>COUNTIFS('Master Chapter Coverage'!$E$5:$E$2000,C28,'Master Chapter Coverage'!$P$5:$P$2000,"DUPLICATE")</f>
        <v>0</v>
      </c>
      <c r="G28" s="10" t="str">
        <f>IF(AND(E28=D28,F28=0),"PASS","REVIEW")</f>
        <v>PASS</v>
      </c>
      <c r="H28" s="14">
        <f>IFERROR(E28/D28,0)</f>
        <v>1.0</v>
      </c>
    </row>
    <row r="29" ht="22" customHeight="1">
      <c r="A29" s="15" t="inlineStr">
        <is>
          <t xml:space="preserve">Old Testament</t>
        </is>
      </c>
      <c r="B29" s="15">
        <v>25</v>
      </c>
      <c r="C29" s="15" t="inlineStr">
        <is>
          <t xml:space="preserve">Lamentations</t>
        </is>
      </c>
      <c r="D29" s="15">
        <v>5</v>
      </c>
      <c r="E29" s="15">
        <f>COUNTIF('Master Chapter Coverage'!$E$5:$E$2000,C29)</f>
        <v>5</v>
      </c>
      <c r="F29" s="15">
        <f>COUNTIFS('Master Chapter Coverage'!$E$5:$E$2000,C29,'Master Chapter Coverage'!$P$5:$P$2000,"DUPLICATE")</f>
        <v>0</v>
      </c>
      <c r="G29" s="10" t="str">
        <f>IF(AND(E29=D29,F29=0),"PASS","REVIEW")</f>
        <v>PASS</v>
      </c>
      <c r="H29" s="14">
        <f>IFERROR(E29/D29,0)</f>
        <v>1.0</v>
      </c>
    </row>
    <row r="30" ht="22" customHeight="1">
      <c r="A30" s="15" t="inlineStr">
        <is>
          <t xml:space="preserve">Old Testament</t>
        </is>
      </c>
      <c r="B30" s="15">
        <v>26</v>
      </c>
      <c r="C30" s="15" t="inlineStr">
        <is>
          <t xml:space="preserve">Ezekiel</t>
        </is>
      </c>
      <c r="D30" s="15">
        <v>48</v>
      </c>
      <c r="E30" s="15">
        <f>COUNTIF('Master Chapter Coverage'!$E$5:$E$2000,C30)</f>
        <v>48</v>
      </c>
      <c r="F30" s="15">
        <f>COUNTIFS('Master Chapter Coverage'!$E$5:$E$2000,C30,'Master Chapter Coverage'!$P$5:$P$2000,"DUPLICATE")</f>
        <v>0</v>
      </c>
      <c r="G30" s="10" t="str">
        <f>IF(AND(E30=D30,F30=0),"PASS","REVIEW")</f>
        <v>PASS</v>
      </c>
      <c r="H30" s="14">
        <f>IFERROR(E30/D30,0)</f>
        <v>1.0</v>
      </c>
    </row>
    <row r="31" ht="22" customHeight="1">
      <c r="A31" s="15" t="inlineStr">
        <is>
          <t xml:space="preserve">Old Testament</t>
        </is>
      </c>
      <c r="B31" s="15">
        <v>27</v>
      </c>
      <c r="C31" s="15" t="inlineStr">
        <is>
          <t xml:space="preserve">Daniel</t>
        </is>
      </c>
      <c r="D31" s="15">
        <v>12</v>
      </c>
      <c r="E31" s="15">
        <f>COUNTIF('Master Chapter Coverage'!$E$5:$E$2000,C31)</f>
        <v>12</v>
      </c>
      <c r="F31" s="15">
        <f>COUNTIFS('Master Chapter Coverage'!$E$5:$E$2000,C31,'Master Chapter Coverage'!$P$5:$P$2000,"DUPLICATE")</f>
        <v>0</v>
      </c>
      <c r="G31" s="10" t="str">
        <f>IF(AND(E31=D31,F31=0),"PASS","REVIEW")</f>
        <v>PASS</v>
      </c>
      <c r="H31" s="14">
        <f>IFERROR(E31/D31,0)</f>
        <v>1.0</v>
      </c>
    </row>
    <row r="32" ht="22" customHeight="1">
      <c r="A32" s="15" t="inlineStr">
        <is>
          <t xml:space="preserve">Old Testament</t>
        </is>
      </c>
      <c r="B32" s="15">
        <v>28</v>
      </c>
      <c r="C32" s="15" t="inlineStr">
        <is>
          <t xml:space="preserve">Hosea</t>
        </is>
      </c>
      <c r="D32" s="15">
        <v>14</v>
      </c>
      <c r="E32" s="15">
        <f>COUNTIF('Master Chapter Coverage'!$E$5:$E$2000,C32)</f>
        <v>14</v>
      </c>
      <c r="F32" s="15">
        <f>COUNTIFS('Master Chapter Coverage'!$E$5:$E$2000,C32,'Master Chapter Coverage'!$P$5:$P$2000,"DUPLICATE")</f>
        <v>0</v>
      </c>
      <c r="G32" s="10" t="str">
        <f>IF(AND(E32=D32,F32=0),"PASS","REVIEW")</f>
        <v>PASS</v>
      </c>
      <c r="H32" s="14">
        <f>IFERROR(E32/D32,0)</f>
        <v>1.0</v>
      </c>
    </row>
    <row r="33" ht="22" customHeight="1">
      <c r="A33" s="15" t="inlineStr">
        <is>
          <t xml:space="preserve">Old Testament</t>
        </is>
      </c>
      <c r="B33" s="15">
        <v>29</v>
      </c>
      <c r="C33" s="15" t="inlineStr">
        <is>
          <t xml:space="preserve">Joel</t>
        </is>
      </c>
      <c r="D33" s="15">
        <v>3</v>
      </c>
      <c r="E33" s="15">
        <f>COUNTIF('Master Chapter Coverage'!$E$5:$E$2000,C33)</f>
        <v>3</v>
      </c>
      <c r="F33" s="15">
        <f>COUNTIFS('Master Chapter Coverage'!$E$5:$E$2000,C33,'Master Chapter Coverage'!$P$5:$P$2000,"DUPLICATE")</f>
        <v>0</v>
      </c>
      <c r="G33" s="10" t="str">
        <f>IF(AND(E33=D33,F33=0),"PASS","REVIEW")</f>
        <v>PASS</v>
      </c>
      <c r="H33" s="14">
        <f>IFERROR(E33/D33,0)</f>
        <v>1.0</v>
      </c>
    </row>
    <row r="34" ht="22" customHeight="1">
      <c r="A34" s="15" t="inlineStr">
        <is>
          <t xml:space="preserve">Old Testament</t>
        </is>
      </c>
      <c r="B34" s="15">
        <v>30</v>
      </c>
      <c r="C34" s="15" t="inlineStr">
        <is>
          <t xml:space="preserve">Amos</t>
        </is>
      </c>
      <c r="D34" s="15">
        <v>9</v>
      </c>
      <c r="E34" s="15">
        <f>COUNTIF('Master Chapter Coverage'!$E$5:$E$2000,C34)</f>
        <v>9</v>
      </c>
      <c r="F34" s="15">
        <f>COUNTIFS('Master Chapter Coverage'!$E$5:$E$2000,C34,'Master Chapter Coverage'!$P$5:$P$2000,"DUPLICATE")</f>
        <v>0</v>
      </c>
      <c r="G34" s="10" t="str">
        <f>IF(AND(E34=D34,F34=0),"PASS","REVIEW")</f>
        <v>PASS</v>
      </c>
      <c r="H34" s="14">
        <f>IFERROR(E34/D34,0)</f>
        <v>1.0</v>
      </c>
    </row>
    <row r="35" ht="22" customHeight="1">
      <c r="A35" s="15" t="inlineStr">
        <is>
          <t xml:space="preserve">Old Testament</t>
        </is>
      </c>
      <c r="B35" s="15">
        <v>31</v>
      </c>
      <c r="C35" s="15" t="inlineStr">
        <is>
          <t xml:space="preserve">Obadiah</t>
        </is>
      </c>
      <c r="D35" s="15">
        <v>1</v>
      </c>
      <c r="E35" s="15">
        <f>COUNTIF('Master Chapter Coverage'!$E$5:$E$2000,C35)</f>
        <v>1</v>
      </c>
      <c r="F35" s="15">
        <f>COUNTIFS('Master Chapter Coverage'!$E$5:$E$2000,C35,'Master Chapter Coverage'!$P$5:$P$2000,"DUPLICATE")</f>
        <v>0</v>
      </c>
      <c r="G35" s="10" t="str">
        <f>IF(AND(E35=D35,F35=0),"PASS","REVIEW")</f>
        <v>PASS</v>
      </c>
      <c r="H35" s="14">
        <f>IFERROR(E35/D35,0)</f>
        <v>1.0</v>
      </c>
    </row>
    <row r="36" ht="22" customHeight="1">
      <c r="A36" s="15" t="inlineStr">
        <is>
          <t xml:space="preserve">Old Testament</t>
        </is>
      </c>
      <c r="B36" s="15">
        <v>32</v>
      </c>
      <c r="C36" s="15" t="inlineStr">
        <is>
          <t xml:space="preserve">Jonah</t>
        </is>
      </c>
      <c r="D36" s="15">
        <v>4</v>
      </c>
      <c r="E36" s="15">
        <f>COUNTIF('Master Chapter Coverage'!$E$5:$E$2000,C36)</f>
        <v>4</v>
      </c>
      <c r="F36" s="15">
        <f>COUNTIFS('Master Chapter Coverage'!$E$5:$E$2000,C36,'Master Chapter Coverage'!$P$5:$P$2000,"DUPLICATE")</f>
        <v>0</v>
      </c>
      <c r="G36" s="10" t="str">
        <f>IF(AND(E36=D36,F36=0),"PASS","REVIEW")</f>
        <v>PASS</v>
      </c>
      <c r="H36" s="14">
        <f>IFERROR(E36/D36,0)</f>
        <v>1.0</v>
      </c>
    </row>
    <row r="37" ht="22" customHeight="1">
      <c r="A37" s="15" t="inlineStr">
        <is>
          <t xml:space="preserve">Old Testament</t>
        </is>
      </c>
      <c r="B37" s="15">
        <v>33</v>
      </c>
      <c r="C37" s="15" t="inlineStr">
        <is>
          <t xml:space="preserve">Micah</t>
        </is>
      </c>
      <c r="D37" s="15">
        <v>7</v>
      </c>
      <c r="E37" s="15">
        <f>COUNTIF('Master Chapter Coverage'!$E$5:$E$2000,C37)</f>
        <v>7</v>
      </c>
      <c r="F37" s="15">
        <f>COUNTIFS('Master Chapter Coverage'!$E$5:$E$2000,C37,'Master Chapter Coverage'!$P$5:$P$2000,"DUPLICATE")</f>
        <v>0</v>
      </c>
      <c r="G37" s="10" t="str">
        <f>IF(AND(E37=D37,F37=0),"PASS","REVIEW")</f>
        <v>PASS</v>
      </c>
      <c r="H37" s="14">
        <f>IFERROR(E37/D37,0)</f>
        <v>1.0</v>
      </c>
    </row>
    <row r="38" ht="22" customHeight="1">
      <c r="A38" s="15" t="inlineStr">
        <is>
          <t xml:space="preserve">Old Testament</t>
        </is>
      </c>
      <c r="B38" s="15">
        <v>34</v>
      </c>
      <c r="C38" s="15" t="inlineStr">
        <is>
          <t xml:space="preserve">Nahum</t>
        </is>
      </c>
      <c r="D38" s="15">
        <v>3</v>
      </c>
      <c r="E38" s="15">
        <f>COUNTIF('Master Chapter Coverage'!$E$5:$E$2000,C38)</f>
        <v>3</v>
      </c>
      <c r="F38" s="15">
        <f>COUNTIFS('Master Chapter Coverage'!$E$5:$E$2000,C38,'Master Chapter Coverage'!$P$5:$P$2000,"DUPLICATE")</f>
        <v>0</v>
      </c>
      <c r="G38" s="10" t="str">
        <f>IF(AND(E38=D38,F38=0),"PASS","REVIEW")</f>
        <v>PASS</v>
      </c>
      <c r="H38" s="14">
        <f>IFERROR(E38/D38,0)</f>
        <v>1.0</v>
      </c>
    </row>
    <row r="39" ht="22" customHeight="1">
      <c r="A39" s="15" t="inlineStr">
        <is>
          <t xml:space="preserve">Old Testament</t>
        </is>
      </c>
      <c r="B39" s="15">
        <v>35</v>
      </c>
      <c r="C39" s="15" t="inlineStr">
        <is>
          <t xml:space="preserve">Habakkuk</t>
        </is>
      </c>
      <c r="D39" s="15">
        <v>3</v>
      </c>
      <c r="E39" s="15">
        <f>COUNTIF('Master Chapter Coverage'!$E$5:$E$2000,C39)</f>
        <v>3</v>
      </c>
      <c r="F39" s="15">
        <f>COUNTIFS('Master Chapter Coverage'!$E$5:$E$2000,C39,'Master Chapter Coverage'!$P$5:$P$2000,"DUPLICATE")</f>
        <v>0</v>
      </c>
      <c r="G39" s="10" t="str">
        <f>IF(AND(E39=D39,F39=0),"PASS","REVIEW")</f>
        <v>PASS</v>
      </c>
      <c r="H39" s="14">
        <f>IFERROR(E39/D39,0)</f>
        <v>1.0</v>
      </c>
    </row>
    <row r="40" ht="22" customHeight="1">
      <c r="A40" s="15" t="inlineStr">
        <is>
          <t xml:space="preserve">Old Testament</t>
        </is>
      </c>
      <c r="B40" s="15">
        <v>36</v>
      </c>
      <c r="C40" s="15" t="inlineStr">
        <is>
          <t xml:space="preserve">Zephaniah</t>
        </is>
      </c>
      <c r="D40" s="15">
        <v>3</v>
      </c>
      <c r="E40" s="15">
        <f>COUNTIF('Master Chapter Coverage'!$E$5:$E$2000,C40)</f>
        <v>3</v>
      </c>
      <c r="F40" s="15">
        <f>COUNTIFS('Master Chapter Coverage'!$E$5:$E$2000,C40,'Master Chapter Coverage'!$P$5:$P$2000,"DUPLICATE")</f>
        <v>0</v>
      </c>
      <c r="G40" s="10" t="str">
        <f>IF(AND(E40=D40,F40=0),"PASS","REVIEW")</f>
        <v>PASS</v>
      </c>
      <c r="H40" s="14">
        <f>IFERROR(E40/D40,0)</f>
        <v>1.0</v>
      </c>
    </row>
    <row r="41" ht="22" customHeight="1">
      <c r="A41" s="15" t="inlineStr">
        <is>
          <t xml:space="preserve">Old Testament</t>
        </is>
      </c>
      <c r="B41" s="15">
        <v>37</v>
      </c>
      <c r="C41" s="15" t="inlineStr">
        <is>
          <t xml:space="preserve">Haggai</t>
        </is>
      </c>
      <c r="D41" s="15">
        <v>2</v>
      </c>
      <c r="E41" s="15">
        <f>COUNTIF('Master Chapter Coverage'!$E$5:$E$2000,C41)</f>
        <v>2</v>
      </c>
      <c r="F41" s="15">
        <f>COUNTIFS('Master Chapter Coverage'!$E$5:$E$2000,C41,'Master Chapter Coverage'!$P$5:$P$2000,"DUPLICATE")</f>
        <v>0</v>
      </c>
      <c r="G41" s="10" t="str">
        <f>IF(AND(E41=D41,F41=0),"PASS","REVIEW")</f>
        <v>PASS</v>
      </c>
      <c r="H41" s="14">
        <f>IFERROR(E41/D41,0)</f>
        <v>1.0</v>
      </c>
    </row>
    <row r="42" ht="22" customHeight="1">
      <c r="A42" s="15" t="inlineStr">
        <is>
          <t xml:space="preserve">Old Testament</t>
        </is>
      </c>
      <c r="B42" s="15">
        <v>38</v>
      </c>
      <c r="C42" s="15" t="inlineStr">
        <is>
          <t xml:space="preserve">Zechariah</t>
        </is>
      </c>
      <c r="D42" s="15">
        <v>14</v>
      </c>
      <c r="E42" s="15">
        <f>COUNTIF('Master Chapter Coverage'!$E$5:$E$2000,C42)</f>
        <v>14</v>
      </c>
      <c r="F42" s="15">
        <f>COUNTIFS('Master Chapter Coverage'!$E$5:$E$2000,C42,'Master Chapter Coverage'!$P$5:$P$2000,"DUPLICATE")</f>
        <v>0</v>
      </c>
      <c r="G42" s="10" t="str">
        <f>IF(AND(E42=D42,F42=0),"PASS","REVIEW")</f>
        <v>PASS</v>
      </c>
      <c r="H42" s="14">
        <f>IFERROR(E42/D42,0)</f>
        <v>1.0</v>
      </c>
    </row>
    <row r="43" ht="22" customHeight="1">
      <c r="A43" s="15" t="inlineStr">
        <is>
          <t xml:space="preserve">Old Testament</t>
        </is>
      </c>
      <c r="B43" s="15">
        <v>39</v>
      </c>
      <c r="C43" s="15" t="inlineStr">
        <is>
          <t xml:space="preserve">Malachi</t>
        </is>
      </c>
      <c r="D43" s="15">
        <v>4</v>
      </c>
      <c r="E43" s="15">
        <f>COUNTIF('Master Chapter Coverage'!$E$5:$E$2000,C43)</f>
        <v>4</v>
      </c>
      <c r="F43" s="15">
        <f>COUNTIFS('Master Chapter Coverage'!$E$5:$E$2000,C43,'Master Chapter Coverage'!$P$5:$P$2000,"DUPLICATE")</f>
        <v>0</v>
      </c>
      <c r="G43" s="10" t="str">
        <f>IF(AND(E43=D43,F43=0),"PASS","REVIEW")</f>
        <v>PASS</v>
      </c>
      <c r="H43" s="14">
        <f>IFERROR(E43/D43,0)</f>
        <v>1.0</v>
      </c>
    </row>
    <row r="44" ht="22" customHeight="1">
      <c r="A44" s="15" t="inlineStr">
        <is>
          <t xml:space="preserve">New Testament</t>
        </is>
      </c>
      <c r="B44" s="15">
        <v>40</v>
      </c>
      <c r="C44" s="15" t="inlineStr">
        <is>
          <t xml:space="preserve">Matthew</t>
        </is>
      </c>
      <c r="D44" s="15">
        <v>28</v>
      </c>
      <c r="E44" s="15">
        <f>COUNTIF('Master Chapter Coverage'!$E$5:$E$2000,C44)</f>
        <v>28</v>
      </c>
      <c r="F44" s="15">
        <f>COUNTIFS('Master Chapter Coverage'!$E$5:$E$2000,C44,'Master Chapter Coverage'!$P$5:$P$2000,"DUPLICATE")</f>
        <v>0</v>
      </c>
      <c r="G44" s="10" t="str">
        <f>IF(AND(E44=D44,F44=0),"PASS","REVIEW")</f>
        <v>PASS</v>
      </c>
      <c r="H44" s="14">
        <f>IFERROR(E44/D44,0)</f>
        <v>1.0</v>
      </c>
    </row>
    <row r="45" ht="22" customHeight="1">
      <c r="A45" s="15" t="inlineStr">
        <is>
          <t xml:space="preserve">New Testament</t>
        </is>
      </c>
      <c r="B45" s="15">
        <v>41</v>
      </c>
      <c r="C45" s="15" t="inlineStr">
        <is>
          <t xml:space="preserve">Mark</t>
        </is>
      </c>
      <c r="D45" s="15">
        <v>16</v>
      </c>
      <c r="E45" s="15">
        <f>COUNTIF('Master Chapter Coverage'!$E$5:$E$2000,C45)</f>
        <v>16</v>
      </c>
      <c r="F45" s="15">
        <f>COUNTIFS('Master Chapter Coverage'!$E$5:$E$2000,C45,'Master Chapter Coverage'!$P$5:$P$2000,"DUPLICATE")</f>
        <v>0</v>
      </c>
      <c r="G45" s="10" t="str">
        <f>IF(AND(E45=D45,F45=0),"PASS","REVIEW")</f>
        <v>PASS</v>
      </c>
      <c r="H45" s="14">
        <f>IFERROR(E45/D45,0)</f>
        <v>1.0</v>
      </c>
    </row>
    <row r="46" ht="22" customHeight="1">
      <c r="A46" s="15" t="inlineStr">
        <is>
          <t xml:space="preserve">New Testament</t>
        </is>
      </c>
      <c r="B46" s="15">
        <v>42</v>
      </c>
      <c r="C46" s="15" t="inlineStr">
        <is>
          <t xml:space="preserve">Luke</t>
        </is>
      </c>
      <c r="D46" s="15">
        <v>24</v>
      </c>
      <c r="E46" s="15">
        <f>COUNTIF('Master Chapter Coverage'!$E$5:$E$2000,C46)</f>
        <v>24</v>
      </c>
      <c r="F46" s="15">
        <f>COUNTIFS('Master Chapter Coverage'!$E$5:$E$2000,C46,'Master Chapter Coverage'!$P$5:$P$2000,"DUPLICATE")</f>
        <v>0</v>
      </c>
      <c r="G46" s="10" t="str">
        <f>IF(AND(E46=D46,F46=0),"PASS","REVIEW")</f>
        <v>PASS</v>
      </c>
      <c r="H46" s="14">
        <f>IFERROR(E46/D46,0)</f>
        <v>1.0</v>
      </c>
    </row>
    <row r="47" ht="22" customHeight="1">
      <c r="A47" s="15" t="inlineStr">
        <is>
          <t xml:space="preserve">New Testament</t>
        </is>
      </c>
      <c r="B47" s="15">
        <v>43</v>
      </c>
      <c r="C47" s="15" t="inlineStr">
        <is>
          <t xml:space="preserve">John</t>
        </is>
      </c>
      <c r="D47" s="15">
        <v>21</v>
      </c>
      <c r="E47" s="15">
        <f>COUNTIF('Master Chapter Coverage'!$E$5:$E$2000,C47)</f>
        <v>21</v>
      </c>
      <c r="F47" s="15">
        <f>COUNTIFS('Master Chapter Coverage'!$E$5:$E$2000,C47,'Master Chapter Coverage'!$P$5:$P$2000,"DUPLICATE")</f>
        <v>0</v>
      </c>
      <c r="G47" s="10" t="str">
        <f>IF(AND(E47=D47,F47=0),"PASS","REVIEW")</f>
        <v>PASS</v>
      </c>
      <c r="H47" s="14">
        <f>IFERROR(E47/D47,0)</f>
        <v>1.0</v>
      </c>
    </row>
    <row r="48" ht="22" customHeight="1">
      <c r="A48" s="15" t="inlineStr">
        <is>
          <t xml:space="preserve">New Testament</t>
        </is>
      </c>
      <c r="B48" s="15">
        <v>44</v>
      </c>
      <c r="C48" s="15" t="inlineStr">
        <is>
          <t xml:space="preserve">Acts</t>
        </is>
      </c>
      <c r="D48" s="15">
        <v>28</v>
      </c>
      <c r="E48" s="15">
        <f>COUNTIF('Master Chapter Coverage'!$E$5:$E$2000,C48)</f>
        <v>28</v>
      </c>
      <c r="F48" s="15">
        <f>COUNTIFS('Master Chapter Coverage'!$E$5:$E$2000,C48,'Master Chapter Coverage'!$P$5:$P$2000,"DUPLICATE")</f>
        <v>0</v>
      </c>
      <c r="G48" s="10" t="str">
        <f>IF(AND(E48=D48,F48=0),"PASS","REVIEW")</f>
        <v>PASS</v>
      </c>
      <c r="H48" s="14">
        <f>IFERROR(E48/D48,0)</f>
        <v>1.0</v>
      </c>
    </row>
    <row r="49" ht="22" customHeight="1">
      <c r="A49" s="15" t="inlineStr">
        <is>
          <t xml:space="preserve">New Testament</t>
        </is>
      </c>
      <c r="B49" s="15">
        <v>45</v>
      </c>
      <c r="C49" s="15" t="inlineStr">
        <is>
          <t xml:space="preserve">Romans</t>
        </is>
      </c>
      <c r="D49" s="15">
        <v>16</v>
      </c>
      <c r="E49" s="15">
        <f>COUNTIF('Master Chapter Coverage'!$E$5:$E$2000,C49)</f>
        <v>16</v>
      </c>
      <c r="F49" s="15">
        <f>COUNTIFS('Master Chapter Coverage'!$E$5:$E$2000,C49,'Master Chapter Coverage'!$P$5:$P$2000,"DUPLICATE")</f>
        <v>0</v>
      </c>
      <c r="G49" s="10" t="str">
        <f>IF(AND(E49=D49,F49=0),"PASS","REVIEW")</f>
        <v>PASS</v>
      </c>
      <c r="H49" s="14">
        <f>IFERROR(E49/D49,0)</f>
        <v>1.0</v>
      </c>
    </row>
    <row r="50" ht="22" customHeight="1">
      <c r="A50" s="15" t="inlineStr">
        <is>
          <t xml:space="preserve">New Testament</t>
        </is>
      </c>
      <c r="B50" s="15">
        <v>46</v>
      </c>
      <c r="C50" s="15" t="inlineStr">
        <is>
          <t xml:space="preserve">1 Corinthians</t>
        </is>
      </c>
      <c r="D50" s="15">
        <v>16</v>
      </c>
      <c r="E50" s="15">
        <f>COUNTIF('Master Chapter Coverage'!$E$5:$E$2000,C50)</f>
        <v>16</v>
      </c>
      <c r="F50" s="15">
        <f>COUNTIFS('Master Chapter Coverage'!$E$5:$E$2000,C50,'Master Chapter Coverage'!$P$5:$P$2000,"DUPLICATE")</f>
        <v>0</v>
      </c>
      <c r="G50" s="10" t="str">
        <f>IF(AND(E50=D50,F50=0),"PASS","REVIEW")</f>
        <v>PASS</v>
      </c>
      <c r="H50" s="14">
        <f>IFERROR(E50/D50,0)</f>
        <v>1.0</v>
      </c>
    </row>
    <row r="51" ht="22" customHeight="1">
      <c r="A51" s="15" t="inlineStr">
        <is>
          <t xml:space="preserve">New Testament</t>
        </is>
      </c>
      <c r="B51" s="15">
        <v>47</v>
      </c>
      <c r="C51" s="15" t="inlineStr">
        <is>
          <t xml:space="preserve">2 Corinthians</t>
        </is>
      </c>
      <c r="D51" s="15">
        <v>13</v>
      </c>
      <c r="E51" s="15">
        <f>COUNTIF('Master Chapter Coverage'!$E$5:$E$2000,C51)</f>
        <v>13</v>
      </c>
      <c r="F51" s="15">
        <f>COUNTIFS('Master Chapter Coverage'!$E$5:$E$2000,C51,'Master Chapter Coverage'!$P$5:$P$2000,"DUPLICATE")</f>
        <v>0</v>
      </c>
      <c r="G51" s="10" t="str">
        <f>IF(AND(E51=D51,F51=0),"PASS","REVIEW")</f>
        <v>PASS</v>
      </c>
      <c r="H51" s="14">
        <f>IFERROR(E51/D51,0)</f>
        <v>1.0</v>
      </c>
    </row>
    <row r="52" ht="22" customHeight="1">
      <c r="A52" s="15" t="inlineStr">
        <is>
          <t xml:space="preserve">New Testament</t>
        </is>
      </c>
      <c r="B52" s="15">
        <v>48</v>
      </c>
      <c r="C52" s="15" t="inlineStr">
        <is>
          <t xml:space="preserve">Galatians</t>
        </is>
      </c>
      <c r="D52" s="15">
        <v>6</v>
      </c>
      <c r="E52" s="15">
        <f>COUNTIF('Master Chapter Coverage'!$E$5:$E$2000,C52)</f>
        <v>6</v>
      </c>
      <c r="F52" s="15">
        <f>COUNTIFS('Master Chapter Coverage'!$E$5:$E$2000,C52,'Master Chapter Coverage'!$P$5:$P$2000,"DUPLICATE")</f>
        <v>0</v>
      </c>
      <c r="G52" s="10" t="str">
        <f>IF(AND(E52=D52,F52=0),"PASS","REVIEW")</f>
        <v>PASS</v>
      </c>
      <c r="H52" s="14">
        <f>IFERROR(E52/D52,0)</f>
        <v>1.0</v>
      </c>
    </row>
    <row r="53" ht="22" customHeight="1">
      <c r="A53" s="15" t="inlineStr">
        <is>
          <t xml:space="preserve">New Testament</t>
        </is>
      </c>
      <c r="B53" s="15">
        <v>49</v>
      </c>
      <c r="C53" s="15" t="inlineStr">
        <is>
          <t xml:space="preserve">Ephesians</t>
        </is>
      </c>
      <c r="D53" s="15">
        <v>6</v>
      </c>
      <c r="E53" s="15">
        <f>COUNTIF('Master Chapter Coverage'!$E$5:$E$2000,C53)</f>
        <v>6</v>
      </c>
      <c r="F53" s="15">
        <f>COUNTIFS('Master Chapter Coverage'!$E$5:$E$2000,C53,'Master Chapter Coverage'!$P$5:$P$2000,"DUPLICATE")</f>
        <v>0</v>
      </c>
      <c r="G53" s="10" t="str">
        <f>IF(AND(E53=D53,F53=0),"PASS","REVIEW")</f>
        <v>PASS</v>
      </c>
      <c r="H53" s="14">
        <f>IFERROR(E53/D53,0)</f>
        <v>1.0</v>
      </c>
    </row>
    <row r="54" ht="22" customHeight="1">
      <c r="A54" s="15" t="inlineStr">
        <is>
          <t xml:space="preserve">New Testament</t>
        </is>
      </c>
      <c r="B54" s="15">
        <v>50</v>
      </c>
      <c r="C54" s="15" t="inlineStr">
        <is>
          <t xml:space="preserve">Philippians</t>
        </is>
      </c>
      <c r="D54" s="15">
        <v>4</v>
      </c>
      <c r="E54" s="15">
        <f>COUNTIF('Master Chapter Coverage'!$E$5:$E$2000,C54)</f>
        <v>4</v>
      </c>
      <c r="F54" s="15">
        <f>COUNTIFS('Master Chapter Coverage'!$E$5:$E$2000,C54,'Master Chapter Coverage'!$P$5:$P$2000,"DUPLICATE")</f>
        <v>0</v>
      </c>
      <c r="G54" s="10" t="str">
        <f>IF(AND(E54=D54,F54=0),"PASS","REVIEW")</f>
        <v>PASS</v>
      </c>
      <c r="H54" s="14">
        <f>IFERROR(E54/D54,0)</f>
        <v>1.0</v>
      </c>
    </row>
    <row r="55" ht="22" customHeight="1">
      <c r="A55" s="15" t="inlineStr">
        <is>
          <t xml:space="preserve">New Testament</t>
        </is>
      </c>
      <c r="B55" s="15">
        <v>51</v>
      </c>
      <c r="C55" s="15" t="inlineStr">
        <is>
          <t xml:space="preserve">Colossians</t>
        </is>
      </c>
      <c r="D55" s="15">
        <v>4</v>
      </c>
      <c r="E55" s="15">
        <f>COUNTIF('Master Chapter Coverage'!$E$5:$E$2000,C55)</f>
        <v>4</v>
      </c>
      <c r="F55" s="15">
        <f>COUNTIFS('Master Chapter Coverage'!$E$5:$E$2000,C55,'Master Chapter Coverage'!$P$5:$P$2000,"DUPLICATE")</f>
        <v>0</v>
      </c>
      <c r="G55" s="10" t="str">
        <f>IF(AND(E55=D55,F55=0),"PASS","REVIEW")</f>
        <v>PASS</v>
      </c>
      <c r="H55" s="14">
        <f>IFERROR(E55/D55,0)</f>
        <v>1.0</v>
      </c>
    </row>
    <row r="56" ht="22" customHeight="1">
      <c r="A56" s="15" t="inlineStr">
        <is>
          <t xml:space="preserve">New Testament</t>
        </is>
      </c>
      <c r="B56" s="15">
        <v>52</v>
      </c>
      <c r="C56" s="15" t="inlineStr">
        <is>
          <t xml:space="preserve">1 Thessalonians</t>
        </is>
      </c>
      <c r="D56" s="15">
        <v>5</v>
      </c>
      <c r="E56" s="15">
        <f>COUNTIF('Master Chapter Coverage'!$E$5:$E$2000,C56)</f>
        <v>5</v>
      </c>
      <c r="F56" s="15">
        <f>COUNTIFS('Master Chapter Coverage'!$E$5:$E$2000,C56,'Master Chapter Coverage'!$P$5:$P$2000,"DUPLICATE")</f>
        <v>0</v>
      </c>
      <c r="G56" s="10" t="str">
        <f>IF(AND(E56=D56,F56=0),"PASS","REVIEW")</f>
        <v>PASS</v>
      </c>
      <c r="H56" s="14">
        <f>IFERROR(E56/D56,0)</f>
        <v>1.0</v>
      </c>
    </row>
    <row r="57" ht="22" customHeight="1">
      <c r="A57" s="15" t="inlineStr">
        <is>
          <t xml:space="preserve">New Testament</t>
        </is>
      </c>
      <c r="B57" s="15">
        <v>53</v>
      </c>
      <c r="C57" s="15" t="inlineStr">
        <is>
          <t xml:space="preserve">2 Thessalonians</t>
        </is>
      </c>
      <c r="D57" s="15">
        <v>3</v>
      </c>
      <c r="E57" s="15">
        <f>COUNTIF('Master Chapter Coverage'!$E$5:$E$2000,C57)</f>
        <v>3</v>
      </c>
      <c r="F57" s="15">
        <f>COUNTIFS('Master Chapter Coverage'!$E$5:$E$2000,C57,'Master Chapter Coverage'!$P$5:$P$2000,"DUPLICATE")</f>
        <v>0</v>
      </c>
      <c r="G57" s="10" t="str">
        <f>IF(AND(E57=D57,F57=0),"PASS","REVIEW")</f>
        <v>PASS</v>
      </c>
      <c r="H57" s="14">
        <f>IFERROR(E57/D57,0)</f>
        <v>1.0</v>
      </c>
    </row>
    <row r="58" ht="22" customHeight="1">
      <c r="A58" s="15" t="inlineStr">
        <is>
          <t xml:space="preserve">New Testament</t>
        </is>
      </c>
      <c r="B58" s="15">
        <v>54</v>
      </c>
      <c r="C58" s="15" t="inlineStr">
        <is>
          <t xml:space="preserve">1 Timothy</t>
        </is>
      </c>
      <c r="D58" s="15">
        <v>6</v>
      </c>
      <c r="E58" s="15">
        <f>COUNTIF('Master Chapter Coverage'!$E$5:$E$2000,C58)</f>
        <v>6</v>
      </c>
      <c r="F58" s="15">
        <f>COUNTIFS('Master Chapter Coverage'!$E$5:$E$2000,C58,'Master Chapter Coverage'!$P$5:$P$2000,"DUPLICATE")</f>
        <v>0</v>
      </c>
      <c r="G58" s="10" t="str">
        <f>IF(AND(E58=D58,F58=0),"PASS","REVIEW")</f>
        <v>PASS</v>
      </c>
      <c r="H58" s="14">
        <f>IFERROR(E58/D58,0)</f>
        <v>1.0</v>
      </c>
    </row>
    <row r="59" ht="22" customHeight="1">
      <c r="A59" s="15" t="inlineStr">
        <is>
          <t xml:space="preserve">New Testament</t>
        </is>
      </c>
      <c r="B59" s="15">
        <v>55</v>
      </c>
      <c r="C59" s="15" t="inlineStr">
        <is>
          <t xml:space="preserve">2 Timothy</t>
        </is>
      </c>
      <c r="D59" s="15">
        <v>4</v>
      </c>
      <c r="E59" s="15">
        <f>COUNTIF('Master Chapter Coverage'!$E$5:$E$2000,C59)</f>
        <v>4</v>
      </c>
      <c r="F59" s="15">
        <f>COUNTIFS('Master Chapter Coverage'!$E$5:$E$2000,C59,'Master Chapter Coverage'!$P$5:$P$2000,"DUPLICATE")</f>
        <v>0</v>
      </c>
      <c r="G59" s="10" t="str">
        <f>IF(AND(E59=D59,F59=0),"PASS","REVIEW")</f>
        <v>PASS</v>
      </c>
      <c r="H59" s="14">
        <f>IFERROR(E59/D59,0)</f>
        <v>1.0</v>
      </c>
    </row>
    <row r="60" ht="22" customHeight="1">
      <c r="A60" s="15" t="inlineStr">
        <is>
          <t xml:space="preserve">New Testament</t>
        </is>
      </c>
      <c r="B60" s="15">
        <v>56</v>
      </c>
      <c r="C60" s="15" t="inlineStr">
        <is>
          <t xml:space="preserve">Titus</t>
        </is>
      </c>
      <c r="D60" s="15">
        <v>3</v>
      </c>
      <c r="E60" s="15">
        <f>COUNTIF('Master Chapter Coverage'!$E$5:$E$2000,C60)</f>
        <v>3</v>
      </c>
      <c r="F60" s="15">
        <f>COUNTIFS('Master Chapter Coverage'!$E$5:$E$2000,C60,'Master Chapter Coverage'!$P$5:$P$2000,"DUPLICATE")</f>
        <v>0</v>
      </c>
      <c r="G60" s="10" t="str">
        <f>IF(AND(E60=D60,F60=0),"PASS","REVIEW")</f>
        <v>PASS</v>
      </c>
      <c r="H60" s="14">
        <f>IFERROR(E60/D60,0)</f>
        <v>1.0</v>
      </c>
    </row>
    <row r="61" ht="22" customHeight="1">
      <c r="A61" s="15" t="inlineStr">
        <is>
          <t xml:space="preserve">New Testament</t>
        </is>
      </c>
      <c r="B61" s="15">
        <v>57</v>
      </c>
      <c r="C61" s="15" t="inlineStr">
        <is>
          <t xml:space="preserve">Philemon</t>
        </is>
      </c>
      <c r="D61" s="15">
        <v>1</v>
      </c>
      <c r="E61" s="15">
        <f>COUNTIF('Master Chapter Coverage'!$E$5:$E$2000,C61)</f>
        <v>1</v>
      </c>
      <c r="F61" s="15">
        <f>COUNTIFS('Master Chapter Coverage'!$E$5:$E$2000,C61,'Master Chapter Coverage'!$P$5:$P$2000,"DUPLICATE")</f>
        <v>0</v>
      </c>
      <c r="G61" s="10" t="str">
        <f>IF(AND(E61=D61,F61=0),"PASS","REVIEW")</f>
        <v>PASS</v>
      </c>
      <c r="H61" s="14">
        <f>IFERROR(E61/D61,0)</f>
        <v>1.0</v>
      </c>
    </row>
    <row r="62" ht="22" customHeight="1">
      <c r="A62" s="15" t="inlineStr">
        <is>
          <t xml:space="preserve">New Testament</t>
        </is>
      </c>
      <c r="B62" s="15">
        <v>58</v>
      </c>
      <c r="C62" s="15" t="inlineStr">
        <is>
          <t xml:space="preserve">Hebrews</t>
        </is>
      </c>
      <c r="D62" s="15">
        <v>13</v>
      </c>
      <c r="E62" s="15">
        <f>COUNTIF('Master Chapter Coverage'!$E$5:$E$2000,C62)</f>
        <v>13</v>
      </c>
      <c r="F62" s="15">
        <f>COUNTIFS('Master Chapter Coverage'!$E$5:$E$2000,C62,'Master Chapter Coverage'!$P$5:$P$2000,"DUPLICATE")</f>
        <v>0</v>
      </c>
      <c r="G62" s="10" t="str">
        <f>IF(AND(E62=D62,F62=0),"PASS","REVIEW")</f>
        <v>PASS</v>
      </c>
      <c r="H62" s="14">
        <f>IFERROR(E62/D62,0)</f>
        <v>1.0</v>
      </c>
    </row>
    <row r="63" ht="22" customHeight="1">
      <c r="A63" s="15" t="inlineStr">
        <is>
          <t xml:space="preserve">New Testament</t>
        </is>
      </c>
      <c r="B63" s="15">
        <v>59</v>
      </c>
      <c r="C63" s="15" t="inlineStr">
        <is>
          <t xml:space="preserve">James</t>
        </is>
      </c>
      <c r="D63" s="15">
        <v>5</v>
      </c>
      <c r="E63" s="15">
        <f>COUNTIF('Master Chapter Coverage'!$E$5:$E$2000,C63)</f>
        <v>5</v>
      </c>
      <c r="F63" s="15">
        <f>COUNTIFS('Master Chapter Coverage'!$E$5:$E$2000,C63,'Master Chapter Coverage'!$P$5:$P$2000,"DUPLICATE")</f>
        <v>0</v>
      </c>
      <c r="G63" s="10" t="str">
        <f>IF(AND(E63=D63,F63=0),"PASS","REVIEW")</f>
        <v>PASS</v>
      </c>
      <c r="H63" s="14">
        <f>IFERROR(E63/D63,0)</f>
        <v>1.0</v>
      </c>
    </row>
    <row r="64" ht="22" customHeight="1">
      <c r="A64" s="15" t="inlineStr">
        <is>
          <t xml:space="preserve">New Testament</t>
        </is>
      </c>
      <c r="B64" s="15">
        <v>60</v>
      </c>
      <c r="C64" s="15" t="inlineStr">
        <is>
          <t xml:space="preserve">1 Peter</t>
        </is>
      </c>
      <c r="D64" s="15">
        <v>5</v>
      </c>
      <c r="E64" s="15">
        <f>COUNTIF('Master Chapter Coverage'!$E$5:$E$2000,C64)</f>
        <v>5</v>
      </c>
      <c r="F64" s="15">
        <f>COUNTIFS('Master Chapter Coverage'!$E$5:$E$2000,C64,'Master Chapter Coverage'!$P$5:$P$2000,"DUPLICATE")</f>
        <v>0</v>
      </c>
      <c r="G64" s="10" t="str">
        <f>IF(AND(E64=D64,F64=0),"PASS","REVIEW")</f>
        <v>PASS</v>
      </c>
      <c r="H64" s="14">
        <f>IFERROR(E64/D64,0)</f>
        <v>1.0</v>
      </c>
    </row>
    <row r="65" ht="22" customHeight="1">
      <c r="A65" s="15" t="inlineStr">
        <is>
          <t xml:space="preserve">New Testament</t>
        </is>
      </c>
      <c r="B65" s="15">
        <v>61</v>
      </c>
      <c r="C65" s="15" t="inlineStr">
        <is>
          <t xml:space="preserve">2 Peter</t>
        </is>
      </c>
      <c r="D65" s="15">
        <v>3</v>
      </c>
      <c r="E65" s="15">
        <f>COUNTIF('Master Chapter Coverage'!$E$5:$E$2000,C65)</f>
        <v>3</v>
      </c>
      <c r="F65" s="15">
        <f>COUNTIFS('Master Chapter Coverage'!$E$5:$E$2000,C65,'Master Chapter Coverage'!$P$5:$P$2000,"DUPLICATE")</f>
        <v>0</v>
      </c>
      <c r="G65" s="10" t="str">
        <f>IF(AND(E65=D65,F65=0),"PASS","REVIEW")</f>
        <v>PASS</v>
      </c>
      <c r="H65" s="14">
        <f>IFERROR(E65/D65,0)</f>
        <v>1.0</v>
      </c>
    </row>
    <row r="66" ht="22" customHeight="1">
      <c r="A66" s="15" t="inlineStr">
        <is>
          <t xml:space="preserve">New Testament</t>
        </is>
      </c>
      <c r="B66" s="15">
        <v>62</v>
      </c>
      <c r="C66" s="15" t="inlineStr">
        <is>
          <t xml:space="preserve">1 John</t>
        </is>
      </c>
      <c r="D66" s="15">
        <v>5</v>
      </c>
      <c r="E66" s="15">
        <f>COUNTIF('Master Chapter Coverage'!$E$5:$E$2000,C66)</f>
        <v>5</v>
      </c>
      <c r="F66" s="15">
        <f>COUNTIFS('Master Chapter Coverage'!$E$5:$E$2000,C66,'Master Chapter Coverage'!$P$5:$P$2000,"DUPLICATE")</f>
        <v>0</v>
      </c>
      <c r="G66" s="10" t="str">
        <f>IF(AND(E66=D66,F66=0),"PASS","REVIEW")</f>
        <v>PASS</v>
      </c>
      <c r="H66" s="14">
        <f>IFERROR(E66/D66,0)</f>
        <v>1.0</v>
      </c>
    </row>
    <row r="67" ht="22" customHeight="1">
      <c r="A67" s="15" t="inlineStr">
        <is>
          <t xml:space="preserve">New Testament</t>
        </is>
      </c>
      <c r="B67" s="15">
        <v>63</v>
      </c>
      <c r="C67" s="15" t="inlineStr">
        <is>
          <t xml:space="preserve">2 John</t>
        </is>
      </c>
      <c r="D67" s="15">
        <v>1</v>
      </c>
      <c r="E67" s="15">
        <f>COUNTIF('Master Chapter Coverage'!$E$5:$E$2000,C67)</f>
        <v>1</v>
      </c>
      <c r="F67" s="15">
        <f>COUNTIFS('Master Chapter Coverage'!$E$5:$E$2000,C67,'Master Chapter Coverage'!$P$5:$P$2000,"DUPLICATE")</f>
        <v>0</v>
      </c>
      <c r="G67" s="10" t="str">
        <f>IF(AND(E67=D67,F67=0),"PASS","REVIEW")</f>
        <v>PASS</v>
      </c>
      <c r="H67" s="14">
        <f>IFERROR(E67/D67,0)</f>
        <v>1.0</v>
      </c>
    </row>
    <row r="68" ht="22" customHeight="1">
      <c r="A68" s="15" t="inlineStr">
        <is>
          <t xml:space="preserve">New Testament</t>
        </is>
      </c>
      <c r="B68" s="15">
        <v>64</v>
      </c>
      <c r="C68" s="15" t="inlineStr">
        <is>
          <t xml:space="preserve">3 John</t>
        </is>
      </c>
      <c r="D68" s="15">
        <v>1</v>
      </c>
      <c r="E68" s="15">
        <f>COUNTIF('Master Chapter Coverage'!$E$5:$E$2000,C68)</f>
        <v>1</v>
      </c>
      <c r="F68" s="15">
        <f>COUNTIFS('Master Chapter Coverage'!$E$5:$E$2000,C68,'Master Chapter Coverage'!$P$5:$P$2000,"DUPLICATE")</f>
        <v>0</v>
      </c>
      <c r="G68" s="10" t="str">
        <f>IF(AND(E68=D68,F68=0),"PASS","REVIEW")</f>
        <v>PASS</v>
      </c>
      <c r="H68" s="14">
        <f>IFERROR(E68/D68,0)</f>
        <v>1.0</v>
      </c>
    </row>
    <row r="69" ht="22" customHeight="1">
      <c r="A69" s="15" t="inlineStr">
        <is>
          <t xml:space="preserve">New Testament</t>
        </is>
      </c>
      <c r="B69" s="15">
        <v>65</v>
      </c>
      <c r="C69" s="15" t="inlineStr">
        <is>
          <t xml:space="preserve">Jude</t>
        </is>
      </c>
      <c r="D69" s="15">
        <v>1</v>
      </c>
      <c r="E69" s="15">
        <f>COUNTIF('Master Chapter Coverage'!$E$5:$E$2000,C69)</f>
        <v>1</v>
      </c>
      <c r="F69" s="15">
        <f>COUNTIFS('Master Chapter Coverage'!$E$5:$E$2000,C69,'Master Chapter Coverage'!$P$5:$P$2000,"DUPLICATE")</f>
        <v>0</v>
      </c>
      <c r="G69" s="10" t="str">
        <f>IF(AND(E69=D69,F69=0),"PASS","REVIEW")</f>
        <v>PASS</v>
      </c>
      <c r="H69" s="14">
        <f>IFERROR(E69/D69,0)</f>
        <v>1.0</v>
      </c>
    </row>
    <row r="70" ht="22" customHeight="1">
      <c r="A70" s="15" t="inlineStr">
        <is>
          <t xml:space="preserve">New Testament</t>
        </is>
      </c>
      <c r="B70" s="15">
        <v>66</v>
      </c>
      <c r="C70" s="15" t="inlineStr">
        <is>
          <t xml:space="preserve">Revelation</t>
        </is>
      </c>
      <c r="D70" s="15">
        <v>22</v>
      </c>
      <c r="E70" s="15">
        <f>COUNTIF('Master Chapter Coverage'!$E$5:$E$2000,C70)</f>
        <v>22</v>
      </c>
      <c r="F70" s="15">
        <f>COUNTIFS('Master Chapter Coverage'!$E$5:$E$2000,C70,'Master Chapter Coverage'!$P$5:$P$2000,"DUPLICATE")</f>
        <v>0</v>
      </c>
      <c r="G70" s="10" t="str">
        <f>IF(AND(E70=D70,F70=0),"PASS","REVIEW")</f>
        <v>PASS</v>
      </c>
      <c r="H70" s="14">
        <f>IFERROR(E70/D70,0)</f>
        <v>1.0</v>
      </c>
    </row>
  </sheetData>
  <autoFilter ref="A4:H70"/>
  <mergeCells count="2">
    <mergeCell ref="A1:H1"/>
    <mergeCell ref="A2:H2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K341"/>
  <sheetViews>
    <sheetView workbookViewId="0">
      <pane ySplit="4" topLeftCell="A5" activePane="bottomLeft" state="frozen"/>
      <selection pane="bottomLeft" activeCell="A5" sqref="A5"/>
    </sheetView>
  </sheetViews>
  <cols>
    <col min="1" max="1" width="12" customWidth="1"/>
    <col min="2" max="2" width="50" customWidth="1"/>
    <col min="3" max="3" width="30" customWidth="1"/>
    <col min="4" max="4" width="22" customWidth="1"/>
    <col min="5" max="5" width="40" customWidth="1"/>
    <col min="6" max="6" width="40" customWidth="1"/>
    <col min="7" max="7" width="40" customWidth="1"/>
    <col min="8" max="8" width="18" customWidth="1"/>
    <col min="9" max="9" width="24" customWidth="1"/>
    <col min="10" max="10" width="24" customWidth="1"/>
    <col min="11" max="11" width="110" customWidth="1"/>
  </cols>
  <sheetData>
    <row r="1" ht="30" customHeight="1">
      <c r="A1" s="1" t="inlineStr">
        <is>
          <t xml:space="preserve">MASTER LINK REGISTRY</t>
        </is>
      </c>
    </row>
    <row r="2" ht="30" customHeight="1">
      <c r="A2" s="2" t="inlineStr">
        <is>
          <t xml:space="preserve">Traceability registry for cross-map attachments, parallel accounts, context bridges, harmony policies, and study rules. This is dependency input, not final render order.</t>
        </is>
      </c>
    </row>
    <row r="4">
      <c r="A4" s="3" t="inlineStr">
        <is>
          <t xml:space="preserve">Map Version</t>
        </is>
      </c>
      <c r="B4" s="3" t="inlineStr">
        <is>
          <t xml:space="preserve">Source Workbook</t>
        </is>
      </c>
      <c r="C4" s="3" t="inlineStr">
        <is>
          <t xml:space="preserve">Source Sheet</t>
        </is>
      </c>
      <c r="D4" s="3" t="inlineStr">
        <is>
          <t xml:space="preserve">Local Record ID</t>
        </is>
      </c>
      <c r="E4" s="3" t="inlineStr">
        <is>
          <t xml:space="preserve">Anchor / From</t>
        </is>
      </c>
      <c r="F4" s="3" t="inlineStr">
        <is>
          <t xml:space="preserve">Target / Related</t>
        </is>
      </c>
      <c r="G4" s="3" t="inlineStr">
        <is>
          <t xml:space="preserve">Relationship / Policy</t>
        </is>
      </c>
      <c r="H4" s="3" t="inlineStr">
        <is>
          <t xml:space="preserve">Confidence</t>
        </is>
      </c>
      <c r="I4" s="3" t="inlineStr">
        <is>
          <t xml:space="preserve">Status / Gate</t>
        </is>
      </c>
      <c r="J4" s="3" t="inlineStr">
        <is>
          <t xml:space="preserve">Source Key(s)</t>
        </is>
      </c>
      <c r="K4" s="3" t="inlineStr">
        <is>
          <t xml:space="preserve">Raw Source Summary</t>
        </is>
      </c>
    </row>
    <row r="5" ht="34" customHeight="1">
      <c r="A5" s="15" t="inlineStr">
        <is>
          <t xml:space="preserve">v0.2</t>
        </is>
      </c>
      <c r="B5" s="15" t="inlineStr">
        <is>
          <t xml:space="preserve">Bible_Journey_Canon_Map_v0_2_Chronicles_Psalms_Job_1Kings.xlsx</t>
        </is>
      </c>
      <c r="C5" s="15" t="inlineStr">
        <is>
          <t xml:space="preserve">Link Ledger</t>
        </is>
      </c>
      <c r="D5" s="15" t="inlineStr">
        <is>
          <t xml:space="preserve">RES-1CH-010</t>
        </is>
      </c>
      <c r="E5" s="15" t="inlineStr">
        <is>
          <t xml:space="preserve">1 Chronicles 10</t>
        </is>
      </c>
      <c r="F5" s="15" t="inlineStr">
        <is>
          <t xml:space="preserve">CRS-1SA-021</t>
        </is>
      </c>
      <c r="G5" s="15" t="inlineStr">
        <is>
          <t xml:space="preserve">Parallel Account</t>
        </is>
      </c>
      <c r="H5" s="15" t="inlineStr">
        <is>
          <t xml:space="preserve">High</t>
        </is>
      </c>
      <c r="I5" s="13" t="inlineStr">
        <is>
          <t xml:space="preserve">Draft</t>
        </is>
      </c>
      <c r="J5" s="15"/>
      <c r="K5" s="15" t="inlineStr">
        <is>
          <t xml:space="preserve">resolution id: RES-1CH-010 | source crs: CRS-1CH-007 | scope passage: 1 Chronicles 10 | relationship: Parallel Account | target map: Canon Map v0.1 | target crs: CRS-1SA-021 | target passage: 1 Samuel 31 | placement confidence: High | status: Draft | notes: Chronicles retells Saul's death with distinct framing.</t>
        </is>
      </c>
    </row>
    <row r="6" ht="34" customHeight="1">
      <c r="A6" s="15" t="inlineStr">
        <is>
          <t xml:space="preserve">v0.2</t>
        </is>
      </c>
      <c r="B6" s="15" t="inlineStr">
        <is>
          <t xml:space="preserve">Bible_Journey_Canon_Map_v0_2_Chronicles_Psalms_Job_1Kings.xlsx</t>
        </is>
      </c>
      <c r="C6" s="15" t="inlineStr">
        <is>
          <t xml:space="preserve">Link Ledger</t>
        </is>
      </c>
      <c r="D6" s="15" t="inlineStr">
        <is>
          <t xml:space="preserve">RES-1CH-011</t>
        </is>
      </c>
      <c r="E6" s="15" t="inlineStr">
        <is>
          <t xml:space="preserve">1 Chronicles 11</t>
        </is>
      </c>
      <c r="F6" s="15" t="inlineStr">
        <is>
          <t xml:space="preserve">CRS-2SA-003</t>
        </is>
      </c>
      <c r="G6" s="15" t="inlineStr">
        <is>
          <t xml:space="preserve">Parallel / Complementary Account</t>
        </is>
      </c>
      <c r="H6" s="15" t="inlineStr">
        <is>
          <t xml:space="preserve">High</t>
        </is>
      </c>
      <c r="I6" s="13" t="inlineStr">
        <is>
          <t xml:space="preserve">Draft</t>
        </is>
      </c>
      <c r="J6" s="15"/>
      <c r="K6" s="15" t="inlineStr">
        <is>
          <t xml:space="preserve">resolution id: RES-1CH-011 | source crs: CRS-1CH-008 | scope passage: 1 Chronicles 11 | relationship: Parallel / Complementary Account | target map: Canon Map v0.1 | target crs: CRS-2SA-003 | target passage: 2 Samuel 5 | placement confidence: High | status: Draft | notes: A later verse-level model should distinguish city capture from the warrior list.</t>
        </is>
      </c>
    </row>
    <row r="7" ht="34" customHeight="1">
      <c r="A7" s="15" t="inlineStr">
        <is>
          <t xml:space="preserve">v0.2</t>
        </is>
      </c>
      <c r="B7" s="15" t="inlineStr">
        <is>
          <t xml:space="preserve">Bible_Journey_Canon_Map_v0_2_Chronicles_Psalms_Job_1Kings.xlsx</t>
        </is>
      </c>
      <c r="C7" s="15" t="inlineStr">
        <is>
          <t xml:space="preserve">Link Ledger</t>
        </is>
      </c>
      <c r="D7" s="15" t="inlineStr">
        <is>
          <t xml:space="preserve">RES-1CH-012</t>
        </is>
      </c>
      <c r="E7" s="15" t="inlineStr">
        <is>
          <t xml:space="preserve">1 Chronicles 12</t>
        </is>
      </c>
      <c r="F7" s="15" t="inlineStr">
        <is>
          <t xml:space="preserve">CRS-1SA-011–020; CRS-2SA-001</t>
        </is>
      </c>
      <c r="G7" s="15" t="inlineStr">
        <is>
          <t xml:space="preserve">Supplementary / Composite</t>
        </is>
      </c>
      <c r="H7" s="15" t="inlineStr">
        <is>
          <t xml:space="preserve">Probable</t>
        </is>
      </c>
      <c r="I7" s="11" t="inlineStr">
        <is>
          <t xml:space="preserve">Needs Research</t>
        </is>
      </c>
      <c r="J7" s="15"/>
      <c r="K7" s="15" t="inlineStr">
        <is>
          <t xml:space="preserve">resolution id: RES-1CH-012 | source crs: CRS-1CH-009 | scope passage: 1 Chronicles 12 | relationship: Supplementary / Composite | target map: Canon Map v0.1 | target crs: CRS-1SA-011–020; CRS-2SA-001 | target passage: 1 Samuel 21–31; 2 Samuel 1–2 | placement confidence: Probable | status: Needs Research | notes: Chapter aggregates groups linked to distinct moments; not a one-event parallel.</t>
        </is>
      </c>
    </row>
    <row r="8" ht="34" customHeight="1">
      <c r="A8" s="15" t="inlineStr">
        <is>
          <t xml:space="preserve">v0.2</t>
        </is>
      </c>
      <c r="B8" s="15" t="inlineStr">
        <is>
          <t xml:space="preserve">Bible_Journey_Canon_Map_v0_2_Chronicles_Psalms_Job_1Kings.xlsx</t>
        </is>
      </c>
      <c r="C8" s="15" t="inlineStr">
        <is>
          <t xml:space="preserve">Link Ledger</t>
        </is>
      </c>
      <c r="D8" s="15" t="inlineStr">
        <is>
          <t xml:space="preserve">RES-1CH-013</t>
        </is>
      </c>
      <c r="E8" s="15" t="inlineStr">
        <is>
          <t xml:space="preserve">1 Chronicles 13</t>
        </is>
      </c>
      <c r="F8" s="15" t="inlineStr">
        <is>
          <t xml:space="preserve">CRS-2SA-004</t>
        </is>
      </c>
      <c r="G8" s="15" t="inlineStr">
        <is>
          <t xml:space="preserve">Parallel Account</t>
        </is>
      </c>
      <c r="H8" s="15" t="inlineStr">
        <is>
          <t xml:space="preserve">High</t>
        </is>
      </c>
      <c r="I8" s="11" t="inlineStr">
        <is>
          <t xml:space="preserve">Open</t>
        </is>
      </c>
      <c r="J8" s="15"/>
      <c r="K8" s="15" t="inlineStr">
        <is>
          <t xml:space="preserve">resolution id: RES-1CH-013 | source crs: CRS-1CH-010 | scope passage: 1 Chronicles 13 | relationship: Parallel Account | target map: Canon Map v0.1 | target crs: CRS-2SA-004 | target passage: 2 Samuel 6:1-11 | placement confidence: High | status: Open | notes: Verse-level split is mandatory for correct Complete Chronological Reading.</t>
        </is>
      </c>
    </row>
    <row r="9" ht="34" customHeight="1">
      <c r="A9" s="15" t="inlineStr">
        <is>
          <t xml:space="preserve">v0.2</t>
        </is>
      </c>
      <c r="B9" s="15" t="inlineStr">
        <is>
          <t xml:space="preserve">Bible_Journey_Canon_Map_v0_2_Chronicles_Psalms_Job_1Kings.xlsx</t>
        </is>
      </c>
      <c r="C9" s="15" t="inlineStr">
        <is>
          <t xml:space="preserve">Link Ledger</t>
        </is>
      </c>
      <c r="D9" s="15" t="inlineStr">
        <is>
          <t xml:space="preserve">RES-1CH-014</t>
        </is>
      </c>
      <c r="E9" s="15" t="inlineStr">
        <is>
          <t xml:space="preserve">1 Chronicles 14</t>
        </is>
      </c>
      <c r="F9" s="15" t="inlineStr">
        <is>
          <t xml:space="preserve">CRS-2SA-003</t>
        </is>
      </c>
      <c r="G9" s="15" t="inlineStr">
        <is>
          <t xml:space="preserve">Parallel Account</t>
        </is>
      </c>
      <c r="H9" s="15" t="inlineStr">
        <is>
          <t xml:space="preserve">High</t>
        </is>
      </c>
      <c r="I9" s="11" t="inlineStr">
        <is>
          <t xml:space="preserve">Open</t>
        </is>
      </c>
      <c r="J9" s="15"/>
      <c r="K9" s="15" t="inlineStr">
        <is>
          <t xml:space="preserve">resolution id: RES-1CH-014 | source crs: CRS-1CH-011 | scope passage: 1 Chronicles 14 | relationship: Parallel Account | target map: Canon Map v0.1 | target crs: CRS-2SA-003 | target passage: 2 Samuel 5:11-25 | placement confidence: High | status: Open | notes: Needs verse-level boundaries in 2 Samuel 5.</t>
        </is>
      </c>
    </row>
    <row r="10" ht="34" customHeight="1">
      <c r="A10" s="15" t="inlineStr">
        <is>
          <t xml:space="preserve">v0.2</t>
        </is>
      </c>
      <c r="B10" s="15" t="inlineStr">
        <is>
          <t xml:space="preserve">Bible_Journey_Canon_Map_v0_2_Chronicles_Psalms_Job_1Kings.xlsx</t>
        </is>
      </c>
      <c r="C10" s="15" t="inlineStr">
        <is>
          <t xml:space="preserve">Link Ledger</t>
        </is>
      </c>
      <c r="D10" s="15" t="inlineStr">
        <is>
          <t xml:space="preserve">RES-1CH-015</t>
        </is>
      </c>
      <c r="E10" s="15" t="inlineStr">
        <is>
          <t xml:space="preserve">1 Chronicles 15-16</t>
        </is>
      </c>
      <c r="F10" s="15" t="inlineStr">
        <is>
          <t xml:space="preserve">CRS-2SA-004</t>
        </is>
      </c>
      <c r="G10" s="15" t="inlineStr">
        <is>
          <t xml:space="preserve">Complementary Account</t>
        </is>
      </c>
      <c r="H10" s="15" t="inlineStr">
        <is>
          <t xml:space="preserve">High</t>
        </is>
      </c>
      <c r="I10" s="11" t="inlineStr">
        <is>
          <t xml:space="preserve">Open</t>
        </is>
      </c>
      <c r="J10" s="15"/>
      <c r="K10" s="15" t="inlineStr">
        <is>
          <t xml:space="preserve">resolution id: RES-1CH-015 | source crs: CRS-1CH-012 | scope passage: 1 Chronicles 15-16 | relationship: Complementary Account | target map: Canon Map v0.1 | target crs: CRS-2SA-004 | target passage: 2 Samuel 6:12-19 | placement confidence: High | status: Open | notes: Exact stream sequencing depends on splitting 2 Samuel 6.</t>
        </is>
      </c>
    </row>
    <row r="11" ht="34" customHeight="1">
      <c r="A11" s="15" t="inlineStr">
        <is>
          <t xml:space="preserve">v0.2</t>
        </is>
      </c>
      <c r="B11" s="15" t="inlineStr">
        <is>
          <t xml:space="preserve">Bible_Journey_Canon_Map_v0_2_Chronicles_Psalms_Job_1Kings.xlsx</t>
        </is>
      </c>
      <c r="C11" s="15" t="inlineStr">
        <is>
          <t xml:space="preserve">Link Ledger</t>
        </is>
      </c>
      <c r="D11" s="15" t="inlineStr">
        <is>
          <t xml:space="preserve">RES-1CH-017</t>
        </is>
      </c>
      <c r="E11" s="15" t="inlineStr">
        <is>
          <t xml:space="preserve">1 Chronicles 17</t>
        </is>
      </c>
      <c r="F11" s="15" t="inlineStr">
        <is>
          <t xml:space="preserve">CRS-2SA-005</t>
        </is>
      </c>
      <c r="G11" s="15" t="inlineStr">
        <is>
          <t xml:space="preserve">Parallel Account</t>
        </is>
      </c>
      <c r="H11" s="15" t="inlineStr">
        <is>
          <t xml:space="preserve">High</t>
        </is>
      </c>
      <c r="I11" s="13" t="inlineStr">
        <is>
          <t xml:space="preserve">Draft</t>
        </is>
      </c>
      <c r="J11" s="15"/>
      <c r="K11" s="15" t="inlineStr">
        <is>
          <t xml:space="preserve">resolution id: RES-1CH-017 | source crs: CRS-1CH-013 | scope passage: 1 Chronicles 17 | relationship: Parallel Account | target map: Canon Map v0.1 | target crs: CRS-2SA-005 | target passage: 2 Samuel 7 | placement confidence: High | status: Draft | notes: Compare view should preserve different wording and emphasis.</t>
        </is>
      </c>
    </row>
    <row r="12" ht="34" customHeight="1">
      <c r="A12" s="15" t="inlineStr">
        <is>
          <t xml:space="preserve">v0.2</t>
        </is>
      </c>
      <c r="B12" s="15" t="inlineStr">
        <is>
          <t xml:space="preserve">Bible_Journey_Canon_Map_v0_2_Chronicles_Psalms_Job_1Kings.xlsx</t>
        </is>
      </c>
      <c r="C12" s="15" t="inlineStr">
        <is>
          <t xml:space="preserve">Link Ledger</t>
        </is>
      </c>
      <c r="D12" s="15" t="inlineStr">
        <is>
          <t xml:space="preserve">RES-1CH-018</t>
        </is>
      </c>
      <c r="E12" s="15" t="inlineStr">
        <is>
          <t xml:space="preserve">1 Chronicles 18</t>
        </is>
      </c>
      <c r="F12" s="15" t="inlineStr">
        <is>
          <t xml:space="preserve">CRS-2SA-006</t>
        </is>
      </c>
      <c r="G12" s="15" t="inlineStr">
        <is>
          <t xml:space="preserve">Parallel Account</t>
        </is>
      </c>
      <c r="H12" s="15" t="inlineStr">
        <is>
          <t xml:space="preserve">High</t>
        </is>
      </c>
      <c r="I12" s="13" t="inlineStr">
        <is>
          <t xml:space="preserve">Draft</t>
        </is>
      </c>
      <c r="J12" s="15"/>
      <c r="K12" s="15" t="inlineStr">
        <is>
          <t xml:space="preserve">resolution id: RES-1CH-018 | source crs: CRS-1CH-014 | scope passage: 1 Chronicles 18 | relationship: Parallel Account | target map: Canon Map v0.1 | target crs: CRS-2SA-006 | target passage: 2 Samuel 8 | placement confidence: High | status: Draft | notes: Chronicles and Samuel order details should remain separately readable.</t>
        </is>
      </c>
    </row>
    <row r="13" ht="34" customHeight="1">
      <c r="A13" s="15" t="inlineStr">
        <is>
          <t xml:space="preserve">v0.2</t>
        </is>
      </c>
      <c r="B13" s="15" t="inlineStr">
        <is>
          <t xml:space="preserve">Bible_Journey_Canon_Map_v0_2_Chronicles_Psalms_Job_1Kings.xlsx</t>
        </is>
      </c>
      <c r="C13" s="15" t="inlineStr">
        <is>
          <t xml:space="preserve">Link Ledger</t>
        </is>
      </c>
      <c r="D13" s="15" t="inlineStr">
        <is>
          <t xml:space="preserve">RES-1CH-019</t>
        </is>
      </c>
      <c r="E13" s="15" t="inlineStr">
        <is>
          <t xml:space="preserve">1 Chronicles 19</t>
        </is>
      </c>
      <c r="F13" s="15" t="inlineStr">
        <is>
          <t xml:space="preserve">CRS-2SA-008</t>
        </is>
      </c>
      <c r="G13" s="15" t="inlineStr">
        <is>
          <t xml:space="preserve">Parallel Account</t>
        </is>
      </c>
      <c r="H13" s="15" t="inlineStr">
        <is>
          <t xml:space="preserve">High</t>
        </is>
      </c>
      <c r="I13" s="13" t="inlineStr">
        <is>
          <t xml:space="preserve">Draft</t>
        </is>
      </c>
      <c r="J13" s="15"/>
      <c r="K13" s="15" t="inlineStr">
        <is>
          <t xml:space="preserve">resolution id: RES-1CH-019 | source crs: CRS-1CH-015 | scope passage: 1 Chronicles 19 | relationship: Parallel Account | target map: Canon Map v0.1 | target crs: CRS-2SA-008 | target passage: 2 Samuel 10 | placement confidence: High | status: Draft | notes: No verse-level split currently required.</t>
        </is>
      </c>
    </row>
    <row r="14" ht="34" customHeight="1">
      <c r="A14" s="15" t="inlineStr">
        <is>
          <t xml:space="preserve">v0.2</t>
        </is>
      </c>
      <c r="B14" s="15" t="inlineStr">
        <is>
          <t xml:space="preserve">Bible_Journey_Canon_Map_v0_2_Chronicles_Psalms_Job_1Kings.xlsx</t>
        </is>
      </c>
      <c r="C14" s="15" t="inlineStr">
        <is>
          <t xml:space="preserve">Link Ledger</t>
        </is>
      </c>
      <c r="D14" s="15" t="inlineStr">
        <is>
          <t xml:space="preserve">RES-1CH-020</t>
        </is>
      </c>
      <c r="E14" s="15" t="inlineStr">
        <is>
          <t xml:space="preserve">1 Chronicles 20</t>
        </is>
      </c>
      <c r="F14" s="15" t="inlineStr">
        <is>
          <t xml:space="preserve">CRS-2SA-010; CRS-2SA-018</t>
        </is>
      </c>
      <c r="G14" s="15" t="inlineStr">
        <is>
          <t xml:space="preserve">Complementary / Composite</t>
        </is>
      </c>
      <c r="H14" s="15" t="inlineStr">
        <is>
          <t xml:space="preserve">Debated</t>
        </is>
      </c>
      <c r="I14" s="11" t="inlineStr">
        <is>
          <t xml:space="preserve">Open</t>
        </is>
      </c>
      <c r="J14" s="15"/>
      <c r="K14" s="15" t="inlineStr">
        <is>
          <t xml:space="preserve">resolution id: RES-1CH-020 | source crs: CRS-1CH-016 | scope passage: 1 Chronicles 20 | relationship: Complementary / Composite | target map: Canon Map v0.1 | target crs: CRS-2SA-010; CRS-2SA-018 | target passage: 2 Samuel 12:26-31; 21:18-22 | placement confidence: Debated | status: Open | notes: Current chapter-level treatment cannot give a single precise chronological location.</t>
        </is>
      </c>
    </row>
    <row r="15" ht="34" customHeight="1">
      <c r="A15" s="15" t="inlineStr">
        <is>
          <t xml:space="preserve">v0.2</t>
        </is>
      </c>
      <c r="B15" s="15" t="inlineStr">
        <is>
          <t xml:space="preserve">Bible_Journey_Canon_Map_v0_2_Chronicles_Psalms_Job_1Kings.xlsx</t>
        </is>
      </c>
      <c r="C15" s="15" t="inlineStr">
        <is>
          <t xml:space="preserve">Link Ledger</t>
        </is>
      </c>
      <c r="D15" s="15" t="inlineStr">
        <is>
          <t xml:space="preserve">RES-1CH-021</t>
        </is>
      </c>
      <c r="E15" s="15" t="inlineStr">
        <is>
          <t xml:space="preserve">1 Chronicles 21</t>
        </is>
      </c>
      <c r="F15" s="15" t="inlineStr">
        <is>
          <t xml:space="preserve">CRS-2SA-021</t>
        </is>
      </c>
      <c r="G15" s="15" t="inlineStr">
        <is>
          <t xml:space="preserve">Parallel Account</t>
        </is>
      </c>
      <c r="H15" s="15" t="inlineStr">
        <is>
          <t xml:space="preserve">Debated</t>
        </is>
      </c>
      <c r="I15" s="13" t="inlineStr">
        <is>
          <t xml:space="preserve">Draft</t>
        </is>
      </c>
      <c r="J15" s="15"/>
      <c r="K15" s="15" t="inlineStr">
        <is>
          <t xml:space="preserve">resolution id: RES-1CH-021 | source crs: CRS-1CH-017 | scope passage: 1 Chronicles 21 | relationship: Parallel Account | target map: Canon Map v0.1 | target crs: CRS-2SA-021 | target passage: 2 Samuel 24 | placement confidence: Debated | status: Draft | notes: Event relationship high; relative position in David's final narrative remains debated.</t>
        </is>
      </c>
    </row>
    <row r="16" ht="34" customHeight="1">
      <c r="A16" s="15" t="inlineStr">
        <is>
          <t xml:space="preserve">v0.2</t>
        </is>
      </c>
      <c r="B16" s="15" t="inlineStr">
        <is>
          <t xml:space="preserve">Bible_Journey_Canon_Map_v0_2_Chronicles_Psalms_Job_1Kings.xlsx</t>
        </is>
      </c>
      <c r="C16" s="15" t="inlineStr">
        <is>
          <t xml:space="preserve">Link Ledger</t>
        </is>
      </c>
      <c r="D16" s="15" t="inlineStr">
        <is>
          <t xml:space="preserve">RES-1CH-028</t>
        </is>
      </c>
      <c r="E16" s="15" t="inlineStr">
        <is>
          <t xml:space="preserve">1 Chronicles 28-29</t>
        </is>
      </c>
      <c r="F16" s="15" t="inlineStr">
        <is>
          <t xml:space="preserve">CRS-1KG-001; CRS-1KG-002</t>
        </is>
      </c>
      <c r="G16" s="15" t="inlineStr">
        <is>
          <t xml:space="preserve">Complementary / Bridge</t>
        </is>
      </c>
      <c r="H16" s="15" t="inlineStr">
        <is>
          <t xml:space="preserve">Probable</t>
        </is>
      </c>
      <c r="I16" s="11" t="inlineStr">
        <is>
          <t xml:space="preserve">Open</t>
        </is>
      </c>
      <c r="J16" s="15"/>
      <c r="K16" s="15" t="inlineStr">
        <is>
          <t xml:space="preserve">resolution id: RES-1CH-028 | source crs: CRS-1CH-020 | scope passage: 1 Chronicles 28-29 | relationship: Complementary / Bridge | target map: Canon Map v0.2 | target crs: CRS-1KG-001; CRS-1KG-002 | target passage: 1 Kings 1-2 | placement confidence: Probable | status: Open | notes: Needs specialist review for exact interleaving versus sequential bridge treatment.</t>
        </is>
      </c>
    </row>
    <row r="17" ht="34" customHeight="1">
      <c r="A17" s="15" t="inlineStr">
        <is>
          <t xml:space="preserve">v0.2</t>
        </is>
      </c>
      <c r="B17" s="15" t="inlineStr">
        <is>
          <t xml:space="preserve">Bible_Journey_Canon_Map_v0_2_Chronicles_Psalms_Job_1Kings.xlsx</t>
        </is>
      </c>
      <c r="C17" s="15" t="inlineStr">
        <is>
          <t xml:space="preserve">Link Ledger</t>
        </is>
      </c>
      <c r="D17" s="15" t="inlineStr">
        <is>
          <t xml:space="preserve">RES-PSA-003</t>
        </is>
      </c>
      <c r="E17" s="15" t="inlineStr">
        <is>
          <t xml:space="preserve">Psalm 3</t>
        </is>
      </c>
      <c r="F17" s="15" t="inlineStr">
        <is>
          <t xml:space="preserve">CRS-2SA-013</t>
        </is>
      </c>
      <c r="G17" s="15" t="inlineStr">
        <is>
          <t xml:space="preserve">Poetic Connection</t>
        </is>
      </c>
      <c r="H17" s="15" t="inlineStr">
        <is>
          <t xml:space="preserve">Probable</t>
        </is>
      </c>
      <c r="I17" s="13" t="inlineStr">
        <is>
          <t xml:space="preserve">Draft</t>
        </is>
      </c>
      <c r="J17" s="15"/>
      <c r="K17" s="15" t="inlineStr">
        <is>
          <t xml:space="preserve">resolution id: RES-PSA-003 | source crs: CRS-PSA-002 | scope passage: Psalm 3 | relationship: Poetic Connection | target map: Canon Map v0.1 | target crs: CRS-2SA-013 | target passage: 2 Samuel 15 | placement confidence: Probable | status: Draft | notes: Do not infer exact verse-level moment beyond the heading.</t>
        </is>
      </c>
    </row>
    <row r="18" ht="34" customHeight="1">
      <c r="A18" s="15" t="inlineStr">
        <is>
          <t xml:space="preserve">v0.2</t>
        </is>
      </c>
      <c r="B18" s="15" t="inlineStr">
        <is>
          <t xml:space="preserve">Bible_Journey_Canon_Map_v0_2_Chronicles_Psalms_Job_1Kings.xlsx</t>
        </is>
      </c>
      <c r="C18" s="15" t="inlineStr">
        <is>
          <t xml:space="preserve">Link Ledger</t>
        </is>
      </c>
      <c r="D18" s="15" t="inlineStr">
        <is>
          <t xml:space="preserve">RES-PSA-018</t>
        </is>
      </c>
      <c r="E18" s="15" t="inlineStr">
        <is>
          <t xml:space="preserve">Psalm 18</t>
        </is>
      </c>
      <c r="F18" s="15" t="inlineStr">
        <is>
          <t xml:space="preserve">CRS-2SA-019</t>
        </is>
      </c>
      <c r="G18" s="15" t="inlineStr">
        <is>
          <t xml:space="preserve">Parallel Text / Poetic Connection</t>
        </is>
      </c>
      <c r="H18" s="15" t="inlineStr">
        <is>
          <t xml:space="preserve">Debated</t>
        </is>
      </c>
      <c r="I18" s="13" t="inlineStr">
        <is>
          <t xml:space="preserve">Draft</t>
        </is>
      </c>
      <c r="J18" s="15"/>
      <c r="K18" s="15" t="inlineStr">
        <is>
          <t xml:space="preserve">resolution id: RES-PSA-018 | source crs: CRS-PSA-006 | scope passage: Psalm 18 | relationship: Parallel Text / Poetic Connection | target map: Canon Map v0.1 | target crs: CRS-2SA-019 | target passage: 2 Samuel 22 | placement confidence: Debated | status: Draft | notes: Avoid conflating chapter text or creating a composite.</t>
        </is>
      </c>
    </row>
    <row r="19" ht="34" customHeight="1">
      <c r="A19" s="15" t="inlineStr">
        <is>
          <t xml:space="preserve">v0.2</t>
        </is>
      </c>
      <c r="B19" s="15" t="inlineStr">
        <is>
          <t xml:space="preserve">Bible_Journey_Canon_Map_v0_2_Chronicles_Psalms_Job_1Kings.xlsx</t>
        </is>
      </c>
      <c r="C19" s="15" t="inlineStr">
        <is>
          <t xml:space="preserve">Link Ledger</t>
        </is>
      </c>
      <c r="D19" s="15" t="inlineStr">
        <is>
          <t xml:space="preserve">RES-PSA-034</t>
        </is>
      </c>
      <c r="E19" s="15" t="inlineStr">
        <is>
          <t xml:space="preserve">Psalm 34</t>
        </is>
      </c>
      <c r="F19" s="15" t="inlineStr">
        <is>
          <t xml:space="preserve">CRS-1SA-011</t>
        </is>
      </c>
      <c r="G19" s="15" t="inlineStr">
        <is>
          <t xml:space="preserve">Poetic Connection</t>
        </is>
      </c>
      <c r="H19" s="15" t="inlineStr">
        <is>
          <t xml:space="preserve">Probable</t>
        </is>
      </c>
      <c r="I19" s="13" t="inlineStr">
        <is>
          <t xml:space="preserve">Draft</t>
        </is>
      </c>
      <c r="J19" s="15"/>
      <c r="K19" s="15" t="inlineStr">
        <is>
          <t xml:space="preserve">resolution id: RES-PSA-034 | source crs: CRS-PSA-010 | scope passage: Psalm 34 | relationship: Poetic Connection | target map: Canon Map v0.1 | target crs: CRS-1SA-011 | target passage: 1 Samuel 21 | placement confidence: Probable | status: Draft | notes: Heading/narrative naming differences should be disclosed in study note.</t>
        </is>
      </c>
    </row>
    <row r="20" ht="34" customHeight="1">
      <c r="A20" s="15" t="inlineStr">
        <is>
          <t xml:space="preserve">v0.2</t>
        </is>
      </c>
      <c r="B20" s="15" t="inlineStr">
        <is>
          <t xml:space="preserve">Bible_Journey_Canon_Map_v0_2_Chronicles_Psalms_Job_1Kings.xlsx</t>
        </is>
      </c>
      <c r="C20" s="15" t="inlineStr">
        <is>
          <t xml:space="preserve">Link Ledger</t>
        </is>
      </c>
      <c r="D20" s="15" t="inlineStr">
        <is>
          <t xml:space="preserve">RES-PSA-051</t>
        </is>
      </c>
      <c r="E20" s="15" t="inlineStr">
        <is>
          <t xml:space="preserve">Psalm 51</t>
        </is>
      </c>
      <c r="F20" s="15" t="inlineStr">
        <is>
          <t xml:space="preserve">CRS-2SA-010</t>
        </is>
      </c>
      <c r="G20" s="15" t="inlineStr">
        <is>
          <t xml:space="preserve">Poetic Connection</t>
        </is>
      </c>
      <c r="H20" s="15" t="inlineStr">
        <is>
          <t xml:space="preserve">Probable</t>
        </is>
      </c>
      <c r="I20" s="13" t="inlineStr">
        <is>
          <t xml:space="preserve">Draft</t>
        </is>
      </c>
      <c r="J20" s="15"/>
      <c r="K20" s="15" t="inlineStr">
        <is>
          <t xml:space="preserve">resolution id: RES-PSA-051 | source crs: CRS-PSA-012 | scope passage: Psalm 51 | relationship: Poetic Connection | target map: Canon Map v0.1 | target crs: CRS-2SA-010 | target passage: 2 Samuel 12 | placement confidence: Probable | status: Draft | notes: Do not present as direct dialogue transcript.</t>
        </is>
      </c>
    </row>
    <row r="21" ht="34" customHeight="1">
      <c r="A21" s="15" t="inlineStr">
        <is>
          <t xml:space="preserve">v0.2</t>
        </is>
      </c>
      <c r="B21" s="15" t="inlineStr">
        <is>
          <t xml:space="preserve">Bible_Journey_Canon_Map_v0_2_Chronicles_Psalms_Job_1Kings.xlsx</t>
        </is>
      </c>
      <c r="C21" s="15" t="inlineStr">
        <is>
          <t xml:space="preserve">Link Ledger</t>
        </is>
      </c>
      <c r="D21" s="15" t="inlineStr">
        <is>
          <t xml:space="preserve">RES-PSA-052</t>
        </is>
      </c>
      <c r="E21" s="15" t="inlineStr">
        <is>
          <t xml:space="preserve">Psalm 52</t>
        </is>
      </c>
      <c r="F21" s="15" t="inlineStr">
        <is>
          <t xml:space="preserve">CRS-1SA-012</t>
        </is>
      </c>
      <c r="G21" s="15" t="inlineStr">
        <is>
          <t xml:space="preserve">Poetic Connection</t>
        </is>
      </c>
      <c r="H21" s="15" t="inlineStr">
        <is>
          <t xml:space="preserve">Probable</t>
        </is>
      </c>
      <c r="I21" s="13" t="inlineStr">
        <is>
          <t xml:space="preserve">Draft</t>
        </is>
      </c>
      <c r="J21" s="15"/>
      <c r="K21" s="15" t="inlineStr">
        <is>
          <t xml:space="preserve">resolution id: RES-PSA-052 | source crs: CRS-PSA-013 | scope passage: Psalm 52 | relationship: Poetic Connection | target map: Canon Map v0.1 | target crs: CRS-1SA-012 | target passage: 1 Samuel 22 | placement confidence: Probable | status: Draft | notes: Superscription-based link.</t>
        </is>
      </c>
    </row>
    <row r="22" ht="34" customHeight="1">
      <c r="A22" s="15" t="inlineStr">
        <is>
          <t xml:space="preserve">v0.2</t>
        </is>
      </c>
      <c r="B22" s="15" t="inlineStr">
        <is>
          <t xml:space="preserve">Bible_Journey_Canon_Map_v0_2_Chronicles_Psalms_Job_1Kings.xlsx</t>
        </is>
      </c>
      <c r="C22" s="15" t="inlineStr">
        <is>
          <t xml:space="preserve">Link Ledger</t>
        </is>
      </c>
      <c r="D22" s="15" t="inlineStr">
        <is>
          <t xml:space="preserve">RES-PSA-054</t>
        </is>
      </c>
      <c r="E22" s="15" t="inlineStr">
        <is>
          <t xml:space="preserve">Psalm 54</t>
        </is>
      </c>
      <c r="F22" s="15" t="inlineStr">
        <is>
          <t xml:space="preserve">CRS-1SA-013</t>
        </is>
      </c>
      <c r="G22" s="15" t="inlineStr">
        <is>
          <t xml:space="preserve">Poetic Connection</t>
        </is>
      </c>
      <c r="H22" s="15" t="inlineStr">
        <is>
          <t xml:space="preserve">Probable</t>
        </is>
      </c>
      <c r="I22" s="13" t="inlineStr">
        <is>
          <t xml:space="preserve">Draft</t>
        </is>
      </c>
      <c r="J22" s="15"/>
      <c r="K22" s="15" t="inlineStr">
        <is>
          <t xml:space="preserve">resolution id: RES-PSA-054 | source crs: CRS-PSA-015 | scope passage: Psalm 54 | relationship: Poetic Connection | target map: Canon Map v0.1 | target crs: CRS-1SA-013 | target passage: 1 Samuel 23 | placement confidence: Probable | status: Draft | notes: Superscription-based link.</t>
        </is>
      </c>
    </row>
    <row r="23" ht="34" customHeight="1">
      <c r="A23" s="15" t="inlineStr">
        <is>
          <t xml:space="preserve">v0.2</t>
        </is>
      </c>
      <c r="B23" s="15" t="inlineStr">
        <is>
          <t xml:space="preserve">Bible_Journey_Canon_Map_v0_2_Chronicles_Psalms_Job_1Kings.xlsx</t>
        </is>
      </c>
      <c r="C23" s="15" t="inlineStr">
        <is>
          <t xml:space="preserve">Link Ledger</t>
        </is>
      </c>
      <c r="D23" s="15" t="inlineStr">
        <is>
          <t xml:space="preserve">RES-PSA-056</t>
        </is>
      </c>
      <c r="E23" s="15" t="inlineStr">
        <is>
          <t xml:space="preserve">Psalm 56</t>
        </is>
      </c>
      <c r="F23" s="15" t="inlineStr">
        <is>
          <t xml:space="preserve">CRS-1SA-011</t>
        </is>
      </c>
      <c r="G23" s="15" t="inlineStr">
        <is>
          <t xml:space="preserve">Poetic Connection</t>
        </is>
      </c>
      <c r="H23" s="15" t="inlineStr">
        <is>
          <t xml:space="preserve">Probable</t>
        </is>
      </c>
      <c r="I23" s="13" t="inlineStr">
        <is>
          <t xml:space="preserve">Draft</t>
        </is>
      </c>
      <c r="J23" s="15"/>
      <c r="K23" s="15" t="inlineStr">
        <is>
          <t xml:space="preserve">resolution id: RES-PSA-056 | source crs: CRS-PSA-017 | scope passage: Psalm 56 | relationship: Poetic Connection | target map: Canon Map v0.1 | target crs: CRS-1SA-011 | target passage: 1 Samuel 21 | placement confidence: Probable | status: Draft | notes: Superscription-based link.</t>
        </is>
      </c>
    </row>
    <row r="24" ht="34" customHeight="1">
      <c r="A24" s="15" t="inlineStr">
        <is>
          <t xml:space="preserve">v0.2</t>
        </is>
      </c>
      <c r="B24" s="15" t="inlineStr">
        <is>
          <t xml:space="preserve">Bible_Journey_Canon_Map_v0_2_Chronicles_Psalms_Job_1Kings.xlsx</t>
        </is>
      </c>
      <c r="C24" s="15" t="inlineStr">
        <is>
          <t xml:space="preserve">Link Ledger</t>
        </is>
      </c>
      <c r="D24" s="15" t="inlineStr">
        <is>
          <t xml:space="preserve">RES-PSA-059</t>
        </is>
      </c>
      <c r="E24" s="15" t="inlineStr">
        <is>
          <t xml:space="preserve">Psalm 59</t>
        </is>
      </c>
      <c r="F24" s="15" t="inlineStr">
        <is>
          <t xml:space="preserve">CRS-1SA-009</t>
        </is>
      </c>
      <c r="G24" s="15" t="inlineStr">
        <is>
          <t xml:space="preserve">Poetic Connection</t>
        </is>
      </c>
      <c r="H24" s="15" t="inlineStr">
        <is>
          <t xml:space="preserve">Probable</t>
        </is>
      </c>
      <c r="I24" s="13" t="inlineStr">
        <is>
          <t xml:space="preserve">Draft</t>
        </is>
      </c>
      <c r="J24" s="15"/>
      <c r="K24" s="15" t="inlineStr">
        <is>
          <t xml:space="preserve">resolution id: RES-PSA-059 | source crs: CRS-PSA-020 | scope passage: Psalm 59 | relationship: Poetic Connection | target map: Canon Map v0.1 | target crs: CRS-1SA-009 | target passage: 1 Samuel 19 | placement confidence: Probable | status: Draft | notes: Superscription-based link.</t>
        </is>
      </c>
    </row>
    <row r="25" ht="34" customHeight="1">
      <c r="A25" s="15" t="inlineStr">
        <is>
          <t xml:space="preserve">v0.2</t>
        </is>
      </c>
      <c r="B25" s="15" t="inlineStr">
        <is>
          <t xml:space="preserve">Bible_Journey_Canon_Map_v0_2_Chronicles_Psalms_Job_1Kings.xlsx</t>
        </is>
      </c>
      <c r="C25" s="15" t="inlineStr">
        <is>
          <t xml:space="preserve">Link Ledger</t>
        </is>
      </c>
      <c r="D25" s="15" t="inlineStr">
        <is>
          <t xml:space="preserve">RES-PSA-060</t>
        </is>
      </c>
      <c r="E25" s="15" t="inlineStr">
        <is>
          <t xml:space="preserve">Psalm 60</t>
        </is>
      </c>
      <c r="F25" s="15" t="inlineStr">
        <is>
          <t xml:space="preserve">CRS-2SA-006</t>
        </is>
      </c>
      <c r="G25" s="15" t="inlineStr">
        <is>
          <t xml:space="preserve">Poetic Connection</t>
        </is>
      </c>
      <c r="H25" s="15" t="inlineStr">
        <is>
          <t xml:space="preserve">Probable</t>
        </is>
      </c>
      <c r="I25" s="11" t="inlineStr">
        <is>
          <t xml:space="preserve">Needs Research</t>
        </is>
      </c>
      <c r="J25" s="15"/>
      <c r="K25" s="15" t="inlineStr">
        <is>
          <t xml:space="preserve">resolution id: RES-PSA-060 | source crs: CRS-PSA-021 | scope passage: Psalm 60 | relationship: Poetic Connection | target map: Canon Map v0.1 | target crs: CRS-2SA-006 | target passage: 2 Samuel 8 | placement confidence: Probable | status: Needs Research | notes: Exact correspondence to multiple war records needs detailed review.</t>
        </is>
      </c>
    </row>
    <row r="26" ht="34" customHeight="1">
      <c r="A26" s="15" t="inlineStr">
        <is>
          <t xml:space="preserve">v0.2</t>
        </is>
      </c>
      <c r="B26" s="15" t="inlineStr">
        <is>
          <t xml:space="preserve">Bible_Journey_Canon_Map_v0_2_Chronicles_Psalms_Job_1Kings.xlsx</t>
        </is>
      </c>
      <c r="C26" s="15" t="inlineStr">
        <is>
          <t xml:space="preserve">Link Ledger</t>
        </is>
      </c>
      <c r="D26" s="15" t="inlineStr">
        <is>
          <t xml:space="preserve">RES-PSA-072</t>
        </is>
      </c>
      <c r="E26" s="15" t="inlineStr">
        <is>
          <t xml:space="preserve">Psalm 72</t>
        </is>
      </c>
      <c r="F26" s="15" t="inlineStr">
        <is>
          <t xml:space="preserve">CRS-1KG-003</t>
        </is>
      </c>
      <c r="G26" s="15" t="inlineStr">
        <is>
          <t xml:space="preserve">Solomonic Association</t>
        </is>
      </c>
      <c r="H26" s="15" t="inlineStr">
        <is>
          <t xml:space="preserve">Probable</t>
        </is>
      </c>
      <c r="I26" s="13" t="inlineStr">
        <is>
          <t xml:space="preserve">Draft</t>
        </is>
      </c>
      <c r="J26" s="15"/>
      <c r="K26" s="15" t="inlineStr">
        <is>
          <t xml:space="preserve">resolution id: RES-PSA-072 | source crs: CRS-PSA-025 | scope passage: Psalm 72 | relationship: Solomonic Association | target map: Canon Map v0.2 | target crs: CRS-1KG-003 | target passage: 1 Kings 3 | placement confidence: Probable | status: Draft | notes: Heading relationship is not a dated event link.</t>
        </is>
      </c>
    </row>
    <row r="27" ht="34" customHeight="1">
      <c r="A27" s="15" t="inlineStr">
        <is>
          <t xml:space="preserve">v0.2</t>
        </is>
      </c>
      <c r="B27" s="15" t="inlineStr">
        <is>
          <t xml:space="preserve">Bible_Journey_Canon_Map_v0_2_Chronicles_Psalms_Job_1Kings.xlsx</t>
        </is>
      </c>
      <c r="C27" s="15" t="inlineStr">
        <is>
          <t xml:space="preserve">Link Ledger</t>
        </is>
      </c>
      <c r="D27" s="15" t="inlineStr">
        <is>
          <t xml:space="preserve">RES-PSA-096</t>
        </is>
      </c>
      <c r="E27" s="15" t="inlineStr">
        <is>
          <t xml:space="preserve">Psalm 96</t>
        </is>
      </c>
      <c r="F27" s="15" t="inlineStr">
        <is>
          <t xml:space="preserve">CRS-1CH-012</t>
        </is>
      </c>
      <c r="G27" s="15" t="inlineStr">
        <is>
          <t xml:space="preserve">Textual Reuse / Liturgy</t>
        </is>
      </c>
      <c r="H27" s="15" t="inlineStr">
        <is>
          <t xml:space="preserve">High</t>
        </is>
      </c>
      <c r="I27" s="13" t="inlineStr">
        <is>
          <t xml:space="preserve">Draft</t>
        </is>
      </c>
      <c r="J27" s="15"/>
      <c r="K27" s="15" t="inlineStr">
        <is>
          <t xml:space="preserve">resolution id: RES-PSA-096 | source crs: CRS-PSA-029 | scope passage: Psalm 96 | relationship: Textual Reuse / Liturgy | target map: Canon Map v0.2 | target crs: CRS-1CH-012 | target passage: 1 Chronicles 15-16 | placement confidence: High | status: Draft | notes: No claim about direction of dependence in user-facing copy.</t>
        </is>
      </c>
    </row>
    <row r="28" ht="34" customHeight="1">
      <c r="A28" s="15" t="inlineStr">
        <is>
          <t xml:space="preserve">v0.2</t>
        </is>
      </c>
      <c r="B28" s="15" t="inlineStr">
        <is>
          <t xml:space="preserve">Bible_Journey_Canon_Map_v0_2_Chronicles_Psalms_Job_1Kings.xlsx</t>
        </is>
      </c>
      <c r="C28" s="15" t="inlineStr">
        <is>
          <t xml:space="preserve">Link Ledger</t>
        </is>
      </c>
      <c r="D28" s="15" t="inlineStr">
        <is>
          <t xml:space="preserve">RES-PSA-105</t>
        </is>
      </c>
      <c r="E28" s="15" t="inlineStr">
        <is>
          <t xml:space="preserve">Psalm 105</t>
        </is>
      </c>
      <c r="F28" s="15" t="inlineStr">
        <is>
          <t xml:space="preserve">CRS-1CH-012</t>
        </is>
      </c>
      <c r="G28" s="15" t="inlineStr">
        <is>
          <t xml:space="preserve">Textual Reuse / Liturgy</t>
        </is>
      </c>
      <c r="H28" s="15" t="inlineStr">
        <is>
          <t xml:space="preserve">High</t>
        </is>
      </c>
      <c r="I28" s="13" t="inlineStr">
        <is>
          <t xml:space="preserve">Draft</t>
        </is>
      </c>
      <c r="J28" s="15"/>
      <c r="K28" s="15" t="inlineStr">
        <is>
          <t xml:space="preserve">resolution id: RES-PSA-105 | source crs: CRS-PSA-031 | scope passage: Psalm 105 | relationship: Textual Reuse / Liturgy | target map: Canon Map v0.2 | target crs: CRS-1CH-012 | target passage: 1 Chronicles 15-16 | placement confidence: High | status: Draft | notes: No composite text.</t>
        </is>
      </c>
    </row>
    <row r="29" ht="34" customHeight="1">
      <c r="A29" s="15" t="inlineStr">
        <is>
          <t xml:space="preserve">v0.2</t>
        </is>
      </c>
      <c r="B29" s="15" t="inlineStr">
        <is>
          <t xml:space="preserve">Bible_Journey_Canon_Map_v0_2_Chronicles_Psalms_Job_1Kings.xlsx</t>
        </is>
      </c>
      <c r="C29" s="15" t="inlineStr">
        <is>
          <t xml:space="preserve">Link Ledger</t>
        </is>
      </c>
      <c r="D29" s="15" t="inlineStr">
        <is>
          <t xml:space="preserve">RES-PSA-106</t>
        </is>
      </c>
      <c r="E29" s="15" t="inlineStr">
        <is>
          <t xml:space="preserve">Psalm 106</t>
        </is>
      </c>
      <c r="F29" s="15" t="inlineStr">
        <is>
          <t xml:space="preserve">CRS-1CH-012</t>
        </is>
      </c>
      <c r="G29" s="15" t="inlineStr">
        <is>
          <t xml:space="preserve">Textual Reuse / Liturgy</t>
        </is>
      </c>
      <c r="H29" s="15" t="inlineStr">
        <is>
          <t xml:space="preserve">Probable</t>
        </is>
      </c>
      <c r="I29" s="13" t="inlineStr">
        <is>
          <t xml:space="preserve">Draft</t>
        </is>
      </c>
      <c r="J29" s="15"/>
      <c r="K29" s="15" t="inlineStr">
        <is>
          <t xml:space="preserve">resolution id: RES-PSA-106 | source crs: CRS-PSA-032 | scope passage: Psalm 106 | relationship: Textual Reuse / Liturgy | target map: Canon Map v0.2 | target crs: CRS-1CH-012 | target passage: 1 Chronicles 15-16 | placement confidence: Probable | status: Draft | notes: No composition-date claim.</t>
        </is>
      </c>
    </row>
    <row r="30" ht="34" customHeight="1">
      <c r="A30" s="15" t="inlineStr">
        <is>
          <t xml:space="preserve">v0.2</t>
        </is>
      </c>
      <c r="B30" s="15" t="inlineStr">
        <is>
          <t xml:space="preserve">Bible_Journey_Canon_Map_v0_2_Chronicles_Psalms_Job_1Kings.xlsx</t>
        </is>
      </c>
      <c r="C30" s="15" t="inlineStr">
        <is>
          <t xml:space="preserve">Link Ledger</t>
        </is>
      </c>
      <c r="D30" s="15" t="inlineStr">
        <is>
          <t xml:space="preserve">RES-PSA-127</t>
        </is>
      </c>
      <c r="E30" s="15" t="inlineStr">
        <is>
          <t xml:space="preserve">Psalm 127</t>
        </is>
      </c>
      <c r="F30" s="15" t="inlineStr">
        <is>
          <t xml:space="preserve">CRS-1KG-005</t>
        </is>
      </c>
      <c r="G30" s="15" t="inlineStr">
        <is>
          <t xml:space="preserve">Solomonic Association</t>
        </is>
      </c>
      <c r="H30" s="15" t="inlineStr">
        <is>
          <t xml:space="preserve">Probable</t>
        </is>
      </c>
      <c r="I30" s="13" t="inlineStr">
        <is>
          <t xml:space="preserve">Draft</t>
        </is>
      </c>
      <c r="J30" s="15"/>
      <c r="K30" s="15" t="inlineStr">
        <is>
          <t xml:space="preserve">resolution id: RES-PSA-127 | source crs: CRS-PSA-036 | scope passage: Psalm 127 | relationship: Solomonic Association | target map: Canon Map v0.2 | target crs: CRS-1KG-005 | target passage: 1 Kings 5-6 | placement confidence: Probable | status: Draft | notes: No direct temple-building event assertion.</t>
        </is>
      </c>
    </row>
    <row r="31" ht="34" customHeight="1">
      <c r="A31" s="15" t="inlineStr">
        <is>
          <t xml:space="preserve">v0.2</t>
        </is>
      </c>
      <c r="B31" s="15" t="inlineStr">
        <is>
          <t xml:space="preserve">Bible_Journey_Canon_Map_v0_2_Chronicles_Psalms_Job_1Kings.xlsx</t>
        </is>
      </c>
      <c r="C31" s="15" t="inlineStr">
        <is>
          <t xml:space="preserve">Link Ledger</t>
        </is>
      </c>
      <c r="D31" s="15" t="inlineStr">
        <is>
          <t xml:space="preserve">RES-1KG-003</t>
        </is>
      </c>
      <c r="E31" s="15" t="inlineStr">
        <is>
          <t xml:space="preserve">1 Kings 3</t>
        </is>
      </c>
      <c r="F31" s="15" t="inlineStr">
        <is>
          <t xml:space="preserve">TBD</t>
        </is>
      </c>
      <c r="G31" s="15" t="inlineStr">
        <is>
          <t xml:space="preserve">Future Parallel / Complementary</t>
        </is>
      </c>
      <c r="H31" s="15" t="inlineStr">
        <is>
          <t xml:space="preserve">High</t>
        </is>
      </c>
      <c r="I31" s="11" t="inlineStr">
        <is>
          <t xml:space="preserve">Open</t>
        </is>
      </c>
      <c r="J31" s="15"/>
      <c r="K31" s="15" t="inlineStr">
        <is>
          <t xml:space="preserve">resolution id: RES-1KG-003 | source crs: CRS-1KG-003 | scope passage: 1 Kings 3 | relationship: Future Parallel / Complementary | target map: Future Canon Map v0.3 | target crs: TBD | target passage: 2 Chronicles 1 | placement confidence: High | status: Open | notes: Dependency for 2 Chronicles map.</t>
        </is>
      </c>
    </row>
    <row r="32" ht="34" customHeight="1">
      <c r="A32" s="15" t="inlineStr">
        <is>
          <t xml:space="preserve">v0.2</t>
        </is>
      </c>
      <c r="B32" s="15" t="inlineStr">
        <is>
          <t xml:space="preserve">Bible_Journey_Canon_Map_v0_2_Chronicles_Psalms_Job_1Kings.xlsx</t>
        </is>
      </c>
      <c r="C32" s="15" t="inlineStr">
        <is>
          <t xml:space="preserve">Link Ledger</t>
        </is>
      </c>
      <c r="D32" s="15" t="inlineStr">
        <is>
          <t xml:space="preserve">RES-1KG-005</t>
        </is>
      </c>
      <c r="E32" s="15" t="inlineStr">
        <is>
          <t xml:space="preserve">1 Kings 5-6</t>
        </is>
      </c>
      <c r="F32" s="15" t="inlineStr">
        <is>
          <t xml:space="preserve">TBD</t>
        </is>
      </c>
      <c r="G32" s="15" t="inlineStr">
        <is>
          <t xml:space="preserve">Future Parallel / Complementary</t>
        </is>
      </c>
      <c r="H32" s="15" t="inlineStr">
        <is>
          <t xml:space="preserve">High</t>
        </is>
      </c>
      <c r="I32" s="11" t="inlineStr">
        <is>
          <t xml:space="preserve">Open</t>
        </is>
      </c>
      <c r="J32" s="15"/>
      <c r="K32" s="15" t="inlineStr">
        <is>
          <t xml:space="preserve">resolution id: RES-1KG-005 | source crs: CRS-1KG-005 | scope passage: 1 Kings 5-6 | relationship: Future Parallel / Complementary | target map: Future Canon Map v0.3 | target crs: TBD | target passage: 2 Chronicles 2-3 | placement confidence: High | status: Open | notes: Likely requires verse-level breakouts.</t>
        </is>
      </c>
    </row>
    <row r="33" ht="34" customHeight="1">
      <c r="A33" s="15" t="inlineStr">
        <is>
          <t xml:space="preserve">v0.2</t>
        </is>
      </c>
      <c r="B33" s="15" t="inlineStr">
        <is>
          <t xml:space="preserve">Bible_Journey_Canon_Map_v0_2_Chronicles_Psalms_Job_1Kings.xlsx</t>
        </is>
      </c>
      <c r="C33" s="15" t="inlineStr">
        <is>
          <t xml:space="preserve">Link Ledger</t>
        </is>
      </c>
      <c r="D33" s="15" t="inlineStr">
        <is>
          <t xml:space="preserve">RES-1KG-007</t>
        </is>
      </c>
      <c r="E33" s="15" t="inlineStr">
        <is>
          <t xml:space="preserve">1 Kings 8</t>
        </is>
      </c>
      <c r="F33" s="15" t="inlineStr">
        <is>
          <t xml:space="preserve">TBD</t>
        </is>
      </c>
      <c r="G33" s="15" t="inlineStr">
        <is>
          <t xml:space="preserve">Future Parallel / Complementary</t>
        </is>
      </c>
      <c r="H33" s="15" t="inlineStr">
        <is>
          <t xml:space="preserve">High</t>
        </is>
      </c>
      <c r="I33" s="11" t="inlineStr">
        <is>
          <t xml:space="preserve">Open</t>
        </is>
      </c>
      <c r="J33" s="15"/>
      <c r="K33" s="15" t="inlineStr">
        <is>
          <t xml:space="preserve">resolution id: RES-1KG-007 | source crs: CRS-1KG-007 | scope passage: 1 Kings 8 | relationship: Future Parallel / Complementary | target map: Future Canon Map v0.3 | target crs: TBD | target passage: 2 Chronicles 5-7 | placement confidence: High | status: Open | notes: Core demonstration of cross-book reading.</t>
        </is>
      </c>
    </row>
    <row r="34" ht="34" customHeight="1">
      <c r="A34" s="15" t="inlineStr">
        <is>
          <t xml:space="preserve">v0.2</t>
        </is>
      </c>
      <c r="B34" s="15" t="inlineStr">
        <is>
          <t xml:space="preserve">Bible_Journey_Canon_Map_v0_2_Chronicles_Psalms_Job_1Kings.xlsx</t>
        </is>
      </c>
      <c r="C34" s="15" t="inlineStr">
        <is>
          <t xml:space="preserve">Link Ledger</t>
        </is>
      </c>
      <c r="D34" s="15" t="inlineStr">
        <is>
          <t xml:space="preserve">RES-1KG-009</t>
        </is>
      </c>
      <c r="E34" s="15" t="inlineStr">
        <is>
          <t xml:space="preserve">1 Kings 10</t>
        </is>
      </c>
      <c r="F34" s="15" t="inlineStr">
        <is>
          <t xml:space="preserve">TBD</t>
        </is>
      </c>
      <c r="G34" s="15" t="inlineStr">
        <is>
          <t xml:space="preserve">Future Parallel</t>
        </is>
      </c>
      <c r="H34" s="15" t="inlineStr">
        <is>
          <t xml:space="preserve">High</t>
        </is>
      </c>
      <c r="I34" s="11" t="inlineStr">
        <is>
          <t xml:space="preserve">Open</t>
        </is>
      </c>
      <c r="J34" s="15"/>
      <c r="K34" s="15" t="inlineStr">
        <is>
          <t xml:space="preserve">resolution id: RES-1KG-009 | source crs: CRS-1KG-009 | scope passage: 1 Kings 10 | relationship: Future Parallel | target map: Future Canon Map v0.3 | target crs: TBD | target passage: 2 Chronicles 9 | placement confidence: High | status: Open</t>
        </is>
      </c>
    </row>
    <row r="35" ht="34" customHeight="1">
      <c r="A35" s="15" t="inlineStr">
        <is>
          <t xml:space="preserve">v0.2</t>
        </is>
      </c>
      <c r="B35" s="15" t="inlineStr">
        <is>
          <t xml:space="preserve">Bible_Journey_Canon_Map_v0_2_Chronicles_Psalms_Job_1Kings.xlsx</t>
        </is>
      </c>
      <c r="C35" s="15" t="inlineStr">
        <is>
          <t xml:space="preserve">Link Ledger</t>
        </is>
      </c>
      <c r="D35" s="15" t="inlineStr">
        <is>
          <t xml:space="preserve">RES-1KG-011</t>
        </is>
      </c>
      <c r="E35" s="15" t="inlineStr">
        <is>
          <t xml:space="preserve">1 Kings 12</t>
        </is>
      </c>
      <c r="F35" s="15" t="inlineStr">
        <is>
          <t xml:space="preserve">TBD</t>
        </is>
      </c>
      <c r="G35" s="15" t="inlineStr">
        <is>
          <t xml:space="preserve">Future Parallel</t>
        </is>
      </c>
      <c r="H35" s="15" t="inlineStr">
        <is>
          <t xml:space="preserve">High</t>
        </is>
      </c>
      <c r="I35" s="11" t="inlineStr">
        <is>
          <t xml:space="preserve">Open</t>
        </is>
      </c>
      <c r="J35" s="15"/>
      <c r="K35" s="15" t="inlineStr">
        <is>
          <t xml:space="preserve">resolution id: RES-1KG-011 | source crs: CRS-1KG-011 | scope passage: 1 Kings 12 | relationship: Future Parallel | target map: Future Canon Map v0.3 | target crs: TBD | target passage: 2 Chronicles 10 | placement confidence: High | status: Open</t>
        </is>
      </c>
    </row>
    <row r="36" ht="34" customHeight="1">
      <c r="A36" s="15" t="inlineStr">
        <is>
          <t xml:space="preserve">v0.2</t>
        </is>
      </c>
      <c r="B36" s="15" t="inlineStr">
        <is>
          <t xml:space="preserve">Bible_Journey_Canon_Map_v0_2_Chronicles_Psalms_Job_1Kings.xlsx</t>
        </is>
      </c>
      <c r="C36" s="15" t="inlineStr">
        <is>
          <t xml:space="preserve">Link Ledger</t>
        </is>
      </c>
      <c r="D36" s="15" t="inlineStr">
        <is>
          <t xml:space="preserve">RES-1KG-013</t>
        </is>
      </c>
      <c r="E36" s="15" t="inlineStr">
        <is>
          <t xml:space="preserve">1 Kings 14</t>
        </is>
      </c>
      <c r="F36" s="15" t="inlineStr">
        <is>
          <t xml:space="preserve">TBD</t>
        </is>
      </c>
      <c r="G36" s="15" t="inlineStr">
        <is>
          <t xml:space="preserve">Future Complementary</t>
        </is>
      </c>
      <c r="H36" s="15" t="inlineStr">
        <is>
          <t xml:space="preserve">High</t>
        </is>
      </c>
      <c r="I36" s="11" t="inlineStr">
        <is>
          <t xml:space="preserve">Open</t>
        </is>
      </c>
      <c r="J36" s="15"/>
      <c r="K36" s="15" t="inlineStr">
        <is>
          <t xml:space="preserve">resolution id: RES-1KG-013 | source crs: CRS-1KG-013 | scope passage: 1 Kings 14 | relationship: Future Complementary | target map: Future Canon Map v0.3 | target crs: TBD | target passage: 2 Chronicles 12 | placement confidence: High | status: Open</t>
        </is>
      </c>
    </row>
    <row r="37" ht="34" customHeight="1">
      <c r="A37" s="15" t="inlineStr">
        <is>
          <t xml:space="preserve">v0.2</t>
        </is>
      </c>
      <c r="B37" s="15" t="inlineStr">
        <is>
          <t xml:space="preserve">Bible_Journey_Canon_Map_v0_2_Chronicles_Psalms_Job_1Kings.xlsx</t>
        </is>
      </c>
      <c r="C37" s="15" t="inlineStr">
        <is>
          <t xml:space="preserve">Link Ledger</t>
        </is>
      </c>
      <c r="D37" s="15" t="inlineStr">
        <is>
          <t xml:space="preserve">RES-1KG-014</t>
        </is>
      </c>
      <c r="E37" s="15" t="inlineStr">
        <is>
          <t xml:space="preserve">1 Kings 15</t>
        </is>
      </c>
      <c r="F37" s="15" t="inlineStr">
        <is>
          <t xml:space="preserve">TBD</t>
        </is>
      </c>
      <c r="G37" s="15" t="inlineStr">
        <is>
          <t xml:space="preserve">Future Complementary</t>
        </is>
      </c>
      <c r="H37" s="15" t="inlineStr">
        <is>
          <t xml:space="preserve">High</t>
        </is>
      </c>
      <c r="I37" s="11" t="inlineStr">
        <is>
          <t xml:space="preserve">Open</t>
        </is>
      </c>
      <c r="J37" s="15"/>
      <c r="K37" s="15" t="inlineStr">
        <is>
          <t xml:space="preserve">resolution id: RES-1KG-014 | source crs: CRS-1KG-014 | scope passage: 1 Kings 15 | relationship: Future Complementary | target map: Future Canon Map v0.3 | target crs: TBD | target passage: 2 Chronicles 13-16 | placement confidence: High | status: Open | notes: Must split chapter-based 1 Kings set for king-specific comparison.</t>
        </is>
      </c>
    </row>
    <row r="38" ht="34" customHeight="1">
      <c r="A38" s="15" t="inlineStr">
        <is>
          <t xml:space="preserve">v0.2</t>
        </is>
      </c>
      <c r="B38" s="15" t="inlineStr">
        <is>
          <t xml:space="preserve">Bible_Journey_Canon_Map_v0_2_Chronicles_Psalms_Job_1Kings.xlsx</t>
        </is>
      </c>
      <c r="C38" s="15" t="inlineStr">
        <is>
          <t xml:space="preserve">Link Ledger</t>
        </is>
      </c>
      <c r="D38" s="15" t="inlineStr">
        <is>
          <t xml:space="preserve">RES-1KG-021</t>
        </is>
      </c>
      <c r="E38" s="15" t="inlineStr">
        <is>
          <t xml:space="preserve">1 Kings 22</t>
        </is>
      </c>
      <c r="F38" s="15" t="inlineStr">
        <is>
          <t xml:space="preserve">TBD</t>
        </is>
      </c>
      <c r="G38" s="15" t="inlineStr">
        <is>
          <t xml:space="preserve">Future Parallel</t>
        </is>
      </c>
      <c r="H38" s="15" t="inlineStr">
        <is>
          <t xml:space="preserve">High</t>
        </is>
      </c>
      <c r="I38" s="11" t="inlineStr">
        <is>
          <t xml:space="preserve">Open</t>
        </is>
      </c>
      <c r="J38" s="15"/>
      <c r="K38" s="15" t="inlineStr">
        <is>
          <t xml:space="preserve">resolution id: RES-1KG-021 | source crs: CRS-1KG-021 | scope passage: 1 Kings 22 | relationship: Future Parallel | target map: Future Canon Map v0.3 | target crs: TBD | target passage: 2 Chronicles 18 | placement confidence: High | status: Open</t>
        </is>
      </c>
    </row>
    <row r="39" ht="34" customHeight="1">
      <c r="A39" s="15" t="inlineStr">
        <is>
          <t xml:space="preserve">v0.2</t>
        </is>
      </c>
      <c r="B39" s="15" t="inlineStr">
        <is>
          <t xml:space="preserve">Bible_Journey_Canon_Map_v0_2_Chronicles_Psalms_Job_1Kings.xlsx</t>
        </is>
      </c>
      <c r="C39" s="15" t="inlineStr">
        <is>
          <t xml:space="preserve">Integration Resolution</t>
        </is>
      </c>
      <c r="D39" s="15" t="inlineStr">
        <is>
          <t xml:space="preserve">RES-PSA-059</t>
        </is>
      </c>
      <c r="E39" s="15" t="inlineStr">
        <is>
          <t xml:space="preserve">Psalm 59</t>
        </is>
      </c>
      <c r="F39" s="15" t="inlineStr">
        <is>
          <t xml:space="preserve">Canon Map v0.1</t>
        </is>
      </c>
      <c r="G39" s="15" t="inlineStr">
        <is>
          <t xml:space="preserve">Poetic Connection</t>
        </is>
      </c>
      <c r="H39" s="15" t="inlineStr">
        <is>
          <t xml:space="preserve">Probable</t>
        </is>
      </c>
      <c r="I39" s="13" t="inlineStr">
        <is>
          <t xml:space="preserve">Draft</t>
        </is>
      </c>
      <c r="J39" s="15"/>
      <c r="K39" s="15" t="inlineStr">
        <is>
          <t xml:space="preserve">resolution id: RES-PSA-059 | source crs id: CRS-PSA-020 | scope passage: Psalm 59 | relationship: Poetic Connection | target map: Canon Map v0.1 | target crs id: CRS-1SA-009 | target passage: 1 Samuel 19 | full stream rule: Offer after Saul watches David's house. | narrative flow rule: Show as related Psalm. | compare eligible: No | verse-level split needed: No | placement confidence: Probable | status: Draft | notes: Superscription-based link.</t>
        </is>
      </c>
    </row>
    <row r="40" ht="34" customHeight="1">
      <c r="A40" s="15" t="inlineStr">
        <is>
          <t xml:space="preserve">v0.2</t>
        </is>
      </c>
      <c r="B40" s="15" t="inlineStr">
        <is>
          <t xml:space="preserve">Bible_Journey_Canon_Map_v0_2_Chronicles_Psalms_Job_1Kings.xlsx</t>
        </is>
      </c>
      <c r="C40" s="15" t="inlineStr">
        <is>
          <t xml:space="preserve">Integration Resolution</t>
        </is>
      </c>
      <c r="D40" s="15" t="inlineStr">
        <is>
          <t xml:space="preserve">RES-PSA-034</t>
        </is>
      </c>
      <c r="E40" s="15" t="inlineStr">
        <is>
          <t xml:space="preserve">Psalm 34</t>
        </is>
      </c>
      <c r="F40" s="15" t="inlineStr">
        <is>
          <t xml:space="preserve">Canon Map v0.1</t>
        </is>
      </c>
      <c r="G40" s="15" t="inlineStr">
        <is>
          <t xml:space="preserve">Poetic Connection</t>
        </is>
      </c>
      <c r="H40" s="15" t="inlineStr">
        <is>
          <t xml:space="preserve">Probable</t>
        </is>
      </c>
      <c r="I40" s="13" t="inlineStr">
        <is>
          <t xml:space="preserve">Draft</t>
        </is>
      </c>
      <c r="J40" s="15"/>
      <c r="K40" s="15" t="inlineStr">
        <is>
          <t xml:space="preserve">resolution id: RES-PSA-034 | source crs id: CRS-PSA-010 | scope passage: Psalm 34 | relationship: Poetic Connection | target map: Canon Map v0.1 | target crs id: CRS-1SA-011 | target passage: 1 Samuel 21 | full stream rule: Offer after the Gath account with an attribution caveat. | narrative flow rule: Show as related Psalm. | compare eligible: No | verse-level split needed: No | placement confidence: Probable | status: Draft | notes: Heading/narrative naming differences should be disclosed in study note.</t>
        </is>
      </c>
    </row>
    <row r="41" ht="34" customHeight="1">
      <c r="A41" s="15" t="inlineStr">
        <is>
          <t xml:space="preserve">v0.2</t>
        </is>
      </c>
      <c r="B41" s="15" t="inlineStr">
        <is>
          <t xml:space="preserve">Bible_Journey_Canon_Map_v0_2_Chronicles_Psalms_Job_1Kings.xlsx</t>
        </is>
      </c>
      <c r="C41" s="15" t="inlineStr">
        <is>
          <t xml:space="preserve">Integration Resolution</t>
        </is>
      </c>
      <c r="D41" s="15" t="inlineStr">
        <is>
          <t xml:space="preserve">RES-PSA-056</t>
        </is>
      </c>
      <c r="E41" s="15" t="inlineStr">
        <is>
          <t xml:space="preserve">Psalm 56</t>
        </is>
      </c>
      <c r="F41" s="15" t="inlineStr">
        <is>
          <t xml:space="preserve">Canon Map v0.1</t>
        </is>
      </c>
      <c r="G41" s="15" t="inlineStr">
        <is>
          <t xml:space="preserve">Poetic Connection</t>
        </is>
      </c>
      <c r="H41" s="15" t="inlineStr">
        <is>
          <t xml:space="preserve">Probable</t>
        </is>
      </c>
      <c r="I41" s="13" t="inlineStr">
        <is>
          <t xml:space="preserve">Draft</t>
        </is>
      </c>
      <c r="J41" s="15"/>
      <c r="K41" s="15" t="inlineStr">
        <is>
          <t xml:space="preserve">resolution id: RES-PSA-056 | source crs id: CRS-PSA-017 | scope passage: Psalm 56 | relationship: Poetic Connection | target map: Canon Map v0.1 | target crs id: CRS-1SA-011 | target passage: 1 Samuel 21 | full stream rule: Offer after David at Gath. | narrative flow rule: Show as related Psalm. | compare eligible: No | verse-level split needed: No | placement confidence: Probable | status: Draft | notes: Superscription-based link.</t>
        </is>
      </c>
    </row>
    <row r="42" ht="34" customHeight="1">
      <c r="A42" s="15" t="inlineStr">
        <is>
          <t xml:space="preserve">v0.2</t>
        </is>
      </c>
      <c r="B42" s="15" t="inlineStr">
        <is>
          <t xml:space="preserve">Bible_Journey_Canon_Map_v0_2_Chronicles_Psalms_Job_1Kings.xlsx</t>
        </is>
      </c>
      <c r="C42" s="15" t="inlineStr">
        <is>
          <t xml:space="preserve">Integration Resolution</t>
        </is>
      </c>
      <c r="D42" s="15" t="inlineStr">
        <is>
          <t xml:space="preserve">RES-1CH-012</t>
        </is>
      </c>
      <c r="E42" s="15" t="inlineStr">
        <is>
          <t xml:space="preserve">1 Chronicles 12</t>
        </is>
      </c>
      <c r="F42" s="15" t="inlineStr">
        <is>
          <t xml:space="preserve">Canon Map v0.1</t>
        </is>
      </c>
      <c r="G42" s="15" t="inlineStr">
        <is>
          <t xml:space="preserve">Supplementary / Composite</t>
        </is>
      </c>
      <c r="H42" s="15" t="inlineStr">
        <is>
          <t xml:space="preserve">Probable</t>
        </is>
      </c>
      <c r="I42" s="11" t="inlineStr">
        <is>
          <t xml:space="preserve">Needs Research</t>
        </is>
      </c>
      <c r="J42" s="15"/>
      <c r="K42" s="15" t="inlineStr">
        <is>
          <t xml:space="preserve">resolution id: RES-1CH-012 | source crs id: CRS-1CH-009 | scope passage: 1 Chronicles 12 | relationship: Supplementary / Composite | target map: Canon Map v0.1 | target crs id: CRS-1SA-011–020; CRS-2SA-001 | target passage: 1 Samuel 21–31; 2 Samuel 1–2 | full stream rule: Offer as a Davidic-supporters collection in the transition from fugitive to king. | narrative flow rule: Keep optional in Narrative Flow; show historical-window note. | compare eligible: No | verse-level split needed: Yes | placement confidence: Probable | status: Needs Research | notes: Chapter aggregates groups linked to distinct moments; not a one-event parallel.</t>
        </is>
      </c>
    </row>
    <row r="43" ht="34" customHeight="1">
      <c r="A43" s="15" t="inlineStr">
        <is>
          <t xml:space="preserve">v0.2</t>
        </is>
      </c>
      <c r="B43" s="15" t="inlineStr">
        <is>
          <t xml:space="preserve">Bible_Journey_Canon_Map_v0_2_Chronicles_Psalms_Job_1Kings.xlsx</t>
        </is>
      </c>
      <c r="C43" s="15" t="inlineStr">
        <is>
          <t xml:space="preserve">Integration Resolution</t>
        </is>
      </c>
      <c r="D43" s="15" t="inlineStr">
        <is>
          <t xml:space="preserve">RES-PSA-052</t>
        </is>
      </c>
      <c r="E43" s="15" t="inlineStr">
        <is>
          <t xml:space="preserve">Psalm 52</t>
        </is>
      </c>
      <c r="F43" s="15" t="inlineStr">
        <is>
          <t xml:space="preserve">Canon Map v0.1</t>
        </is>
      </c>
      <c r="G43" s="15" t="inlineStr">
        <is>
          <t xml:space="preserve">Poetic Connection</t>
        </is>
      </c>
      <c r="H43" s="15" t="inlineStr">
        <is>
          <t xml:space="preserve">Probable</t>
        </is>
      </c>
      <c r="I43" s="13" t="inlineStr">
        <is>
          <t xml:space="preserve">Draft</t>
        </is>
      </c>
      <c r="J43" s="15"/>
      <c r="K43" s="15" t="inlineStr">
        <is>
          <t xml:space="preserve">resolution id: RES-PSA-052 | source crs id: CRS-PSA-013 | scope passage: Psalm 52 | relationship: Poetic Connection | target map: Canon Map v0.1 | target crs id: CRS-1SA-012 | target passage: 1 Samuel 22 | full stream rule: Offer after Doeg and the priests of Nob. | narrative flow rule: Show as related Psalm. | compare eligible: No | verse-level split needed: No | placement confidence: Probable | status: Draft | notes: Superscription-based link.</t>
        </is>
      </c>
    </row>
    <row r="44" ht="34" customHeight="1">
      <c r="A44" s="15" t="inlineStr">
        <is>
          <t xml:space="preserve">v0.2</t>
        </is>
      </c>
      <c r="B44" s="15" t="inlineStr">
        <is>
          <t xml:space="preserve">Bible_Journey_Canon_Map_v0_2_Chronicles_Psalms_Job_1Kings.xlsx</t>
        </is>
      </c>
      <c r="C44" s="15" t="inlineStr">
        <is>
          <t xml:space="preserve">Integration Resolution</t>
        </is>
      </c>
      <c r="D44" s="15" t="inlineStr">
        <is>
          <t xml:space="preserve">RES-PSA-054</t>
        </is>
      </c>
      <c r="E44" s="15" t="inlineStr">
        <is>
          <t xml:space="preserve">Psalm 54</t>
        </is>
      </c>
      <c r="F44" s="15" t="inlineStr">
        <is>
          <t xml:space="preserve">Canon Map v0.1</t>
        </is>
      </c>
      <c r="G44" s="15" t="inlineStr">
        <is>
          <t xml:space="preserve">Poetic Connection</t>
        </is>
      </c>
      <c r="H44" s="15" t="inlineStr">
        <is>
          <t xml:space="preserve">Probable</t>
        </is>
      </c>
      <c r="I44" s="13" t="inlineStr">
        <is>
          <t xml:space="preserve">Draft</t>
        </is>
      </c>
      <c r="J44" s="15"/>
      <c r="K44" s="15" t="inlineStr">
        <is>
          <t xml:space="preserve">resolution id: RES-PSA-054 | source crs id: CRS-PSA-015 | scope passage: Psalm 54 | relationship: Poetic Connection | target map: Canon Map v0.1 | target crs id: CRS-1SA-013 | target passage: 1 Samuel 23 | full stream rule: Offer after Ziphites' report. | narrative flow rule: Show as related Psalm. | compare eligible: No | verse-level split needed: No | placement confidence: Probable | status: Draft | notes: Superscription-based link.</t>
        </is>
      </c>
    </row>
    <row r="45" ht="34" customHeight="1">
      <c r="A45" s="15" t="inlineStr">
        <is>
          <t xml:space="preserve">v0.2</t>
        </is>
      </c>
      <c r="B45" s="15" t="inlineStr">
        <is>
          <t xml:space="preserve">Bible_Journey_Canon_Map_v0_2_Chronicles_Psalms_Job_1Kings.xlsx</t>
        </is>
      </c>
      <c r="C45" s="15" t="inlineStr">
        <is>
          <t xml:space="preserve">Integration Resolution</t>
        </is>
      </c>
      <c r="D45" s="15" t="inlineStr">
        <is>
          <t xml:space="preserve">RES-1CH-010</t>
        </is>
      </c>
      <c r="E45" s="15" t="inlineStr">
        <is>
          <t xml:space="preserve">1 Chronicles 10</t>
        </is>
      </c>
      <c r="F45" s="15" t="inlineStr">
        <is>
          <t xml:space="preserve">Canon Map v0.1</t>
        </is>
      </c>
      <c r="G45" s="15" t="inlineStr">
        <is>
          <t xml:space="preserve">Parallel Account</t>
        </is>
      </c>
      <c r="H45" s="15" t="inlineStr">
        <is>
          <t xml:space="preserve">High</t>
        </is>
      </c>
      <c r="I45" s="13" t="inlineStr">
        <is>
          <t xml:space="preserve">Draft</t>
        </is>
      </c>
      <c r="J45" s="15"/>
      <c r="K45" s="15" t="inlineStr">
        <is>
          <t xml:space="preserve">resolution id: RES-1CH-010 | source crs id: CRS-1CH-007 | scope passage: 1 Chronicles 10 | relationship: Parallel Account | target map: Canon Map v0.1 | target crs id: CRS-1SA-021 | target passage: 1 Samuel 31 | full stream rule: Read after the 1 Samuel account as part of the same event. | narrative flow rule: Surface as 'Parallel account available'; do not auto-complete. | compare eligible: Yes | verse-level split needed: No | placement confidence: High | status: Draft | notes: Chronicles retells Saul's death with distinct framing.</t>
        </is>
      </c>
    </row>
    <row r="46" ht="34" customHeight="1">
      <c r="A46" s="15" t="inlineStr">
        <is>
          <t xml:space="preserve">v0.2</t>
        </is>
      </c>
      <c r="B46" s="15" t="inlineStr">
        <is>
          <t xml:space="preserve">Bible_Journey_Canon_Map_v0_2_Chronicles_Psalms_Job_1Kings.xlsx</t>
        </is>
      </c>
      <c r="C46" s="15" t="inlineStr">
        <is>
          <t xml:space="preserve">Integration Resolution</t>
        </is>
      </c>
      <c r="D46" s="15" t="inlineStr">
        <is>
          <t xml:space="preserve">RES-1CH-011</t>
        </is>
      </c>
      <c r="E46" s="15" t="inlineStr">
        <is>
          <t xml:space="preserve">1 Chronicles 11</t>
        </is>
      </c>
      <c r="F46" s="15" t="inlineStr">
        <is>
          <t xml:space="preserve">Canon Map v0.1</t>
        </is>
      </c>
      <c r="G46" s="15" t="inlineStr">
        <is>
          <t xml:space="preserve">Parallel / Complementary Account</t>
        </is>
      </c>
      <c r="H46" s="15" t="inlineStr">
        <is>
          <t xml:space="preserve">High</t>
        </is>
      </c>
      <c r="I46" s="13" t="inlineStr">
        <is>
          <t xml:space="preserve">Draft</t>
        </is>
      </c>
      <c r="J46" s="15"/>
      <c r="K46" s="15" t="inlineStr">
        <is>
          <t xml:space="preserve">resolution id: RES-1CH-011 | source crs id: CRS-1CH-008 | scope passage: 1 Chronicles 11 | relationship: Parallel / Complementary Account | target map: Canon Map v0.1 | target crs id: CRS-2SA-003 | target passage: 2 Samuel 5 | full stream rule: Read following the Samuel account; flag added material on warriors. | narrative flow rule: Show as a parallel account with added detail. | compare eligible: Yes | verse-level split needed: Yes | placement confidence: High | status: Draft | notes: A later verse-level model should distinguish city capture from the warrior list.</t>
        </is>
      </c>
    </row>
    <row r="47" ht="34" customHeight="1">
      <c r="A47" s="15" t="inlineStr">
        <is>
          <t xml:space="preserve">v0.2</t>
        </is>
      </c>
      <c r="B47" s="15" t="inlineStr">
        <is>
          <t xml:space="preserve">Bible_Journey_Canon_Map_v0_2_Chronicles_Psalms_Job_1Kings.xlsx</t>
        </is>
      </c>
      <c r="C47" s="15" t="inlineStr">
        <is>
          <t xml:space="preserve">Integration Resolution</t>
        </is>
      </c>
      <c r="D47" s="15" t="inlineStr">
        <is>
          <t xml:space="preserve">RES-1CH-014</t>
        </is>
      </c>
      <c r="E47" s="15" t="inlineStr">
        <is>
          <t xml:space="preserve">1 Chronicles 14</t>
        </is>
      </c>
      <c r="F47" s="15" t="inlineStr">
        <is>
          <t xml:space="preserve">Canon Map v0.1</t>
        </is>
      </c>
      <c r="G47" s="15" t="inlineStr">
        <is>
          <t xml:space="preserve">Parallel Account</t>
        </is>
      </c>
      <c r="H47" s="15" t="inlineStr">
        <is>
          <t xml:space="preserve">High</t>
        </is>
      </c>
      <c r="I47" s="11" t="inlineStr">
        <is>
          <t xml:space="preserve">Open</t>
        </is>
      </c>
      <c r="J47" s="15"/>
      <c r="K47" s="15" t="inlineStr">
        <is>
          <t xml:space="preserve">resolution id: RES-1CH-014 | source crs id: CRS-1CH-011 | scope passage: 1 Chronicles 14 | relationship: Parallel Account | target map: Canon Map v0.1 | target crs id: CRS-2SA-003 | target passage: 2 Samuel 5:11-25 | full stream rule: Insert after the relevant Samuel section; do not append after 2 Samuel 6. | narrative flow rule: Surface as linked parallel account. | compare eligible: Yes | verse-level split needed: Yes | placement confidence: High | status: Open | notes: Needs verse-level boundaries in 2 Samuel 5.</t>
        </is>
      </c>
    </row>
    <row r="48" ht="34" customHeight="1">
      <c r="A48" s="15" t="inlineStr">
        <is>
          <t xml:space="preserve">v0.2</t>
        </is>
      </c>
      <c r="B48" s="15" t="inlineStr">
        <is>
          <t xml:space="preserve">Bible_Journey_Canon_Map_v0_2_Chronicles_Psalms_Job_1Kings.xlsx</t>
        </is>
      </c>
      <c r="C48" s="15" t="inlineStr">
        <is>
          <t xml:space="preserve">Integration Resolution</t>
        </is>
      </c>
      <c r="D48" s="15" t="inlineStr">
        <is>
          <t xml:space="preserve">RES-1CH-013</t>
        </is>
      </c>
      <c r="E48" s="15" t="inlineStr">
        <is>
          <t xml:space="preserve">1 Chronicles 13</t>
        </is>
      </c>
      <c r="F48" s="15" t="inlineStr">
        <is>
          <t xml:space="preserve">Canon Map v0.1</t>
        </is>
      </c>
      <c r="G48" s="15" t="inlineStr">
        <is>
          <t xml:space="preserve">Parallel Account</t>
        </is>
      </c>
      <c r="H48" s="15" t="inlineStr">
        <is>
          <t xml:space="preserve">High</t>
        </is>
      </c>
      <c r="I48" s="11" t="inlineStr">
        <is>
          <t xml:space="preserve">Open</t>
        </is>
      </c>
      <c r="J48" s="15"/>
      <c r="K48" s="15" t="inlineStr">
        <is>
          <t xml:space="preserve">resolution id: RES-1CH-013 | source crs id: CRS-1CH-010 | scope passage: 1 Chronicles 13 | relationship: Parallel Account | target map: Canon Map v0.1 | target crs id: CRS-2SA-004 | target passage: 2 Samuel 6:1-11 | full stream rule: Read after the first-movement portion of 2 Samuel 6, not after the entire chapter. | narrative flow rule: Surface as parallel; keep exact placement caveat. | compare eligible: Yes | verse-level split needed: Yes | placement confidence: High | status: Open | notes: Verse-level split is mandatory for correct Complete Chronological Reading.</t>
        </is>
      </c>
    </row>
    <row r="49" ht="34" customHeight="1">
      <c r="A49" s="15" t="inlineStr">
        <is>
          <t xml:space="preserve">v0.2</t>
        </is>
      </c>
      <c r="B49" s="15" t="inlineStr">
        <is>
          <t xml:space="preserve">Bible_Journey_Canon_Map_v0_2_Chronicles_Psalms_Job_1Kings.xlsx</t>
        </is>
      </c>
      <c r="C49" s="15" t="inlineStr">
        <is>
          <t xml:space="preserve">Integration Resolution</t>
        </is>
      </c>
      <c r="D49" s="15" t="inlineStr">
        <is>
          <t xml:space="preserve">RES-1CH-015</t>
        </is>
      </c>
      <c r="E49" s="15" t="inlineStr">
        <is>
          <t xml:space="preserve">1 Chronicles 15-16</t>
        </is>
      </c>
      <c r="F49" s="15" t="inlineStr">
        <is>
          <t xml:space="preserve">Canon Map v0.1</t>
        </is>
      </c>
      <c r="G49" s="15" t="inlineStr">
        <is>
          <t xml:space="preserve">Complementary Account</t>
        </is>
      </c>
      <c r="H49" s="15" t="inlineStr">
        <is>
          <t xml:space="preserve">High</t>
        </is>
      </c>
      <c r="I49" s="11" t="inlineStr">
        <is>
          <t xml:space="preserve">Open</t>
        </is>
      </c>
      <c r="J49" s="15"/>
      <c r="K49" s="15" t="inlineStr">
        <is>
          <t xml:space="preserve">resolution id: RES-1CH-015 | source crs id: CRS-1CH-012 | scope passage: 1 Chronicles 15-16 | relationship: Complementary Account | target map: Canon Map v0.1 | target crs id: CRS-2SA-004 | target passage: 2 Samuel 6:12-19 | full stream rule: Read after successful ark movement; preserve 1 Chronicles 16 as added liturgical material. | narrative flow rule: Show as 'Continue this event: Chronicles adds worship and liturgy.' | compare eligible: Yes | verse-level split needed: Yes | placement confidence: High | status: Open | notes: Exact stream sequencing depends on splitting 2 Samuel 6.</t>
        </is>
      </c>
    </row>
    <row r="50" ht="34" customHeight="1">
      <c r="A50" s="15" t="inlineStr">
        <is>
          <t xml:space="preserve">v0.2</t>
        </is>
      </c>
      <c r="B50" s="15" t="inlineStr">
        <is>
          <t xml:space="preserve">Bible_Journey_Canon_Map_v0_2_Chronicles_Psalms_Job_1Kings.xlsx</t>
        </is>
      </c>
      <c r="C50" s="15" t="inlineStr">
        <is>
          <t xml:space="preserve">Integration Resolution</t>
        </is>
      </c>
      <c r="D50" s="15" t="inlineStr">
        <is>
          <t xml:space="preserve">RES-1CH-017</t>
        </is>
      </c>
      <c r="E50" s="15" t="inlineStr">
        <is>
          <t xml:space="preserve">1 Chronicles 17</t>
        </is>
      </c>
      <c r="F50" s="15" t="inlineStr">
        <is>
          <t xml:space="preserve">Canon Map v0.1</t>
        </is>
      </c>
      <c r="G50" s="15" t="inlineStr">
        <is>
          <t xml:space="preserve">Parallel Account</t>
        </is>
      </c>
      <c r="H50" s="15" t="inlineStr">
        <is>
          <t xml:space="preserve">High</t>
        </is>
      </c>
      <c r="I50" s="13" t="inlineStr">
        <is>
          <t xml:space="preserve">Draft</t>
        </is>
      </c>
      <c r="J50" s="15"/>
      <c r="K50" s="15" t="inlineStr">
        <is>
          <t xml:space="preserve">resolution id: RES-1CH-017 | source crs id: CRS-1CH-013 | scope passage: 1 Chronicles 17 | relationship: Parallel Account | target map: Canon Map v0.1 | target crs id: CRS-2SA-005 | target passage: 2 Samuel 7 | full stream rule: Read immediately after the Samuel account in Complete mode. | narrative flow rule: Offer as parallel account. | compare eligible: Yes | verse-level split needed: No | placement confidence: High | status: Draft | notes: Compare view should preserve different wording and emphasis.</t>
        </is>
      </c>
    </row>
    <row r="51" ht="34" customHeight="1">
      <c r="A51" s="15" t="inlineStr">
        <is>
          <t xml:space="preserve">v0.2</t>
        </is>
      </c>
      <c r="B51" s="15" t="inlineStr">
        <is>
          <t xml:space="preserve">Bible_Journey_Canon_Map_v0_2_Chronicles_Psalms_Job_1Kings.xlsx</t>
        </is>
      </c>
      <c r="C51" s="15" t="inlineStr">
        <is>
          <t xml:space="preserve">Integration Resolution</t>
        </is>
      </c>
      <c r="D51" s="15" t="inlineStr">
        <is>
          <t xml:space="preserve">RES-1CH-018</t>
        </is>
      </c>
      <c r="E51" s="15" t="inlineStr">
        <is>
          <t xml:space="preserve">1 Chronicles 18</t>
        </is>
      </c>
      <c r="F51" s="15" t="inlineStr">
        <is>
          <t xml:space="preserve">Canon Map v0.1</t>
        </is>
      </c>
      <c r="G51" s="15" t="inlineStr">
        <is>
          <t xml:space="preserve">Parallel Account</t>
        </is>
      </c>
      <c r="H51" s="15" t="inlineStr">
        <is>
          <t xml:space="preserve">High</t>
        </is>
      </c>
      <c r="I51" s="13" t="inlineStr">
        <is>
          <t xml:space="preserve">Draft</t>
        </is>
      </c>
      <c r="J51" s="15"/>
      <c r="K51" s="15" t="inlineStr">
        <is>
          <t xml:space="preserve">resolution id: RES-1CH-018 | source crs id: CRS-1CH-014 | scope passage: 1 Chronicles 18 | relationship: Parallel Account | target map: Canon Map v0.1 | target crs id: CRS-2SA-006 | target passage: 2 Samuel 8 | full stream rule: Read after Samuel as same-event parallel. | narrative flow rule: Surface as parallel account. | compare eligible: Yes | verse-level split needed: No | placement confidence: High | status: Draft | notes: Chronicles and Samuel order details should remain separately readable.</t>
        </is>
      </c>
    </row>
    <row r="52" ht="34" customHeight="1">
      <c r="A52" s="15" t="inlineStr">
        <is>
          <t xml:space="preserve">v0.2</t>
        </is>
      </c>
      <c r="B52" s="15" t="inlineStr">
        <is>
          <t xml:space="preserve">Bible_Journey_Canon_Map_v0_2_Chronicles_Psalms_Job_1Kings.xlsx</t>
        </is>
      </c>
      <c r="C52" s="15" t="inlineStr">
        <is>
          <t xml:space="preserve">Integration Resolution</t>
        </is>
      </c>
      <c r="D52" s="15" t="inlineStr">
        <is>
          <t xml:space="preserve">RES-PSA-060</t>
        </is>
      </c>
      <c r="E52" s="15" t="inlineStr">
        <is>
          <t xml:space="preserve">Psalm 60</t>
        </is>
      </c>
      <c r="F52" s="15" t="inlineStr">
        <is>
          <t xml:space="preserve">Canon Map v0.1</t>
        </is>
      </c>
      <c r="G52" s="15" t="inlineStr">
        <is>
          <t xml:space="preserve">Poetic Connection</t>
        </is>
      </c>
      <c r="H52" s="15" t="inlineStr">
        <is>
          <t xml:space="preserve">Probable</t>
        </is>
      </c>
      <c r="I52" s="11" t="inlineStr">
        <is>
          <t xml:space="preserve">Needs Research</t>
        </is>
      </c>
      <c r="J52" s="15"/>
      <c r="K52" s="15" t="inlineStr">
        <is>
          <t xml:space="preserve">resolution id: RES-PSA-060 | source crs id: CRS-PSA-021 | scope passage: Psalm 60 | relationship: Poetic Connection | target map: Canon Map v0.1 | target crs id: CRS-2SA-006 | target passage: 2 Samuel 8 | full stream rule: Offer with David's victory accounts and source/correlation note. | narrative flow rule: Show as related Psalm. | compare eligible: No | verse-level split needed: Yes | placement confidence: Probable | status: Needs Research | notes: Exact correspondence to multiple war records needs detailed review.</t>
        </is>
      </c>
    </row>
    <row r="53" ht="34" customHeight="1">
      <c r="A53" s="15" t="inlineStr">
        <is>
          <t xml:space="preserve">v0.2</t>
        </is>
      </c>
      <c r="B53" s="15" t="inlineStr">
        <is>
          <t xml:space="preserve">Bible_Journey_Canon_Map_v0_2_Chronicles_Psalms_Job_1Kings.xlsx</t>
        </is>
      </c>
      <c r="C53" s="15" t="inlineStr">
        <is>
          <t xml:space="preserve">Integration Resolution</t>
        </is>
      </c>
      <c r="D53" s="15" t="inlineStr">
        <is>
          <t xml:space="preserve">RES-1CH-019</t>
        </is>
      </c>
      <c r="E53" s="15" t="inlineStr">
        <is>
          <t xml:space="preserve">1 Chronicles 19</t>
        </is>
      </c>
      <c r="F53" s="15" t="inlineStr">
        <is>
          <t xml:space="preserve">Canon Map v0.1</t>
        </is>
      </c>
      <c r="G53" s="15" t="inlineStr">
        <is>
          <t xml:space="preserve">Parallel Account</t>
        </is>
      </c>
      <c r="H53" s="15" t="inlineStr">
        <is>
          <t xml:space="preserve">High</t>
        </is>
      </c>
      <c r="I53" s="13" t="inlineStr">
        <is>
          <t xml:space="preserve">Draft</t>
        </is>
      </c>
      <c r="J53" s="15"/>
      <c r="K53" s="15" t="inlineStr">
        <is>
          <t xml:space="preserve">resolution id: RES-1CH-019 | source crs id: CRS-1CH-015 | scope passage: 1 Chronicles 19 | relationship: Parallel Account | target map: Canon Map v0.1 | target crs id: CRS-2SA-008 | target passage: 2 Samuel 10 | full stream rule: Read after Samuel as same-event parallel. | narrative flow rule: Surface as parallel account. | compare eligible: Yes | verse-level split needed: No | placement confidence: High | status: Draft | notes: No verse-level split currently required.</t>
        </is>
      </c>
    </row>
    <row r="54" ht="34" customHeight="1">
      <c r="A54" s="15" t="inlineStr">
        <is>
          <t xml:space="preserve">v0.2</t>
        </is>
      </c>
      <c r="B54" s="15" t="inlineStr">
        <is>
          <t xml:space="preserve">Bible_Journey_Canon_Map_v0_2_Chronicles_Psalms_Job_1Kings.xlsx</t>
        </is>
      </c>
      <c r="C54" s="15" t="inlineStr">
        <is>
          <t xml:space="preserve">Integration Resolution</t>
        </is>
      </c>
      <c r="D54" s="15" t="inlineStr">
        <is>
          <t xml:space="preserve">RES-PSA-051</t>
        </is>
      </c>
      <c r="E54" s="15" t="inlineStr">
        <is>
          <t xml:space="preserve">Psalm 51</t>
        </is>
      </c>
      <c r="F54" s="15" t="inlineStr">
        <is>
          <t xml:space="preserve">Canon Map v0.1</t>
        </is>
      </c>
      <c r="G54" s="15" t="inlineStr">
        <is>
          <t xml:space="preserve">Poetic Connection</t>
        </is>
      </c>
      <c r="H54" s="15" t="inlineStr">
        <is>
          <t xml:space="preserve">Probable</t>
        </is>
      </c>
      <c r="I54" s="13" t="inlineStr">
        <is>
          <t xml:space="preserve">Draft</t>
        </is>
      </c>
      <c r="J54" s="15"/>
      <c r="K54" s="15" t="inlineStr">
        <is>
          <t xml:space="preserve">resolution id: RES-PSA-051 | source crs id: CRS-PSA-012 | scope passage: Psalm 51 | relationship: Poetic Connection | target map: Canon Map v0.1 | target crs id: CRS-2SA-010 | target passage: 2 Samuel 12 | full stream rule: Offer after Nathan's confrontation with a superscription note. | narrative flow rule: Show as related Psalm. | compare eligible: No | verse-level split needed: No | placement confidence: Probable | status: Draft | notes: Do not present as direct dialogue transcript.</t>
        </is>
      </c>
    </row>
    <row r="55" ht="34" customHeight="1">
      <c r="A55" s="15" t="inlineStr">
        <is>
          <t xml:space="preserve">v0.2</t>
        </is>
      </c>
      <c r="B55" s="15" t="inlineStr">
        <is>
          <t xml:space="preserve">Bible_Journey_Canon_Map_v0_2_Chronicles_Psalms_Job_1Kings.xlsx</t>
        </is>
      </c>
      <c r="C55" s="15" t="inlineStr">
        <is>
          <t xml:space="preserve">Integration Resolution</t>
        </is>
      </c>
      <c r="D55" s="15" t="inlineStr">
        <is>
          <t xml:space="preserve">RES-1CH-020</t>
        </is>
      </c>
      <c r="E55" s="15" t="inlineStr">
        <is>
          <t xml:space="preserve">1 Chronicles 20</t>
        </is>
      </c>
      <c r="F55" s="15" t="inlineStr">
        <is>
          <t xml:space="preserve">Canon Map v0.1</t>
        </is>
      </c>
      <c r="G55" s="15" t="inlineStr">
        <is>
          <t xml:space="preserve">Complementary / Composite</t>
        </is>
      </c>
      <c r="H55" s="15" t="inlineStr">
        <is>
          <t xml:space="preserve">Debated</t>
        </is>
      </c>
      <c r="I55" s="11" t="inlineStr">
        <is>
          <t xml:space="preserve">Open</t>
        </is>
      </c>
      <c r="J55" s="15"/>
      <c r="K55" s="15" t="inlineStr">
        <is>
          <t xml:space="preserve">resolution id: RES-1CH-020 | source crs id: CRS-1CH-016 | scope passage: 1 Chronicles 20 | relationship: Complementary / Composite | target map: Canon Map v0.1 | target crs id: CRS-2SA-010; CRS-2SA-018 | target passage: 2 Samuel 12:26-31; 21:18-22 | full stream rule: Split by scene; attach Rabbah to 2 Samuel 12 and giant material to 2 Samuel 21. | narrative flow rule: Keep as a disclosed composite until verse-level mapping is approved. | compare eligible: Yes | verse-level split needed: Yes | placement confidence: Debated | status: Open | notes: Current chapter-level treatment cannot give a single precise chronological location.</t>
        </is>
      </c>
    </row>
    <row r="56" ht="34" customHeight="1">
      <c r="A56" s="15" t="inlineStr">
        <is>
          <t xml:space="preserve">v0.2</t>
        </is>
      </c>
      <c r="B56" s="15" t="inlineStr">
        <is>
          <t xml:space="preserve">Bible_Journey_Canon_Map_v0_2_Chronicles_Psalms_Job_1Kings.xlsx</t>
        </is>
      </c>
      <c r="C56" s="15" t="inlineStr">
        <is>
          <t xml:space="preserve">Integration Resolution</t>
        </is>
      </c>
      <c r="D56" s="15" t="inlineStr">
        <is>
          <t xml:space="preserve">RES-PSA-003</t>
        </is>
      </c>
      <c r="E56" s="15" t="inlineStr">
        <is>
          <t xml:space="preserve">Psalm 3</t>
        </is>
      </c>
      <c r="F56" s="15" t="inlineStr">
        <is>
          <t xml:space="preserve">Canon Map v0.1</t>
        </is>
      </c>
      <c r="G56" s="15" t="inlineStr">
        <is>
          <t xml:space="preserve">Poetic Connection</t>
        </is>
      </c>
      <c r="H56" s="15" t="inlineStr">
        <is>
          <t xml:space="preserve">Probable</t>
        </is>
      </c>
      <c r="I56" s="13" t="inlineStr">
        <is>
          <t xml:space="preserve">Draft</t>
        </is>
      </c>
      <c r="J56" s="15"/>
      <c r="K56" s="15" t="inlineStr">
        <is>
          <t xml:space="preserve">resolution id: RES-PSA-003 | source crs id: CRS-PSA-002 | scope passage: Psalm 3 | relationship: Poetic Connection | target map: Canon Map v0.1 | target crs id: CRS-2SA-013 | target passage: 2 Samuel 15 | full stream rule: Offer after the opening phase of Absalom's rebellion with a superscription note. | narrative flow rule: Show as related Psalm; leave unread unless selected. | compare eligible: No | verse-level split needed: No | placement confidence: Probable | status: Draft | notes: Do not infer exact verse-level moment beyond the heading.</t>
        </is>
      </c>
    </row>
    <row r="57" ht="34" customHeight="1">
      <c r="A57" s="15" t="inlineStr">
        <is>
          <t xml:space="preserve">v0.2</t>
        </is>
      </c>
      <c r="B57" s="15" t="inlineStr">
        <is>
          <t xml:space="preserve">Bible_Journey_Canon_Map_v0_2_Chronicles_Psalms_Job_1Kings.xlsx</t>
        </is>
      </c>
      <c r="C57" s="15" t="inlineStr">
        <is>
          <t xml:space="preserve">Integration Resolution</t>
        </is>
      </c>
      <c r="D57" s="15" t="inlineStr">
        <is>
          <t xml:space="preserve">RES-PSA-018</t>
        </is>
      </c>
      <c r="E57" s="15" t="inlineStr">
        <is>
          <t xml:space="preserve">Psalm 18</t>
        </is>
      </c>
      <c r="F57" s="15" t="inlineStr">
        <is>
          <t xml:space="preserve">Canon Map v0.1</t>
        </is>
      </c>
      <c r="G57" s="15" t="inlineStr">
        <is>
          <t xml:space="preserve">Parallel Text / Poetic Connection</t>
        </is>
      </c>
      <c r="H57" s="15" t="inlineStr">
        <is>
          <t xml:space="preserve">Debated</t>
        </is>
      </c>
      <c r="I57" s="13" t="inlineStr">
        <is>
          <t xml:space="preserve">Draft</t>
        </is>
      </c>
      <c r="J57" s="15"/>
      <c r="K57" s="15" t="inlineStr">
        <is>
          <t xml:space="preserve">resolution id: RES-PSA-018 | source crs id: CRS-PSA-006 | scope passage: Psalm 18 | relationship: Parallel Text / Poetic Connection | target map: Canon Map v0.1 | target crs id: CRS-2SA-019 | target passage: 2 Samuel 22 | full stream rule: Read as a linked parallel textual tradition to 2 Samuel 22. | narrative flow rule: Surface as 'Related Psalm: parallel song tradition'. | compare eligible: Yes | verse-level split needed: No | placement confidence: Debated | status: Draft | notes: Avoid conflating chapter text or creating a composite.</t>
        </is>
      </c>
    </row>
    <row r="58" ht="34" customHeight="1">
      <c r="A58" s="15" t="inlineStr">
        <is>
          <t xml:space="preserve">v0.2</t>
        </is>
      </c>
      <c r="B58" s="15" t="inlineStr">
        <is>
          <t xml:space="preserve">Bible_Journey_Canon_Map_v0_2_Chronicles_Psalms_Job_1Kings.xlsx</t>
        </is>
      </c>
      <c r="C58" s="15" t="inlineStr">
        <is>
          <t xml:space="preserve">Integration Resolution</t>
        </is>
      </c>
      <c r="D58" s="15" t="inlineStr">
        <is>
          <t xml:space="preserve">RES-1CH-021</t>
        </is>
      </c>
      <c r="E58" s="15" t="inlineStr">
        <is>
          <t xml:space="preserve">1 Chronicles 21</t>
        </is>
      </c>
      <c r="F58" s="15" t="inlineStr">
        <is>
          <t xml:space="preserve">Canon Map v0.1</t>
        </is>
      </c>
      <c r="G58" s="15" t="inlineStr">
        <is>
          <t xml:space="preserve">Parallel Account</t>
        </is>
      </c>
      <c r="H58" s="15" t="inlineStr">
        <is>
          <t xml:space="preserve">Debated</t>
        </is>
      </c>
      <c r="I58" s="13" t="inlineStr">
        <is>
          <t xml:space="preserve">Draft</t>
        </is>
      </c>
      <c r="J58" s="15"/>
      <c r="K58" s="15" t="inlineStr">
        <is>
          <t xml:space="preserve">resolution id: RES-1CH-021 | source crs id: CRS-1CH-017 | scope passage: 1 Chronicles 21 | relationship: Parallel Account | target map: Canon Map v0.1 | target crs id: CRS-2SA-021 | target passage: 2 Samuel 24 | full stream rule: Read after Samuel account in Complete mode; disclose appendix/placement issue. | narrative flow rule: Offer as parallel account; do not imply an exact final-year date. | compare eligible: Yes | verse-level split needed: No | placement confidence: Debated | status: Draft | notes: Event relationship high; relative position in David's final narrative remains debated.</t>
        </is>
      </c>
    </row>
    <row r="59" ht="34" customHeight="1">
      <c r="A59" s="15" t="inlineStr">
        <is>
          <t xml:space="preserve">v0.2</t>
        </is>
      </c>
      <c r="B59" s="15" t="inlineStr">
        <is>
          <t xml:space="preserve">Bible_Journey_Canon_Map_v0_2_Chronicles_Psalms_Job_1Kings.xlsx</t>
        </is>
      </c>
      <c r="C59" s="15" t="inlineStr">
        <is>
          <t xml:space="preserve">Integration Resolution</t>
        </is>
      </c>
      <c r="D59" s="15" t="inlineStr">
        <is>
          <t xml:space="preserve">RES-PSA-096</t>
        </is>
      </c>
      <c r="E59" s="15" t="inlineStr">
        <is>
          <t xml:space="preserve">Psalm 96</t>
        </is>
      </c>
      <c r="F59" s="15" t="inlineStr">
        <is>
          <t xml:space="preserve">Canon Map v0.2</t>
        </is>
      </c>
      <c r="G59" s="15" t="inlineStr">
        <is>
          <t xml:space="preserve">Textual Reuse / Liturgy</t>
        </is>
      </c>
      <c r="H59" s="15" t="inlineStr">
        <is>
          <t xml:space="preserve">High</t>
        </is>
      </c>
      <c r="I59" s="13" t="inlineStr">
        <is>
          <t xml:space="preserve">Draft</t>
        </is>
      </c>
      <c r="J59" s="15"/>
      <c r="K59" s="15" t="inlineStr">
        <is>
          <t xml:space="preserve">resolution id: RES-PSA-096 | source crs id: CRS-PSA-029 | scope passage: Psalm 96 | relationship: Textual Reuse / Liturgy | target map: Canon Map v0.2 | target crs id: CRS-1CH-012 | target passage: 1 Chronicles 15-16 | full stream rule: Show as intertextual material connected to 1 Chronicles 16. | narrative flow rule: Offer under 'Related text reused in this liturgy'. | compare eligible: Yes | verse-level split needed: No | placement confidence: High | status: Draft | notes: No claim about direction of dependence in user-facing copy.</t>
        </is>
      </c>
    </row>
    <row r="60" ht="34" customHeight="1">
      <c r="A60" s="15" t="inlineStr">
        <is>
          <t xml:space="preserve">v0.2</t>
        </is>
      </c>
      <c r="B60" s="15" t="inlineStr">
        <is>
          <t xml:space="preserve">Bible_Journey_Canon_Map_v0_2_Chronicles_Psalms_Job_1Kings.xlsx</t>
        </is>
      </c>
      <c r="C60" s="15" t="inlineStr">
        <is>
          <t xml:space="preserve">Integration Resolution</t>
        </is>
      </c>
      <c r="D60" s="15" t="inlineStr">
        <is>
          <t xml:space="preserve">RES-PSA-105</t>
        </is>
      </c>
      <c r="E60" s="15" t="inlineStr">
        <is>
          <t xml:space="preserve">Psalm 105</t>
        </is>
      </c>
      <c r="F60" s="15" t="inlineStr">
        <is>
          <t xml:space="preserve">Canon Map v0.2</t>
        </is>
      </c>
      <c r="G60" s="15" t="inlineStr">
        <is>
          <t xml:space="preserve">Textual Reuse / Liturgy</t>
        </is>
      </c>
      <c r="H60" s="15" t="inlineStr">
        <is>
          <t xml:space="preserve">High</t>
        </is>
      </c>
      <c r="I60" s="13" t="inlineStr">
        <is>
          <t xml:space="preserve">Draft</t>
        </is>
      </c>
      <c r="J60" s="15"/>
      <c r="K60" s="15" t="inlineStr">
        <is>
          <t xml:space="preserve">resolution id: RES-PSA-105 | source crs id: CRS-PSA-031 | scope passage: Psalm 105 | relationship: Textual Reuse / Liturgy | target map: Canon Map v0.2 | target crs id: CRS-1CH-012 | target passage: 1 Chronicles 15-16 | full stream rule: Show as intertextual material connected to 1 Chronicles 16. | narrative flow rule: Offer under related liturgy. | compare eligible: Yes | verse-level split needed: No | placement confidence: High | status: Draft | notes: No composite text.</t>
        </is>
      </c>
    </row>
    <row r="61" ht="34" customHeight="1">
      <c r="A61" s="15" t="inlineStr">
        <is>
          <t xml:space="preserve">v0.2</t>
        </is>
      </c>
      <c r="B61" s="15" t="inlineStr">
        <is>
          <t xml:space="preserve">Bible_Journey_Canon_Map_v0_2_Chronicles_Psalms_Job_1Kings.xlsx</t>
        </is>
      </c>
      <c r="C61" s="15" t="inlineStr">
        <is>
          <t xml:space="preserve">Integration Resolution</t>
        </is>
      </c>
      <c r="D61" s="15" t="inlineStr">
        <is>
          <t xml:space="preserve">RES-PSA-106</t>
        </is>
      </c>
      <c r="E61" s="15" t="inlineStr">
        <is>
          <t xml:space="preserve">Psalm 106</t>
        </is>
      </c>
      <c r="F61" s="15" t="inlineStr">
        <is>
          <t xml:space="preserve">Canon Map v0.2</t>
        </is>
      </c>
      <c r="G61" s="15" t="inlineStr">
        <is>
          <t xml:space="preserve">Textual Reuse / Liturgy</t>
        </is>
      </c>
      <c r="H61" s="15" t="inlineStr">
        <is>
          <t xml:space="preserve">Probable</t>
        </is>
      </c>
      <c r="I61" s="13" t="inlineStr">
        <is>
          <t xml:space="preserve">Draft</t>
        </is>
      </c>
      <c r="J61" s="15"/>
      <c r="K61" s="15" t="inlineStr">
        <is>
          <t xml:space="preserve">resolution id: RES-PSA-106 | source crs id: CRS-PSA-032 | scope passage: Psalm 106 | relationship: Textual Reuse / Liturgy | target map: Canon Map v0.2 | target crs id: CRS-1CH-012 | target passage: 1 Chronicles 15-16 | full stream rule: Show shared opening/closing language. | narrative flow rule: Offer under related liturgy. | compare eligible: No | verse-level split needed: No | placement confidence: Probable | status: Draft | notes: No composition-date claim.</t>
        </is>
      </c>
    </row>
    <row r="62" ht="34" customHeight="1">
      <c r="A62" s="15" t="inlineStr">
        <is>
          <t xml:space="preserve">v0.2</t>
        </is>
      </c>
      <c r="B62" s="15" t="inlineStr">
        <is>
          <t xml:space="preserve">Bible_Journey_Canon_Map_v0_2_Chronicles_Psalms_Job_1Kings.xlsx</t>
        </is>
      </c>
      <c r="C62" s="15" t="inlineStr">
        <is>
          <t xml:space="preserve">Integration Resolution</t>
        </is>
      </c>
      <c r="D62" s="15" t="inlineStr">
        <is>
          <t xml:space="preserve">RES-1CH-028</t>
        </is>
      </c>
      <c r="E62" s="15" t="inlineStr">
        <is>
          <t xml:space="preserve">1 Chronicles 28-29</t>
        </is>
      </c>
      <c r="F62" s="15" t="inlineStr">
        <is>
          <t xml:space="preserve">Canon Map v0.2</t>
        </is>
      </c>
      <c r="G62" s="15" t="inlineStr">
        <is>
          <t xml:space="preserve">Complementary / Bridge</t>
        </is>
      </c>
      <c r="H62" s="15" t="inlineStr">
        <is>
          <t xml:space="preserve">Probable</t>
        </is>
      </c>
      <c r="I62" s="11" t="inlineStr">
        <is>
          <t xml:space="preserve">Open</t>
        </is>
      </c>
      <c r="J62" s="15"/>
      <c r="K62" s="15" t="inlineStr">
        <is>
          <t xml:space="preserve">resolution id: RES-1CH-028 | source crs id: CRS-1CH-020 | scope passage: 1 Chronicles 28-29 | relationship: Complementary / Bridge | target map: Canon Map v0.2 | target crs id: CRS-1KG-001; CRS-1KG-002 | target passage: 1 Kings 1-2 | full stream rule: Read after Chronicles late-David preparations and before/alongside 1 Kings succession material. | narrative flow rule: Narrative Flow reads 1 Kings 1-2 next; surfaces Chronicles as completed bridge. | compare eligible: Yes | verse-level split needed: Yes | placement confidence: Probable | status: Open | notes: Needs specialist review for exact interleaving versus sequential bridge treatment.</t>
        </is>
      </c>
    </row>
    <row r="63" ht="34" customHeight="1">
      <c r="A63" s="15" t="inlineStr">
        <is>
          <t xml:space="preserve">v0.2</t>
        </is>
      </c>
      <c r="B63" s="15" t="inlineStr">
        <is>
          <t xml:space="preserve">Bible_Journey_Canon_Map_v0_2_Chronicles_Psalms_Job_1Kings.xlsx</t>
        </is>
      </c>
      <c r="C63" s="15" t="inlineStr">
        <is>
          <t xml:space="preserve">Integration Resolution</t>
        </is>
      </c>
      <c r="D63" s="15" t="inlineStr">
        <is>
          <t xml:space="preserve">RES-PSA-072</t>
        </is>
      </c>
      <c r="E63" s="15" t="inlineStr">
        <is>
          <t xml:space="preserve">Psalm 72</t>
        </is>
      </c>
      <c r="F63" s="15" t="inlineStr">
        <is>
          <t xml:space="preserve">Canon Map v0.2</t>
        </is>
      </c>
      <c r="G63" s="15" t="inlineStr">
        <is>
          <t xml:space="preserve">Solomonic Association</t>
        </is>
      </c>
      <c r="H63" s="15" t="inlineStr">
        <is>
          <t xml:space="preserve">Probable</t>
        </is>
      </c>
      <c r="I63" s="13" t="inlineStr">
        <is>
          <t xml:space="preserve">Draft</t>
        </is>
      </c>
      <c r="J63" s="15"/>
      <c r="K63" s="15" t="inlineStr">
        <is>
          <t xml:space="preserve">resolution id: RES-PSA-072 | source crs id: CRS-PSA-025 | scope passage: Psalm 72 | relationship: Solomonic Association | target map: Canon Map v0.2 | target crs id: CRS-1KG-003 | target passage: 1 Kings 3 | full stream rule: Offer in a broad Solomonic kingship window; do not mark as a date-specific companion. | narrative flow rule: Surface as Solomonic-related Psalm. | compare eligible: No | verse-level split needed: No | placement confidence: Probable | status: Draft | notes: Heading relationship is not a dated event link.</t>
        </is>
      </c>
    </row>
    <row r="64" ht="34" customHeight="1">
      <c r="A64" s="15" t="inlineStr">
        <is>
          <t xml:space="preserve">v0.2</t>
        </is>
      </c>
      <c r="B64" s="15" t="inlineStr">
        <is>
          <t xml:space="preserve">Bible_Journey_Canon_Map_v0_2_Chronicles_Psalms_Job_1Kings.xlsx</t>
        </is>
      </c>
      <c r="C64" s="15" t="inlineStr">
        <is>
          <t xml:space="preserve">Integration Resolution</t>
        </is>
      </c>
      <c r="D64" s="15" t="inlineStr">
        <is>
          <t xml:space="preserve">RES-PSA-127</t>
        </is>
      </c>
      <c r="E64" s="15" t="inlineStr">
        <is>
          <t xml:space="preserve">Psalm 127</t>
        </is>
      </c>
      <c r="F64" s="15" t="inlineStr">
        <is>
          <t xml:space="preserve">Canon Map v0.2</t>
        </is>
      </c>
      <c r="G64" s="15" t="inlineStr">
        <is>
          <t xml:space="preserve">Solomonic Association</t>
        </is>
      </c>
      <c r="H64" s="15" t="inlineStr">
        <is>
          <t xml:space="preserve">Probable</t>
        </is>
      </c>
      <c r="I64" s="13" t="inlineStr">
        <is>
          <t xml:space="preserve">Draft</t>
        </is>
      </c>
      <c r="J64" s="15"/>
      <c r="K64" s="15" t="inlineStr">
        <is>
          <t xml:space="preserve">resolution id: RES-PSA-127 | source crs id: CRS-PSA-036 | scope passage: Psalm 127 | relationship: Solomonic Association | target map: Canon Map v0.2 | target crs id: CRS-1KG-005 | target passage: 1 Kings 5-6 | full stream rule: Offer in broad Solomonic/house-building window only. | narrative flow rule: Surface as Solomonic-related Psalm. | compare eligible: No | verse-level split needed: No | placement confidence: Probable | status: Draft | notes: No direct temple-building event assertion.</t>
        </is>
      </c>
    </row>
    <row r="65" ht="34" customHeight="1">
      <c r="A65" s="15" t="inlineStr">
        <is>
          <t xml:space="preserve">v0.2</t>
        </is>
      </c>
      <c r="B65" s="15" t="inlineStr">
        <is>
          <t xml:space="preserve">Bible_Journey_Canon_Map_v0_2_Chronicles_Psalms_Job_1Kings.xlsx</t>
        </is>
      </c>
      <c r="C65" s="15" t="inlineStr">
        <is>
          <t xml:space="preserve">Integration Resolution</t>
        </is>
      </c>
      <c r="D65" s="15" t="inlineStr">
        <is>
          <t xml:space="preserve">RES-1KG-003</t>
        </is>
      </c>
      <c r="E65" s="15" t="inlineStr">
        <is>
          <t xml:space="preserve">1 Kings 3</t>
        </is>
      </c>
      <c r="F65" s="15" t="inlineStr">
        <is>
          <t xml:space="preserve">Future Canon Map v0.3</t>
        </is>
      </c>
      <c r="G65" s="15" t="inlineStr">
        <is>
          <t xml:space="preserve">Future Parallel / Complementary</t>
        </is>
      </c>
      <c r="H65" s="15" t="inlineStr">
        <is>
          <t xml:space="preserve">High</t>
        </is>
      </c>
      <c r="I65" s="11" t="inlineStr">
        <is>
          <t xml:space="preserve">Open</t>
        </is>
      </c>
      <c r="J65" s="15"/>
      <c r="K65" s="15" t="inlineStr">
        <is>
          <t xml:space="preserve">resolution id: RES-1KG-003 | source crs id: CRS-1KG-003 | scope passage: 1 Kings 3 | relationship: Future Parallel / Complementary | target map: Future Canon Map v0.3 | target crs id: TBD | target passage: 2 Chronicles 1 | full stream rule: When 2 Chronicles is mapped, attach its account to this Solomonic wisdom event. | narrative flow rule: Narrative Flow uses 1 Kings as primary; surface Chronicles pending. | compare eligible: Yes | verse-level split needed: No | placement confidence: High | status: Open | notes: Dependency for 2 Chronicles map.</t>
        </is>
      </c>
    </row>
    <row r="66" ht="34" customHeight="1">
      <c r="A66" s="15" t="inlineStr">
        <is>
          <t xml:space="preserve">v0.2</t>
        </is>
      </c>
      <c r="B66" s="15" t="inlineStr">
        <is>
          <t xml:space="preserve">Bible_Journey_Canon_Map_v0_2_Chronicles_Psalms_Job_1Kings.xlsx</t>
        </is>
      </c>
      <c r="C66" s="15" t="inlineStr">
        <is>
          <t xml:space="preserve">Integration Resolution</t>
        </is>
      </c>
      <c r="D66" s="15" t="inlineStr">
        <is>
          <t xml:space="preserve">RES-1KG-005</t>
        </is>
      </c>
      <c r="E66" s="15" t="inlineStr">
        <is>
          <t xml:space="preserve">1 Kings 5-6</t>
        </is>
      </c>
      <c r="F66" s="15" t="inlineStr">
        <is>
          <t xml:space="preserve">Future Canon Map v0.3</t>
        </is>
      </c>
      <c r="G66" s="15" t="inlineStr">
        <is>
          <t xml:space="preserve">Future Parallel / Complementary</t>
        </is>
      </c>
      <c r="H66" s="15" t="inlineStr">
        <is>
          <t xml:space="preserve">High</t>
        </is>
      </c>
      <c r="I66" s="11" t="inlineStr">
        <is>
          <t xml:space="preserve">Open</t>
        </is>
      </c>
      <c r="J66" s="15"/>
      <c r="K66" s="15" t="inlineStr">
        <is>
          <t xml:space="preserve">resolution id: RES-1KG-005 | source crs id: CRS-1KG-005 | scope passage: 1 Kings 5-6 | relationship: Future Parallel / Complementary | target map: Future Canon Map v0.3 | target crs id: TBD | target passage: 2 Chronicles 2-3 | full stream rule: Attach future 2 Chronicles blocks to temple-building event. | narrative flow rule: Narrative Flow uses 1 Kings as primary; surface Chronicles pending. | compare eligible: Yes | verse-level split needed: Yes | placement confidence: High | status: Open | notes: Likely requires verse-level breakouts.</t>
        </is>
      </c>
    </row>
    <row r="67" ht="34" customHeight="1">
      <c r="A67" s="15" t="inlineStr">
        <is>
          <t xml:space="preserve">v0.2</t>
        </is>
      </c>
      <c r="B67" s="15" t="inlineStr">
        <is>
          <t xml:space="preserve">Bible_Journey_Canon_Map_v0_2_Chronicles_Psalms_Job_1Kings.xlsx</t>
        </is>
      </c>
      <c r="C67" s="15" t="inlineStr">
        <is>
          <t xml:space="preserve">Integration Resolution</t>
        </is>
      </c>
      <c r="D67" s="15" t="inlineStr">
        <is>
          <t xml:space="preserve">RES-1KG-007</t>
        </is>
      </c>
      <c r="E67" s="15" t="inlineStr">
        <is>
          <t xml:space="preserve">1 Kings 8</t>
        </is>
      </c>
      <c r="F67" s="15" t="inlineStr">
        <is>
          <t xml:space="preserve">Future Canon Map v0.3</t>
        </is>
      </c>
      <c r="G67" s="15" t="inlineStr">
        <is>
          <t xml:space="preserve">Future Parallel / Complementary</t>
        </is>
      </c>
      <c r="H67" s="15" t="inlineStr">
        <is>
          <t xml:space="preserve">High</t>
        </is>
      </c>
      <c r="I67" s="11" t="inlineStr">
        <is>
          <t xml:space="preserve">Open</t>
        </is>
      </c>
      <c r="J67" s="15"/>
      <c r="K67" s="15" t="inlineStr">
        <is>
          <t xml:space="preserve">resolution id: RES-1KG-007 | source crs id: CRS-1KG-007 | scope passage: 1 Kings 8 | relationship: Future Parallel / Complementary | target map: Future Canon Map v0.3 | target crs id: TBD | target passage: 2 Chronicles 5-7 | full stream rule: Build flagship Compare Accounts set for temple dedication. | narrative flow rule: Narrative Flow uses 1 Kings as primary; surface Chronicles pending. | compare eligible: Yes | verse-level split needed: Yes | placement confidence: High | status: Open | notes: Core demonstration of cross-book reading.</t>
        </is>
      </c>
    </row>
    <row r="68" ht="34" customHeight="1">
      <c r="A68" s="15" t="inlineStr">
        <is>
          <t xml:space="preserve">v0.2</t>
        </is>
      </c>
      <c r="B68" s="15" t="inlineStr">
        <is>
          <t xml:space="preserve">Bible_Journey_Canon_Map_v0_2_Chronicles_Psalms_Job_1Kings.xlsx</t>
        </is>
      </c>
      <c r="C68" s="15" t="inlineStr">
        <is>
          <t xml:space="preserve">Integration Resolution</t>
        </is>
      </c>
      <c r="D68" s="15" t="inlineStr">
        <is>
          <t xml:space="preserve">RES-1KG-009</t>
        </is>
      </c>
      <c r="E68" s="15" t="inlineStr">
        <is>
          <t xml:space="preserve">1 Kings 10</t>
        </is>
      </c>
      <c r="F68" s="15" t="inlineStr">
        <is>
          <t xml:space="preserve">Future Canon Map v0.3</t>
        </is>
      </c>
      <c r="G68" s="15" t="inlineStr">
        <is>
          <t xml:space="preserve">Future Parallel</t>
        </is>
      </c>
      <c r="H68" s="15" t="inlineStr">
        <is>
          <t xml:space="preserve">High</t>
        </is>
      </c>
      <c r="I68" s="11" t="inlineStr">
        <is>
          <t xml:space="preserve">Open</t>
        </is>
      </c>
      <c r="J68" s="15"/>
      <c r="K68" s="15" t="inlineStr">
        <is>
          <t xml:space="preserve">resolution id: RES-1KG-009 | source crs id: CRS-1KG-009 | scope passage: 1 Kings 10 | relationship: Future Parallel | target map: Future Canon Map v0.3 | target crs id: TBD | target passage: 2 Chronicles 9 | full stream rule: Attach future 2 Chronicles account to Queen of Sheba / wealth event. | narrative flow rule: Surface as parallel account. | compare eligible: Yes | verse-level split needed: No | placement confidence: High | status: Open</t>
        </is>
      </c>
    </row>
    <row r="69" ht="34" customHeight="1">
      <c r="A69" s="15" t="inlineStr">
        <is>
          <t xml:space="preserve">v0.2</t>
        </is>
      </c>
      <c r="B69" s="15" t="inlineStr">
        <is>
          <t xml:space="preserve">Bible_Journey_Canon_Map_v0_2_Chronicles_Psalms_Job_1Kings.xlsx</t>
        </is>
      </c>
      <c r="C69" s="15" t="inlineStr">
        <is>
          <t xml:space="preserve">Integration Resolution</t>
        </is>
      </c>
      <c r="D69" s="15" t="inlineStr">
        <is>
          <t xml:space="preserve">RES-1KG-011</t>
        </is>
      </c>
      <c r="E69" s="15" t="inlineStr">
        <is>
          <t xml:space="preserve">1 Kings 12</t>
        </is>
      </c>
      <c r="F69" s="15" t="inlineStr">
        <is>
          <t xml:space="preserve">Future Canon Map v0.3</t>
        </is>
      </c>
      <c r="G69" s="15" t="inlineStr">
        <is>
          <t xml:space="preserve">Future Parallel</t>
        </is>
      </c>
      <c r="H69" s="15" t="inlineStr">
        <is>
          <t xml:space="preserve">High</t>
        </is>
      </c>
      <c r="I69" s="11" t="inlineStr">
        <is>
          <t xml:space="preserve">Open</t>
        </is>
      </c>
      <c r="J69" s="15"/>
      <c r="K69" s="15" t="inlineStr">
        <is>
          <t xml:space="preserve">resolution id: RES-1KG-011 | source crs id: CRS-1KG-011 | scope passage: 1 Kings 12 | relationship: Future Parallel | target map: Future Canon Map v0.3 | target crs id: TBD | target passage: 2 Chronicles 10 | full stream rule: Attach Chronicles' Judean-focused account to division event. | narrative flow rule: Surface as parallel account. | compare eligible: Yes | verse-level split needed: No | placement confidence: High | status: Open</t>
        </is>
      </c>
    </row>
    <row r="70" ht="34" customHeight="1">
      <c r="A70" s="15" t="inlineStr">
        <is>
          <t xml:space="preserve">v0.2</t>
        </is>
      </c>
      <c r="B70" s="15" t="inlineStr">
        <is>
          <t xml:space="preserve">Bible_Journey_Canon_Map_v0_2_Chronicles_Psalms_Job_1Kings.xlsx</t>
        </is>
      </c>
      <c r="C70" s="15" t="inlineStr">
        <is>
          <t xml:space="preserve">Integration Resolution</t>
        </is>
      </c>
      <c r="D70" s="15" t="inlineStr">
        <is>
          <t xml:space="preserve">RES-1KG-013</t>
        </is>
      </c>
      <c r="E70" s="15" t="inlineStr">
        <is>
          <t xml:space="preserve">1 Kings 14</t>
        </is>
      </c>
      <c r="F70" s="15" t="inlineStr">
        <is>
          <t xml:space="preserve">Future Canon Map v0.3</t>
        </is>
      </c>
      <c r="G70" s="15" t="inlineStr">
        <is>
          <t xml:space="preserve">Future Complementary</t>
        </is>
      </c>
      <c r="H70" s="15" t="inlineStr">
        <is>
          <t xml:space="preserve">High</t>
        </is>
      </c>
      <c r="I70" s="11" t="inlineStr">
        <is>
          <t xml:space="preserve">Open</t>
        </is>
      </c>
      <c r="J70" s="15"/>
      <c r="K70" s="15" t="inlineStr">
        <is>
          <t xml:space="preserve">resolution id: RES-1KG-013 | source crs id: CRS-1KG-013 | scope passage: 1 Kings 14 | relationship: Future Complementary | target map: Future Canon Map v0.3 | target crs id: TBD | target passage: 2 Chronicles 12 | full stream rule: Attach Rehoboam material. | narrative flow rule: Surface as complementary account. | compare eligible: Yes | verse-level split needed: No | placement confidence: High | status: Open</t>
        </is>
      </c>
    </row>
    <row r="71" ht="34" customHeight="1">
      <c r="A71" s="15" t="inlineStr">
        <is>
          <t xml:space="preserve">v0.2</t>
        </is>
      </c>
      <c r="B71" s="15" t="inlineStr">
        <is>
          <t xml:space="preserve">Bible_Journey_Canon_Map_v0_2_Chronicles_Psalms_Job_1Kings.xlsx</t>
        </is>
      </c>
      <c r="C71" s="15" t="inlineStr">
        <is>
          <t xml:space="preserve">Integration Resolution</t>
        </is>
      </c>
      <c r="D71" s="15" t="inlineStr">
        <is>
          <t xml:space="preserve">RES-1KG-014</t>
        </is>
      </c>
      <c r="E71" s="15" t="inlineStr">
        <is>
          <t xml:space="preserve">1 Kings 15</t>
        </is>
      </c>
      <c r="F71" s="15" t="inlineStr">
        <is>
          <t xml:space="preserve">Future Canon Map v0.3</t>
        </is>
      </c>
      <c r="G71" s="15" t="inlineStr">
        <is>
          <t xml:space="preserve">Future Complementary</t>
        </is>
      </c>
      <c r="H71" s="15" t="inlineStr">
        <is>
          <t xml:space="preserve">High</t>
        </is>
      </c>
      <c r="I71" s="11" t="inlineStr">
        <is>
          <t xml:space="preserve">Open</t>
        </is>
      </c>
      <c r="J71" s="15"/>
      <c r="K71" s="15" t="inlineStr">
        <is>
          <t xml:space="preserve">resolution id: RES-1KG-014 | source crs id: CRS-1KG-014 | scope passage: 1 Kings 15 | relationship: Future Complementary | target map: Future Canon Map v0.3 | target crs id: TBD | target passage: 2 Chronicles 13-16 | full stream rule: Attach expanded Abijam/Asa material; likely split by king. | narrative flow rule: Narrative Flow primary remains Kings; detailed labels after split. | compare eligible: Yes | verse-level split needed: Yes | placement confidence: High | status: Open | notes: Must split chapter-based 1 Kings set for king-specific comparison.</t>
        </is>
      </c>
    </row>
    <row r="72" ht="34" customHeight="1">
      <c r="A72" s="15" t="inlineStr">
        <is>
          <t xml:space="preserve">v0.2</t>
        </is>
      </c>
      <c r="B72" s="15" t="inlineStr">
        <is>
          <t xml:space="preserve">Bible_Journey_Canon_Map_v0_2_Chronicles_Psalms_Job_1Kings.xlsx</t>
        </is>
      </c>
      <c r="C72" s="15" t="inlineStr">
        <is>
          <t xml:space="preserve">Integration Resolution</t>
        </is>
      </c>
      <c r="D72" s="15" t="inlineStr">
        <is>
          <t xml:space="preserve">RES-1KG-021</t>
        </is>
      </c>
      <c r="E72" s="15" t="inlineStr">
        <is>
          <t xml:space="preserve">1 Kings 22</t>
        </is>
      </c>
      <c r="F72" s="15" t="inlineStr">
        <is>
          <t xml:space="preserve">Future Canon Map v0.3</t>
        </is>
      </c>
      <c r="G72" s="15" t="inlineStr">
        <is>
          <t xml:space="preserve">Future Parallel</t>
        </is>
      </c>
      <c r="H72" s="15" t="inlineStr">
        <is>
          <t xml:space="preserve">High</t>
        </is>
      </c>
      <c r="I72" s="11" t="inlineStr">
        <is>
          <t xml:space="preserve">Open</t>
        </is>
      </c>
      <c r="J72" s="15"/>
      <c r="K72" s="15" t="inlineStr">
        <is>
          <t xml:space="preserve">resolution id: RES-1KG-021 | source crs id: CRS-1KG-021 | scope passage: 1 Kings 22 | relationship: Future Parallel | target map: Future Canon Map v0.3 | target crs id: TBD | target passage: 2 Chronicles 18 | full stream rule: Attach Micaiah/Ahab material. | narrative flow rule: Surface as parallel account. | compare eligible: Yes | verse-level split needed: No | placement confidence: High | status: Open</t>
        </is>
      </c>
    </row>
    <row r="73" ht="34" customHeight="1">
      <c r="A73" s="15" t="inlineStr">
        <is>
          <t xml:space="preserve">v0.2</t>
        </is>
      </c>
      <c r="B73" s="15" t="inlineStr">
        <is>
          <t xml:space="preserve">Bible_Journey_Canon_Map_v0_2_Chronicles_Psalms_Job_1Kings.xlsx</t>
        </is>
      </c>
      <c r="C73" s="15" t="inlineStr">
        <is>
          <t xml:space="preserve">Psalm Placement Policy</t>
        </is>
      </c>
      <c r="D73" s="15" t="inlineStr">
        <is>
          <t xml:space="preserve">PSA-POL-001</t>
        </is>
      </c>
      <c r="E73" s="15"/>
      <c r="F73" s="15"/>
      <c r="G73" s="15" t="inlineStr">
        <is>
          <t xml:space="preserve">PSA-POL-001</t>
        </is>
      </c>
      <c r="H73" s="15"/>
      <c r="I73" s="15"/>
      <c r="J73" s="15"/>
      <c r="K73" s="15" t="inlineStr">
        <is>
          <t xml:space="preserve">policy id: PSA-POL-001 | category: Named narrative superscription | evidence basis: Psalm heading names a person/place/episode. | full stream behavior: Attach as a 'Related Psalm' with Probable or Debated label. | narrative flow behavior: Show card after primary narrative; do not auto-complete. | compare / study behavior: Show full passage, heading, and source note. | examples: Psalms 3, 34, 51, 52, 54, 56, 59, 60 | risk control: No synthetic chronology; show uncertainty.</t>
        </is>
      </c>
    </row>
    <row r="74" ht="34" customHeight="1">
      <c r="A74" s="15" t="inlineStr">
        <is>
          <t xml:space="preserve">v0.2</t>
        </is>
      </c>
      <c r="B74" s="15" t="inlineStr">
        <is>
          <t xml:space="preserve">Bible_Journey_Canon_Map_v0_2_Chronicles_Psalms_Job_1Kings.xlsx</t>
        </is>
      </c>
      <c r="C74" s="15" t="inlineStr">
        <is>
          <t xml:space="preserve">Psalm Placement Policy</t>
        </is>
      </c>
      <c r="D74" s="15" t="inlineStr">
        <is>
          <t xml:space="preserve">PSA-POL-002</t>
        </is>
      </c>
      <c r="E74" s="15"/>
      <c r="F74" s="15"/>
      <c r="G74" s="15" t="inlineStr">
        <is>
          <t xml:space="preserve">PSA-POL-002</t>
        </is>
      </c>
      <c r="H74" s="15"/>
      <c r="I74" s="15"/>
      <c r="J74" s="15"/>
      <c r="K74" s="15" t="inlineStr">
        <is>
          <t xml:space="preserve">policy id: PSA-POL-002 | category: Parallel textual tradition | evidence basis: A psalm and narrative chapter are closely related textual traditions. | full stream behavior: Label 'Parallel song tradition.' | narrative flow behavior: Keep optional in Narrative Flow. | compare / study behavior: Offer side-by-side / compare text. | examples: Psalm 18 and 2 Samuel 22 | risk control: Never merge the texts.</t>
        </is>
      </c>
    </row>
    <row r="75" ht="34" customHeight="1">
      <c r="A75" s="15" t="inlineStr">
        <is>
          <t xml:space="preserve">v0.2</t>
        </is>
      </c>
      <c r="B75" s="15" t="inlineStr">
        <is>
          <t xml:space="preserve">Bible_Journey_Canon_Map_v0_2_Chronicles_Psalms_Job_1Kings.xlsx</t>
        </is>
      </c>
      <c r="C75" s="15" t="inlineStr">
        <is>
          <t xml:space="preserve">Psalm Placement Policy</t>
        </is>
      </c>
      <c r="D75" s="15" t="inlineStr">
        <is>
          <t xml:space="preserve">PSA-POL-003</t>
        </is>
      </c>
      <c r="E75" s="15"/>
      <c r="F75" s="15"/>
      <c r="G75" s="15" t="inlineStr">
        <is>
          <t xml:space="preserve">PSA-POL-003</t>
        </is>
      </c>
      <c r="H75" s="15"/>
      <c r="I75" s="15"/>
      <c r="J75" s="15"/>
      <c r="K75" s="15" t="inlineStr">
        <is>
          <t xml:space="preserve">policy id: PSA-POL-003 | category: Chronicles liturgical reuse | evidence basis: Chronicles contains material corresponding to Psalms text. | full stream behavior: Label 'Related liturgy / shared text.' | narrative flow behavior: Show after 1 Chronicles 16 as optional related reading. | compare / study behavior: Show textual alignment with caveat. | examples: Psalms 96, 105, 106 and 1 Chronicles 16 | risk control: Do not claim date or direction of dependence by default.</t>
        </is>
      </c>
    </row>
    <row r="76" ht="34" customHeight="1">
      <c r="A76" s="15" t="inlineStr">
        <is>
          <t xml:space="preserve">v0.2</t>
        </is>
      </c>
      <c r="B76" s="15" t="inlineStr">
        <is>
          <t xml:space="preserve">Bible_Journey_Canon_Map_v0_2_Chronicles_Psalms_Job_1Kings.xlsx</t>
        </is>
      </c>
      <c r="C76" s="15" t="inlineStr">
        <is>
          <t xml:space="preserve">Psalm Placement Policy</t>
        </is>
      </c>
      <c r="D76" s="15" t="inlineStr">
        <is>
          <t xml:space="preserve">PSA-POL-004</t>
        </is>
      </c>
      <c r="E76" s="15"/>
      <c r="F76" s="15"/>
      <c r="G76" s="15" t="inlineStr">
        <is>
          <t xml:space="preserve">PSA-POL-004</t>
        </is>
      </c>
      <c r="H76" s="15"/>
      <c r="I76" s="15"/>
      <c r="J76" s="15"/>
      <c r="K76" s="15" t="inlineStr">
        <is>
          <t xml:space="preserve">policy id: PSA-POL-004 | category: Broad Davidic or Solomonic attribution | evidence basis: Heading names David/Solomon without a specific event. | full stream behavior: Place in broad named window, with no exact date. | narrative flow behavior: Offer in a collection window, not as a forced interruption. | compare / study behavior: Show heading and editorial note. | examples: Psalms 4-6, 72, 127, 138-145 | risk control: Do not translate attribution into a historical episode.</t>
        </is>
      </c>
    </row>
    <row r="77" ht="34" customHeight="1">
      <c r="A77" s="15" t="inlineStr">
        <is>
          <t xml:space="preserve">v0.2</t>
        </is>
      </c>
      <c r="B77" s="15" t="inlineStr">
        <is>
          <t xml:space="preserve">Bible_Journey_Canon_Map_v0_2_Chronicles_Psalms_Job_1Kings.xlsx</t>
        </is>
      </c>
      <c r="C77" s="15" t="inlineStr">
        <is>
          <t xml:space="preserve">Psalm Placement Policy</t>
        </is>
      </c>
      <c r="D77" s="15" t="inlineStr">
        <is>
          <t xml:space="preserve">PSA-POL-005</t>
        </is>
      </c>
      <c r="E77" s="15"/>
      <c r="F77" s="15"/>
      <c r="G77" s="15" t="inlineStr">
        <is>
          <t xml:space="preserve">PSA-POL-005</t>
        </is>
      </c>
      <c r="H77" s="15"/>
      <c r="I77" s="15"/>
      <c r="J77" s="15"/>
      <c r="K77" s="15" t="inlineStr">
        <is>
          <t xml:space="preserve">policy id: PSA-POL-005 | category: Psalter literary collection | evidence basis: Psalm belongs to book/collection with no secure event link. | full stream behavior: Keep collection accessible in Full Stream via disclosed non-fixed window. | narrative flow behavior: Offer as a 'Psalter collection' checkpoint. | compare / study behavior: Show literary context and related themes. | examples: Psalms 73-89; 91-95; 107-121 | risk control: Avoid fake chronology.</t>
        </is>
      </c>
    </row>
    <row r="78" ht="34" customHeight="1">
      <c r="A78" s="15" t="inlineStr">
        <is>
          <t xml:space="preserve">v0.2</t>
        </is>
      </c>
      <c r="B78" s="15" t="inlineStr">
        <is>
          <t xml:space="preserve">Bible_Journey_Canon_Map_v0_2_Chronicles_Psalms_Job_1Kings.xlsx</t>
        </is>
      </c>
      <c r="C78" s="15" t="inlineStr">
        <is>
          <t xml:space="preserve">Psalm Placement Policy</t>
        </is>
      </c>
      <c r="D78" s="15" t="inlineStr">
        <is>
          <t xml:space="preserve">PSA-POL-006</t>
        </is>
      </c>
      <c r="E78" s="15"/>
      <c r="F78" s="15"/>
      <c r="G78" s="15" t="inlineStr">
        <is>
          <t xml:space="preserve">PSA-POL-006</t>
        </is>
      </c>
      <c r="H78" s="15"/>
      <c r="I78" s="15"/>
      <c r="J78" s="15"/>
      <c r="K78" s="15" t="inlineStr">
        <is>
          <t xml:space="preserve">policy id: PSA-POL-006 | category: Mosaic/pilgrimage/exilic tradition | evidence basis: Heading/genre suggests broad tradition but not a dated event. | full stream behavior: Use disclosed broad tradition label. | narrative flow behavior: Do not break Narrative Flow automatically. | compare / study behavior: Show options to explore tradition/history. | examples: Psalms 90; 120-134; 137 | risk control: No precise event placement.</t>
        </is>
      </c>
    </row>
    <row r="79" ht="34" customHeight="1">
      <c r="A79" s="15" t="inlineStr">
        <is>
          <t xml:space="preserve">v0.2</t>
        </is>
      </c>
      <c r="B79" s="15" t="inlineStr">
        <is>
          <t xml:space="preserve">Bible_Journey_Canon_Map_v0_2_Chronicles_Psalms_Job_1Kings.xlsx</t>
        </is>
      </c>
      <c r="C79" s="15" t="inlineStr">
        <is>
          <t xml:space="preserve">Psalm Placement Policy</t>
        </is>
      </c>
      <c r="D79" s="15" t="inlineStr">
        <is>
          <t xml:space="preserve">PSA-POL-007</t>
        </is>
      </c>
      <c r="E79" s="15"/>
      <c r="F79" s="15"/>
      <c r="G79" s="15" t="inlineStr">
        <is>
          <t xml:space="preserve">PSA-POL-007</t>
        </is>
      </c>
      <c r="H79" s="15"/>
      <c r="I79" s="15"/>
      <c r="J79" s="15"/>
      <c r="K79" s="15" t="inlineStr">
        <is>
          <t xml:space="preserve">policy id: PSA-POL-007 | category: Unresolved global placement | evidence basis: No defensible single placement in Bible Stream. | full stream behavior: Map content and disclose that global chronology is unresolved. | narrative flow behavior: Place in an auxiliary collection queue with a visible completion state. | compare / study behavior: Explain method and alternatives. | examples: Many Psalter collections | risk control: Coverage never equals false certainty.</t>
        </is>
      </c>
    </row>
    <row r="80" ht="34" customHeight="1">
      <c r="A80" s="15" t="inlineStr">
        <is>
          <t xml:space="preserve">v0.3</t>
        </is>
      </c>
      <c r="B80" s="15" t="inlineStr">
        <is>
          <t xml:space="preserve">Bible_Journey_Canon_Map_v0_3_2Chronicles_Wisdom_2Kings.xlsx</t>
        </is>
      </c>
      <c r="C80" s="15" t="inlineStr">
        <is>
          <t xml:space="preserve">Link Ledger</t>
        </is>
      </c>
      <c r="D80" s="15" t="inlineStr">
        <is>
          <t xml:space="preserve">RES-BR-2CH-001</t>
        </is>
      </c>
      <c r="E80" s="15" t="inlineStr">
        <is>
          <t xml:space="preserve">2 Chronicles 1</t>
        </is>
      </c>
      <c r="F80" s="15" t="inlineStr">
        <is>
          <t xml:space="preserve">Canon Map v0.2 / 1 Kings 3</t>
        </is>
      </c>
      <c r="G80" s="15" t="inlineStr">
        <is>
          <t xml:space="preserve">Complementary Account</t>
        </is>
      </c>
      <c r="H80" s="15" t="inlineStr">
        <is>
          <t xml:space="preserve">High</t>
        </is>
      </c>
      <c r="I80" s="13" t="inlineStr">
        <is>
          <t xml:space="preserve">Draft</t>
        </is>
      </c>
      <c r="J80" s="15" t="inlineStr">
        <is>
          <t xml:space="preserve">SRC-CANON-TEXT; SRC-CHRONICLES-OVERVIEW; SRC-KINGS-OVERVIEW</t>
        </is>
      </c>
      <c r="K80" s="15" t="inlineStr">
        <is>
          <t xml:space="preserve">resolution id: RES-BR-2CH-001 | scope passage: 2 Chronicles 1 | relationship: Complementary Account | target map: Canon Map v0.2 | target crs: Canon Map v0.2 / 1 Kings 3 | target passage: 1 Kings 3 | placement confidence: High | status: Draft | notes: Chronicles retells Solomon's worship at Gibeon and request for wisdom with its own framing. | source ids: SRC-CANON-TEXT; SRC-CHRONICLES-OVERVIEW; SRC-KINGS-OVERVIEW</t>
        </is>
      </c>
    </row>
    <row r="81" ht="34" customHeight="1">
      <c r="A81" s="15" t="inlineStr">
        <is>
          <t xml:space="preserve">v0.3</t>
        </is>
      </c>
      <c r="B81" s="15" t="inlineStr">
        <is>
          <t xml:space="preserve">Bible_Journey_Canon_Map_v0_3_2Chronicles_Wisdom_2Kings.xlsx</t>
        </is>
      </c>
      <c r="C81" s="15" t="inlineStr">
        <is>
          <t xml:space="preserve">Link Ledger</t>
        </is>
      </c>
      <c r="D81" s="15" t="inlineStr">
        <is>
          <t xml:space="preserve">RES-BR-2CH-002</t>
        </is>
      </c>
      <c r="E81" s="15" t="inlineStr">
        <is>
          <t xml:space="preserve">2 Chronicles 2-4</t>
        </is>
      </c>
      <c r="F81" s="15" t="inlineStr">
        <is>
          <t xml:space="preserve">Canon Map v0.2 / 1 Kings 5-7</t>
        </is>
      </c>
      <c r="G81" s="15" t="inlineStr">
        <is>
          <t xml:space="preserve">Complementary Account</t>
        </is>
      </c>
      <c r="H81" s="15" t="inlineStr">
        <is>
          <t xml:space="preserve">High</t>
        </is>
      </c>
      <c r="I81" s="13" t="inlineStr">
        <is>
          <t xml:space="preserve">Draft</t>
        </is>
      </c>
      <c r="J81" s="15" t="inlineStr">
        <is>
          <t xml:space="preserve">SRC-CANON-TEXT; SRC-CHRONICLES-OVERVIEW; SRC-KINGS-OVERVIEW</t>
        </is>
      </c>
      <c r="K81" s="15" t="inlineStr">
        <is>
          <t xml:space="preserve">resolution id: RES-BR-2CH-002 | scope passage: 2 Chronicles 2-4 | relationship: Complementary Account | target map: Canon Map v0.2 | target crs: Canon Map v0.2 / 1 Kings 5-7 | target passage: 1 Kings 5-7 | placement confidence: High | status: Draft | notes: Chronicles expands the temple workforce, materials, furnishings, and dedication preparation. | source ids: SRC-CANON-TEXT; SRC-CHRONICLES-OVERVIEW; SRC-KINGS-OVERVIEW</t>
        </is>
      </c>
    </row>
    <row r="82" ht="34" customHeight="1">
      <c r="A82" s="15" t="inlineStr">
        <is>
          <t xml:space="preserve">v0.3</t>
        </is>
      </c>
      <c r="B82" s="15" t="inlineStr">
        <is>
          <t xml:space="preserve">Bible_Journey_Canon_Map_v0_3_2Chronicles_Wisdom_2Kings.xlsx</t>
        </is>
      </c>
      <c r="C82" s="15" t="inlineStr">
        <is>
          <t xml:space="preserve">Link Ledger</t>
        </is>
      </c>
      <c r="D82" s="15" t="inlineStr">
        <is>
          <t xml:space="preserve">RES-BR-2CH-003</t>
        </is>
      </c>
      <c r="E82" s="15" t="inlineStr">
        <is>
          <t xml:space="preserve">2 Chronicles 5-7</t>
        </is>
      </c>
      <c r="F82" s="15" t="inlineStr">
        <is>
          <t xml:space="preserve">Canon Map v0.2 / 1 Kings 8-9</t>
        </is>
      </c>
      <c r="G82" s="15" t="inlineStr">
        <is>
          <t xml:space="preserve">Complementary Account</t>
        </is>
      </c>
      <c r="H82" s="15" t="inlineStr">
        <is>
          <t xml:space="preserve">High</t>
        </is>
      </c>
      <c r="I82" s="13" t="inlineStr">
        <is>
          <t xml:space="preserve">Draft</t>
        </is>
      </c>
      <c r="J82" s="15" t="inlineStr">
        <is>
          <t xml:space="preserve">SRC-CANON-TEXT; SRC-CHRONICLES-OVERVIEW; SRC-KINGS-OVERVIEW</t>
        </is>
      </c>
      <c r="K82" s="15" t="inlineStr">
        <is>
          <t xml:space="preserve">resolution id: RES-BR-2CH-003 | scope passage: 2 Chronicles 5-7 | relationship: Complementary Account | target map: Canon Map v0.2 | target crs: Canon Map v0.2 / 1 Kings 8-9 | target passage: 1 Kings 8-9 | placement confidence: High | status: Draft | notes: Chronicles presents the dedication, Solomon's prayer, fire, feast, and divine response with distinct emphases. | source ids: SRC-CANON-TEXT; SRC-CHRONICLES-OVERVIEW; SRC-KINGS-OVERVIEW</t>
        </is>
      </c>
    </row>
    <row r="83" ht="34" customHeight="1">
      <c r="A83" s="15" t="inlineStr">
        <is>
          <t xml:space="preserve">v0.3</t>
        </is>
      </c>
      <c r="B83" s="15" t="inlineStr">
        <is>
          <t xml:space="preserve">Bible_Journey_Canon_Map_v0_3_2Chronicles_Wisdom_2Kings.xlsx</t>
        </is>
      </c>
      <c r="C83" s="15" t="inlineStr">
        <is>
          <t xml:space="preserve">Link Ledger</t>
        </is>
      </c>
      <c r="D83" s="15" t="inlineStr">
        <is>
          <t xml:space="preserve">RES-BR-2CH-004</t>
        </is>
      </c>
      <c r="E83" s="15" t="inlineStr">
        <is>
          <t xml:space="preserve">2 Chronicles 8</t>
        </is>
      </c>
      <c r="F83" s="15" t="inlineStr">
        <is>
          <t xml:space="preserve">Canon Map v0.2 / 1 Kings 9</t>
        </is>
      </c>
      <c r="G83" s="15" t="inlineStr">
        <is>
          <t xml:space="preserve">Complementary Account</t>
        </is>
      </c>
      <c r="H83" s="15" t="inlineStr">
        <is>
          <t xml:space="preserve">High</t>
        </is>
      </c>
      <c r="I83" s="13" t="inlineStr">
        <is>
          <t xml:space="preserve">Draft</t>
        </is>
      </c>
      <c r="J83" s="15" t="inlineStr">
        <is>
          <t xml:space="preserve">SRC-CANON-TEXT; SRC-CHRONICLES-OVERVIEW; SRC-KINGS-OVERVIEW</t>
        </is>
      </c>
      <c r="K83" s="15" t="inlineStr">
        <is>
          <t xml:space="preserve">resolution id: RES-BR-2CH-004 | scope passage: 2 Chronicles 8 | relationship: Complementary Account | target map: Canon Map v0.2 | target crs: Canon Map v0.2 / 1 Kings 9 | target passage: 1 Kings 9 | placement confidence: High | status: Draft | notes: Chronicles pairs building projects with worship administration and international trade. | source ids: SRC-CANON-TEXT; SRC-CHRONICLES-OVERVIEW; SRC-KINGS-OVERVIEW</t>
        </is>
      </c>
    </row>
    <row r="84" ht="34" customHeight="1">
      <c r="A84" s="15" t="inlineStr">
        <is>
          <t xml:space="preserve">v0.3</t>
        </is>
      </c>
      <c r="B84" s="15" t="inlineStr">
        <is>
          <t xml:space="preserve">Bible_Journey_Canon_Map_v0_3_2Chronicles_Wisdom_2Kings.xlsx</t>
        </is>
      </c>
      <c r="C84" s="15" t="inlineStr">
        <is>
          <t xml:space="preserve">Link Ledger</t>
        </is>
      </c>
      <c r="D84" s="15" t="inlineStr">
        <is>
          <t xml:space="preserve">RES-BR-2CH-005</t>
        </is>
      </c>
      <c r="E84" s="15" t="inlineStr">
        <is>
          <t xml:space="preserve">2 Chronicles 9</t>
        </is>
      </c>
      <c r="F84" s="15" t="inlineStr">
        <is>
          <t xml:space="preserve">Canon Map v0.2 / 1 Kings 10-11</t>
        </is>
      </c>
      <c r="G84" s="15" t="inlineStr">
        <is>
          <t xml:space="preserve">Complementary Account</t>
        </is>
      </c>
      <c r="H84" s="15" t="inlineStr">
        <is>
          <t xml:space="preserve">High</t>
        </is>
      </c>
      <c r="I84" s="13" t="inlineStr">
        <is>
          <t xml:space="preserve">Draft</t>
        </is>
      </c>
      <c r="J84" s="15" t="inlineStr">
        <is>
          <t xml:space="preserve">SRC-CANON-TEXT; SRC-CHRONICLES-OVERVIEW; SRC-KINGS-OVERVIEW</t>
        </is>
      </c>
      <c r="K84" s="15" t="inlineStr">
        <is>
          <t xml:space="preserve">resolution id: RES-BR-2CH-005 | scope passage: 2 Chronicles 9 | relationship: Complementary Account | target map: Canon Map v0.2 | target crs: Canon Map v0.2 / 1 Kings 10-11 | target passage: 1 Kings 10-11 | placement confidence: High | status: Draft | notes: Chronicles narrates the visit of the Queen of Sheba, wealth, and Solomon's death; it omits much of Kings' negative assessment. | source ids: SRC-CANON-TEXT; SRC-CHRONICLES-OVERVIEW; SRC-KINGS-OVERVIEW</t>
        </is>
      </c>
    </row>
    <row r="85" ht="34" customHeight="1">
      <c r="A85" s="15" t="inlineStr">
        <is>
          <t xml:space="preserve">v0.3</t>
        </is>
      </c>
      <c r="B85" s="15" t="inlineStr">
        <is>
          <t xml:space="preserve">Bible_Journey_Canon_Map_v0_3_2Chronicles_Wisdom_2Kings.xlsx</t>
        </is>
      </c>
      <c r="C85" s="15" t="inlineStr">
        <is>
          <t xml:space="preserve">Link Ledger</t>
        </is>
      </c>
      <c r="D85" s="15" t="inlineStr">
        <is>
          <t xml:space="preserve">RES-BR-2CH-006</t>
        </is>
      </c>
      <c r="E85" s="15" t="inlineStr">
        <is>
          <t xml:space="preserve">2 Chronicles 10</t>
        </is>
      </c>
      <c r="F85" s="15" t="inlineStr">
        <is>
          <t xml:space="preserve">Canon Map v0.2 / 1 Kings 12:1-24</t>
        </is>
      </c>
      <c r="G85" s="15" t="inlineStr">
        <is>
          <t xml:space="preserve">Parallel Account</t>
        </is>
      </c>
      <c r="H85" s="15" t="inlineStr">
        <is>
          <t xml:space="preserve">High</t>
        </is>
      </c>
      <c r="I85" s="13" t="inlineStr">
        <is>
          <t xml:space="preserve">Draft</t>
        </is>
      </c>
      <c r="J85" s="15" t="inlineStr">
        <is>
          <t xml:space="preserve">SRC-CANON-TEXT; SRC-CHRONICLES-OVERVIEW; SRC-KINGS-OVERVIEW</t>
        </is>
      </c>
      <c r="K85" s="15" t="inlineStr">
        <is>
          <t xml:space="preserve">resolution id: RES-BR-2CH-006 | scope passage: 2 Chronicles 10 | relationship: Parallel Account | target map: Canon Map v0.2 | target crs: Canon Map v0.2 / 1 Kings 12:1-24 | target passage: 1 Kings 12:1-24 | placement confidence: High | status: Draft | notes: Chronicles' division account parallels the early Rehoboam narrative in Kings. | source ids: SRC-CANON-TEXT; SRC-CHRONICLES-OVERVIEW; SRC-KINGS-OVERVIEW</t>
        </is>
      </c>
    </row>
    <row r="86" ht="34" customHeight="1">
      <c r="A86" s="15" t="inlineStr">
        <is>
          <t xml:space="preserve">v0.3</t>
        </is>
      </c>
      <c r="B86" s="15" t="inlineStr">
        <is>
          <t xml:space="preserve">Bible_Journey_Canon_Map_v0_3_2Chronicles_Wisdom_2Kings.xlsx</t>
        </is>
      </c>
      <c r="C86" s="15" t="inlineStr">
        <is>
          <t xml:space="preserve">Link Ledger</t>
        </is>
      </c>
      <c r="D86" s="15" t="inlineStr">
        <is>
          <t xml:space="preserve">RES-BR-2CH-007</t>
        </is>
      </c>
      <c r="E86" s="15" t="inlineStr">
        <is>
          <t xml:space="preserve">2 Chronicles 11</t>
        </is>
      </c>
      <c r="F86" s="15" t="inlineStr">
        <is>
          <t xml:space="preserve">Canon Map v0.2 / Rehoboam window</t>
        </is>
      </c>
      <c r="G86" s="15" t="inlineStr">
        <is>
          <t xml:space="preserve">Complementary Account</t>
        </is>
      </c>
      <c r="H86" s="15" t="inlineStr">
        <is>
          <t xml:space="preserve">High</t>
        </is>
      </c>
      <c r="I86" s="13" t="inlineStr">
        <is>
          <t xml:space="preserve">Draft</t>
        </is>
      </c>
      <c r="J86" s="15" t="inlineStr">
        <is>
          <t xml:space="preserve">SRC-CANON-TEXT; SRC-CHRONICLES-OVERVIEW</t>
        </is>
      </c>
      <c r="K86" s="15" t="inlineStr">
        <is>
          <t xml:space="preserve">resolution id: RES-BR-2CH-007 | scope passage: 2 Chronicles 11 | relationship: Complementary Account | target map: Canon Map v0.2 | target crs: Canon Map v0.2 / Rehoboam window | target passage: Rehoboam window | placement confidence: High | status: Draft | notes: Chronicles adds fortifications, migration, and domestic material not presented in the same way in Kings. | source ids: SRC-CANON-TEXT; SRC-CHRONICLES-OVERVIEW</t>
        </is>
      </c>
    </row>
    <row r="87" ht="34" customHeight="1">
      <c r="A87" s="15" t="inlineStr">
        <is>
          <t xml:space="preserve">v0.3</t>
        </is>
      </c>
      <c r="B87" s="15" t="inlineStr">
        <is>
          <t xml:space="preserve">Bible_Journey_Canon_Map_v0_3_2Chronicles_Wisdom_2Kings.xlsx</t>
        </is>
      </c>
      <c r="C87" s="15" t="inlineStr">
        <is>
          <t xml:space="preserve">Link Ledger</t>
        </is>
      </c>
      <c r="D87" s="15" t="inlineStr">
        <is>
          <t xml:space="preserve">RES-BR-2CH-008</t>
        </is>
      </c>
      <c r="E87" s="15" t="inlineStr">
        <is>
          <t xml:space="preserve">2 Chronicles 12</t>
        </is>
      </c>
      <c r="F87" s="15" t="inlineStr">
        <is>
          <t xml:space="preserve">Canon Map v0.2 / 1 Kings 14:25-28</t>
        </is>
      </c>
      <c r="G87" s="15" t="inlineStr">
        <is>
          <t xml:space="preserve">Complementary Account</t>
        </is>
      </c>
      <c r="H87" s="15" t="inlineStr">
        <is>
          <t xml:space="preserve">High</t>
        </is>
      </c>
      <c r="I87" s="13" t="inlineStr">
        <is>
          <t xml:space="preserve">Draft</t>
        </is>
      </c>
      <c r="J87" s="15" t="inlineStr">
        <is>
          <t xml:space="preserve">SRC-CANON-TEXT; SRC-CHRONICLES-OVERVIEW; SRC-KINGS-OVERVIEW</t>
        </is>
      </c>
      <c r="K87" s="15" t="inlineStr">
        <is>
          <t xml:space="preserve">resolution id: RES-BR-2CH-008 | scope passage: 2 Chronicles 12 | relationship: Complementary Account | target map: Canon Map v0.2 | target crs: Canon Map v0.2 / 1 Kings 14:25-28 | target passage: 1 Kings 14:25-28 | placement confidence: High | status: Draft | notes: Chronicles gives a fuller theological and narrative presentation of the Shishak invasion. | source ids: SRC-CANON-TEXT; SRC-CHRONICLES-OVERVIEW; SRC-KINGS-OVERVIEW</t>
        </is>
      </c>
    </row>
    <row r="88" ht="34" customHeight="1">
      <c r="A88" s="15" t="inlineStr">
        <is>
          <t xml:space="preserve">v0.3</t>
        </is>
      </c>
      <c r="B88" s="15" t="inlineStr">
        <is>
          <t xml:space="preserve">Bible_Journey_Canon_Map_v0_3_2Chronicles_Wisdom_2Kings.xlsx</t>
        </is>
      </c>
      <c r="C88" s="15" t="inlineStr">
        <is>
          <t xml:space="preserve">Link Ledger</t>
        </is>
      </c>
      <c r="D88" s="15" t="inlineStr">
        <is>
          <t xml:space="preserve">RES-BR-2CH-009</t>
        </is>
      </c>
      <c r="E88" s="15" t="inlineStr">
        <is>
          <t xml:space="preserve">2 Chronicles 13</t>
        </is>
      </c>
      <c r="F88" s="15" t="inlineStr">
        <is>
          <t xml:space="preserve">Canon Map v0.2 / 1 Kings 15:1-8</t>
        </is>
      </c>
      <c r="G88" s="15" t="inlineStr">
        <is>
          <t xml:space="preserve">Complementary Account</t>
        </is>
      </c>
      <c r="H88" s="15" t="inlineStr">
        <is>
          <t xml:space="preserve">High</t>
        </is>
      </c>
      <c r="I88" s="13" t="inlineStr">
        <is>
          <t xml:space="preserve">Draft</t>
        </is>
      </c>
      <c r="J88" s="15" t="inlineStr">
        <is>
          <t xml:space="preserve">SRC-CANON-TEXT; SRC-CHRONICLES-OVERVIEW; SRC-KINGS-OVERVIEW</t>
        </is>
      </c>
      <c r="K88" s="15" t="inlineStr">
        <is>
          <t xml:space="preserve">resolution id: RES-BR-2CH-009 | scope passage: 2 Chronicles 13 | relationship: Complementary Account | target map: Canon Map v0.2 | target crs: Canon Map v0.2 / 1 Kings 15:1-8 | target passage: 1 Kings 15:1-8 | placement confidence: High | status: Draft | notes: Chronicles contains extended material about Abijah not preserved in Kings. | source ids: SRC-CANON-TEXT; SRC-CHRONICLES-OVERVIEW; SRC-KINGS-OVERVIEW</t>
        </is>
      </c>
    </row>
    <row r="89" ht="34" customHeight="1">
      <c r="A89" s="15" t="inlineStr">
        <is>
          <t xml:space="preserve">v0.3</t>
        </is>
      </c>
      <c r="B89" s="15" t="inlineStr">
        <is>
          <t xml:space="preserve">Bible_Journey_Canon_Map_v0_3_2Chronicles_Wisdom_2Kings.xlsx</t>
        </is>
      </c>
      <c r="C89" s="15" t="inlineStr">
        <is>
          <t xml:space="preserve">Link Ledger</t>
        </is>
      </c>
      <c r="D89" s="15" t="inlineStr">
        <is>
          <t xml:space="preserve">RES-BR-2CH-010</t>
        </is>
      </c>
      <c r="E89" s="15" t="inlineStr">
        <is>
          <t xml:space="preserve">2 Chronicles 14-15</t>
        </is>
      </c>
      <c r="F89" s="15" t="inlineStr">
        <is>
          <t xml:space="preserve">Canon Map v0.2 / 1 Kings 15:9-24</t>
        </is>
      </c>
      <c r="G89" s="15" t="inlineStr">
        <is>
          <t xml:space="preserve">Complementary Account</t>
        </is>
      </c>
      <c r="H89" s="15" t="inlineStr">
        <is>
          <t xml:space="preserve">High</t>
        </is>
      </c>
      <c r="I89" s="13" t="inlineStr">
        <is>
          <t xml:space="preserve">Draft</t>
        </is>
      </c>
      <c r="J89" s="15" t="inlineStr">
        <is>
          <t xml:space="preserve">SRC-CANON-TEXT; SRC-CHRONICLES-OVERVIEW</t>
        </is>
      </c>
      <c r="K89" s="15" t="inlineStr">
        <is>
          <t xml:space="preserve">resolution id: RES-BR-2CH-010 | scope passage: 2 Chronicles 14-15 | relationship: Complementary Account | target map: Canon Map v0.2 | target crs: Canon Map v0.2 / 1 Kings 15:9-24 | target passage: 1 Kings 15:9-24 | placement confidence: High | status: Draft | notes: Chronicles adds reform, covenant, and conflict narratives not mirrored in Kings. | source ids: SRC-CANON-TEXT; SRC-CHRONICLES-OVERVIEW</t>
        </is>
      </c>
    </row>
    <row r="90" ht="34" customHeight="1">
      <c r="A90" s="15" t="inlineStr">
        <is>
          <t xml:space="preserve">v0.3</t>
        </is>
      </c>
      <c r="B90" s="15" t="inlineStr">
        <is>
          <t xml:space="preserve">Bible_Journey_Canon_Map_v0_3_2Chronicles_Wisdom_2Kings.xlsx</t>
        </is>
      </c>
      <c r="C90" s="15" t="inlineStr">
        <is>
          <t xml:space="preserve">Link Ledger</t>
        </is>
      </c>
      <c r="D90" s="15" t="inlineStr">
        <is>
          <t xml:space="preserve">RES-BR-2CH-011</t>
        </is>
      </c>
      <c r="E90" s="15" t="inlineStr">
        <is>
          <t xml:space="preserve">2 Chronicles 16</t>
        </is>
      </c>
      <c r="F90" s="15" t="inlineStr">
        <is>
          <t xml:space="preserve">Canon Map v0.2 / 1 Kings 15:16-24</t>
        </is>
      </c>
      <c r="G90" s="15" t="inlineStr">
        <is>
          <t xml:space="preserve">Complementary Account</t>
        </is>
      </c>
      <c r="H90" s="15" t="inlineStr">
        <is>
          <t xml:space="preserve">High</t>
        </is>
      </c>
      <c r="I90" s="13" t="inlineStr">
        <is>
          <t xml:space="preserve">Draft</t>
        </is>
      </c>
      <c r="J90" s="15" t="inlineStr">
        <is>
          <t xml:space="preserve">SRC-CANON-TEXT; SRC-CHRONICLES-OVERVIEW; SRC-KINGS-OVERVIEW</t>
        </is>
      </c>
      <c r="K90" s="15" t="inlineStr">
        <is>
          <t xml:space="preserve">resolution id: RES-BR-2CH-011 | scope passage: 2 Chronicles 16 | relationship: Complementary Account | target map: Canon Map v0.2 | target crs: Canon Map v0.2 / 1 Kings 15:16-24 | target passage: 1 Kings 15:16-24 | placement confidence: High | status: Draft | notes: Chronicles closely relates to Kings' account but adds Hanani's rebuke and illness/death detail. | source ids: SRC-CANON-TEXT; SRC-CHRONICLES-OVERVIEW; SRC-KINGS-OVERVIEW</t>
        </is>
      </c>
    </row>
    <row r="91" ht="34" customHeight="1">
      <c r="A91" s="15" t="inlineStr">
        <is>
          <t xml:space="preserve">v0.3</t>
        </is>
      </c>
      <c r="B91" s="15" t="inlineStr">
        <is>
          <t xml:space="preserve">Bible_Journey_Canon_Map_v0_3_2Chronicles_Wisdom_2Kings.xlsx</t>
        </is>
      </c>
      <c r="C91" s="15" t="inlineStr">
        <is>
          <t xml:space="preserve">Link Ledger</t>
        </is>
      </c>
      <c r="D91" s="15" t="inlineStr">
        <is>
          <t xml:space="preserve">RES-BR-2CH-012</t>
        </is>
      </c>
      <c r="E91" s="15" t="inlineStr">
        <is>
          <t xml:space="preserve">2 Chronicles 17</t>
        </is>
      </c>
      <c r="F91" s="15" t="inlineStr">
        <is>
          <t xml:space="preserve">Canon Map v0.2 / 1 Kings 22:41-50</t>
        </is>
      </c>
      <c r="G91" s="15" t="inlineStr">
        <is>
          <t xml:space="preserve">Complementary Account</t>
        </is>
      </c>
      <c r="H91" s="15" t="inlineStr">
        <is>
          <t xml:space="preserve">High</t>
        </is>
      </c>
      <c r="I91" s="13" t="inlineStr">
        <is>
          <t xml:space="preserve">Draft</t>
        </is>
      </c>
      <c r="J91" s="15" t="inlineStr">
        <is>
          <t xml:space="preserve">SRC-CANON-TEXT; SRC-CHRONICLES-OVERVIEW</t>
        </is>
      </c>
      <c r="K91" s="15" t="inlineStr">
        <is>
          <t xml:space="preserve">resolution id: RES-BR-2CH-012 | scope passage: 2 Chronicles 17 | relationship: Complementary Account | target map: Canon Map v0.2 | target crs: Canon Map v0.2 / 1 Kings 22:41-50 | target passage: 1 Kings 22:41-50 | placement confidence: High | status: Draft | notes: Chronicles adds detailed teaching, judicial, and defensive programs. | source ids: SRC-CANON-TEXT; SRC-CHRONICLES-OVERVIEW</t>
        </is>
      </c>
    </row>
    <row r="92" ht="34" customHeight="1">
      <c r="A92" s="15" t="inlineStr">
        <is>
          <t xml:space="preserve">v0.3</t>
        </is>
      </c>
      <c r="B92" s="15" t="inlineStr">
        <is>
          <t xml:space="preserve">Bible_Journey_Canon_Map_v0_3_2Chronicles_Wisdom_2Kings.xlsx</t>
        </is>
      </c>
      <c r="C92" s="15" t="inlineStr">
        <is>
          <t xml:space="preserve">Link Ledger</t>
        </is>
      </c>
      <c r="D92" s="15" t="inlineStr">
        <is>
          <t xml:space="preserve">RES-BR-2CH-013</t>
        </is>
      </c>
      <c r="E92" s="15" t="inlineStr">
        <is>
          <t xml:space="preserve">2 Chronicles 18</t>
        </is>
      </c>
      <c r="F92" s="15" t="inlineStr">
        <is>
          <t xml:space="preserve">Canon Map v0.2 / 1 Kings 22:1-40</t>
        </is>
      </c>
      <c r="G92" s="15" t="inlineStr">
        <is>
          <t xml:space="preserve">Parallel Account</t>
        </is>
      </c>
      <c r="H92" s="15" t="inlineStr">
        <is>
          <t xml:space="preserve">High</t>
        </is>
      </c>
      <c r="I92" s="13" t="inlineStr">
        <is>
          <t xml:space="preserve">Draft</t>
        </is>
      </c>
      <c r="J92" s="15" t="inlineStr">
        <is>
          <t xml:space="preserve">SRC-CANON-TEXT; SRC-CHRONICLES-OVERVIEW; SRC-KINGS-OVERVIEW</t>
        </is>
      </c>
      <c r="K92" s="15" t="inlineStr">
        <is>
          <t xml:space="preserve">resolution id: RES-BR-2CH-013 | scope passage: 2 Chronicles 18 | relationship: Parallel Account | target map: Canon Map v0.2 | target crs: Canon Map v0.2 / 1 Kings 22:1-40 | target passage: 1 Kings 22:1-40 | placement confidence: High | status: Draft | notes: Chronicles parallels the Micaiah/Ramoth-gilead account with distinct wording and sequence details. | source ids: SRC-CANON-TEXT; SRC-CHRONICLES-OVERVIEW; SRC-KINGS-OVERVIEW</t>
        </is>
      </c>
    </row>
    <row r="93" ht="34" customHeight="1">
      <c r="A93" s="15" t="inlineStr">
        <is>
          <t xml:space="preserve">v0.3</t>
        </is>
      </c>
      <c r="B93" s="15" t="inlineStr">
        <is>
          <t xml:space="preserve">Bible_Journey_Canon_Map_v0_3_2Chronicles_Wisdom_2Kings.xlsx</t>
        </is>
      </c>
      <c r="C93" s="15" t="inlineStr">
        <is>
          <t xml:space="preserve">Link Ledger</t>
        </is>
      </c>
      <c r="D93" s="15" t="inlineStr">
        <is>
          <t xml:space="preserve">RES-BR-2CH-014</t>
        </is>
      </c>
      <c r="E93" s="15" t="inlineStr">
        <is>
          <t xml:space="preserve">2 Chronicles 19-20</t>
        </is>
      </c>
      <c r="F93" s="15" t="inlineStr">
        <is>
          <t xml:space="preserve">Canon Map v0.2 / Jehoshaphat reign</t>
        </is>
      </c>
      <c r="G93" s="15" t="inlineStr">
        <is>
          <t xml:space="preserve">Complementary Account</t>
        </is>
      </c>
      <c r="H93" s="15" t="inlineStr">
        <is>
          <t xml:space="preserve">High</t>
        </is>
      </c>
      <c r="I93" s="13" t="inlineStr">
        <is>
          <t xml:space="preserve">Draft</t>
        </is>
      </c>
      <c r="J93" s="15" t="inlineStr">
        <is>
          <t xml:space="preserve">SRC-CANON-TEXT; SRC-CHRONICLES-OVERVIEW</t>
        </is>
      </c>
      <c r="K93" s="15" t="inlineStr">
        <is>
          <t xml:space="preserve">resolution id: RES-BR-2CH-014 | scope passage: 2 Chronicles 19-20 | relationship: Complementary Account | target map: Canon Map v0.2 | target crs: Canon Map v0.2 / Jehoshaphat reign | target passage: Jehoshaphat reign | placement confidence: High | status: Draft | notes: Chronicles gives unique judicial and military-deliverance material for Jehoshaphat's reign. | source ids: SRC-CANON-TEXT; SRC-CHRONICLES-OVERVIEW</t>
        </is>
      </c>
    </row>
    <row r="94" ht="34" customHeight="1">
      <c r="A94" s="15" t="inlineStr">
        <is>
          <t xml:space="preserve">v0.3</t>
        </is>
      </c>
      <c r="B94" s="15" t="inlineStr">
        <is>
          <t xml:space="preserve">Bible_Journey_Canon_Map_v0_3_2Chronicles_Wisdom_2Kings.xlsx</t>
        </is>
      </c>
      <c r="C94" s="15" t="inlineStr">
        <is>
          <t xml:space="preserve">Link Ledger</t>
        </is>
      </c>
      <c r="D94" s="15" t="inlineStr">
        <is>
          <t xml:space="preserve">RES-2K-008B-15</t>
        </is>
      </c>
      <c r="E94" s="15" t="inlineStr">
        <is>
          <t xml:space="preserve">2 Chronicles 21</t>
        </is>
      </c>
      <c r="F94" s="15" t="inlineStr">
        <is>
          <t xml:space="preserve">CRS-2K-008B</t>
        </is>
      </c>
      <c r="G94" s="15" t="inlineStr">
        <is>
          <t xml:space="preserve">Complementary Account</t>
        </is>
      </c>
      <c r="H94" s="15" t="inlineStr">
        <is>
          <t xml:space="preserve">High</t>
        </is>
      </c>
      <c r="I94" s="13" t="inlineStr">
        <is>
          <t xml:space="preserve">Draft</t>
        </is>
      </c>
      <c r="J94" s="15" t="inlineStr">
        <is>
          <t xml:space="preserve">SRC-CANON-TEXT; SRC-KINGS-OVERVIEW; SRC-CHRONICLES-OVERVIEW</t>
        </is>
      </c>
      <c r="K94" s="15" t="inlineStr">
        <is>
          <t xml:space="preserve">resolution id: RES-2K-008B-15 | scope passage: 2 Chronicles 21 | relationship: Complementary Account | target map: Canon Map v0.3 | target crs: CRS-2K-008B | target passage: 2 Kings 8:16-29 | placement confidence: High | status: Draft | notes: Chronicles adds Jehoram's reign material. | source ids: SRC-CANON-TEXT; SRC-KINGS-OVERVIEW; SRC-CHRONICLES-OVERVIEW</t>
        </is>
      </c>
    </row>
    <row r="95" ht="34" customHeight="1">
      <c r="A95" s="15" t="inlineStr">
        <is>
          <t xml:space="preserve">v0.3</t>
        </is>
      </c>
      <c r="B95" s="15" t="inlineStr">
        <is>
          <t xml:space="preserve">Bible_Journey_Canon_Map_v0_3_2Chronicles_Wisdom_2Kings.xlsx</t>
        </is>
      </c>
      <c r="C95" s="15" t="inlineStr">
        <is>
          <t xml:space="preserve">Link Ledger</t>
        </is>
      </c>
      <c r="D95" s="15" t="inlineStr">
        <is>
          <t xml:space="preserve">RES-2K-008B-16</t>
        </is>
      </c>
      <c r="E95" s="15" t="inlineStr">
        <is>
          <t xml:space="preserve">2 Chronicles 22:1-9</t>
        </is>
      </c>
      <c r="F95" s="15" t="inlineStr">
        <is>
          <t xml:space="preserve">CRS-2K-008B</t>
        </is>
      </c>
      <c r="G95" s="15" t="inlineStr">
        <is>
          <t xml:space="preserve">Parallel Account</t>
        </is>
      </c>
      <c r="H95" s="15" t="inlineStr">
        <is>
          <t xml:space="preserve">High</t>
        </is>
      </c>
      <c r="I95" s="13" t="inlineStr">
        <is>
          <t xml:space="preserve">Draft</t>
        </is>
      </c>
      <c r="J95" s="15" t="inlineStr">
        <is>
          <t xml:space="preserve">SRC-CANON-TEXT; SRC-KINGS-OVERVIEW; SRC-CHRONICLES-OVERVIEW</t>
        </is>
      </c>
      <c r="K95" s="15" t="inlineStr">
        <is>
          <t xml:space="preserve">resolution id: RES-2K-008B-16 | scope passage: 2 Chronicles 22:1-9 | relationship: Parallel Account | target map: Canon Map v0.3 | target crs: CRS-2K-008B | target passage: 2 Kings 8:16-29 | placement confidence: High | status: Draft | notes: Chronicles account of Ahaziah. | source ids: SRC-CANON-TEXT; SRC-KINGS-OVERVIEW; SRC-CHRONICLES-OVERVIEW</t>
        </is>
      </c>
    </row>
    <row r="96" ht="34" customHeight="1">
      <c r="A96" s="15" t="inlineStr">
        <is>
          <t xml:space="preserve">v0.3</t>
        </is>
      </c>
      <c r="B96" s="15" t="inlineStr">
        <is>
          <t xml:space="preserve">Bible_Journey_Canon_Map_v0_3_2Chronicles_Wisdom_2Kings.xlsx</t>
        </is>
      </c>
      <c r="C96" s="15" t="inlineStr">
        <is>
          <t xml:space="preserve">Link Ledger</t>
        </is>
      </c>
      <c r="D96" s="15" t="inlineStr">
        <is>
          <t xml:space="preserve">RES-2K-011-17</t>
        </is>
      </c>
      <c r="E96" s="15" t="inlineStr">
        <is>
          <t xml:space="preserve">2 Chronicles 22:10-12</t>
        </is>
      </c>
      <c r="F96" s="15" t="inlineStr">
        <is>
          <t xml:space="preserve">CRS-2K-011</t>
        </is>
      </c>
      <c r="G96" s="15" t="inlineStr">
        <is>
          <t xml:space="preserve">Complementary Account</t>
        </is>
      </c>
      <c r="H96" s="15" t="inlineStr">
        <is>
          <t xml:space="preserve">High</t>
        </is>
      </c>
      <c r="I96" s="13" t="inlineStr">
        <is>
          <t xml:space="preserve">Draft</t>
        </is>
      </c>
      <c r="J96" s="15" t="inlineStr">
        <is>
          <t xml:space="preserve">SRC-CANON-TEXT; SRC-KINGS-OVERVIEW; SRC-CHRONICLES-OVERVIEW</t>
        </is>
      </c>
      <c r="K96" s="15" t="inlineStr">
        <is>
          <t xml:space="preserve">resolution id: RES-2K-011-17 | scope passage: 2 Chronicles 22:10-12 | relationship: Complementary Account | target map: Canon Map v0.3 | target crs: CRS-2K-011 | target passage: 2 Kings 11 | placement confidence: High | status: Draft | notes: Athaliah's seizure of power and Joash's concealment. | source ids: SRC-CANON-TEXT; SRC-KINGS-OVERVIEW; SRC-CHRONICLES-OVERVIEW</t>
        </is>
      </c>
    </row>
    <row r="97" ht="34" customHeight="1">
      <c r="A97" s="15" t="inlineStr">
        <is>
          <t xml:space="preserve">v0.3</t>
        </is>
      </c>
      <c r="B97" s="15" t="inlineStr">
        <is>
          <t xml:space="preserve">Bible_Journey_Canon_Map_v0_3_2Chronicles_Wisdom_2Kings.xlsx</t>
        </is>
      </c>
      <c r="C97" s="15" t="inlineStr">
        <is>
          <t xml:space="preserve">Link Ledger</t>
        </is>
      </c>
      <c r="D97" s="15" t="inlineStr">
        <is>
          <t xml:space="preserve">RES-2K-011-18</t>
        </is>
      </c>
      <c r="E97" s="15" t="inlineStr">
        <is>
          <t xml:space="preserve">2 Chronicles 23</t>
        </is>
      </c>
      <c r="F97" s="15" t="inlineStr">
        <is>
          <t xml:space="preserve">CRS-2K-011</t>
        </is>
      </c>
      <c r="G97" s="15" t="inlineStr">
        <is>
          <t xml:space="preserve">Parallel Account</t>
        </is>
      </c>
      <c r="H97" s="15" t="inlineStr">
        <is>
          <t xml:space="preserve">High</t>
        </is>
      </c>
      <c r="I97" s="13" t="inlineStr">
        <is>
          <t xml:space="preserve">Draft</t>
        </is>
      </c>
      <c r="J97" s="15" t="inlineStr">
        <is>
          <t xml:space="preserve">SRC-CANON-TEXT; SRC-KINGS-OVERVIEW; SRC-CHRONICLES-OVERVIEW</t>
        </is>
      </c>
      <c r="K97" s="15" t="inlineStr">
        <is>
          <t xml:space="preserve">resolution id: RES-2K-011-18 | scope passage: 2 Chronicles 23 | relationship: Parallel Account | target map: Canon Map v0.3 | target crs: CRS-2K-011 | target passage: 2 Kings 11 | placement confidence: High | status: Draft | notes: Joash's enthronement and covenant account. | source ids: SRC-CANON-TEXT; SRC-KINGS-OVERVIEW; SRC-CHRONICLES-OVERVIEW</t>
        </is>
      </c>
    </row>
    <row r="98" ht="34" customHeight="1">
      <c r="A98" s="15" t="inlineStr">
        <is>
          <t xml:space="preserve">v0.3</t>
        </is>
      </c>
      <c r="B98" s="15" t="inlineStr">
        <is>
          <t xml:space="preserve">Bible_Journey_Canon_Map_v0_3_2Chronicles_Wisdom_2Kings.xlsx</t>
        </is>
      </c>
      <c r="C98" s="15" t="inlineStr">
        <is>
          <t xml:space="preserve">Link Ledger</t>
        </is>
      </c>
      <c r="D98" s="15" t="inlineStr">
        <is>
          <t xml:space="preserve">RES-2K-012-19</t>
        </is>
      </c>
      <c r="E98" s="15" t="inlineStr">
        <is>
          <t xml:space="preserve">2 Chronicles 24</t>
        </is>
      </c>
      <c r="F98" s="15" t="inlineStr">
        <is>
          <t xml:space="preserve">CRS-2K-012</t>
        </is>
      </c>
      <c r="G98" s="15" t="inlineStr">
        <is>
          <t xml:space="preserve">Complementary Account</t>
        </is>
      </c>
      <c r="H98" s="15" t="inlineStr">
        <is>
          <t xml:space="preserve">High</t>
        </is>
      </c>
      <c r="I98" s="13" t="inlineStr">
        <is>
          <t xml:space="preserve">Draft</t>
        </is>
      </c>
      <c r="J98" s="15" t="inlineStr">
        <is>
          <t xml:space="preserve">SRC-CANON-TEXT; SRC-KINGS-OVERVIEW; SRC-CHRONICLES-OVERVIEW</t>
        </is>
      </c>
      <c r="K98" s="15" t="inlineStr">
        <is>
          <t xml:space="preserve">resolution id: RES-2K-012-19 | scope passage: 2 Chronicles 24 | relationship: Complementary Account | target map: Canon Map v0.3 | target crs: CRS-2K-012 | target passage: 2 Kings 12 | placement confidence: High | status: Draft | notes: Chronicles adds Zechariah and the later reversal of Joash. | source ids: SRC-CANON-TEXT; SRC-KINGS-OVERVIEW; SRC-CHRONICLES-OVERVIEW</t>
        </is>
      </c>
    </row>
    <row r="99" ht="34" customHeight="1">
      <c r="A99" s="15" t="inlineStr">
        <is>
          <t xml:space="preserve">v0.3</t>
        </is>
      </c>
      <c r="B99" s="15" t="inlineStr">
        <is>
          <t xml:space="preserve">Bible_Journey_Canon_Map_v0_3_2Chronicles_Wisdom_2Kings.xlsx</t>
        </is>
      </c>
      <c r="C99" s="15" t="inlineStr">
        <is>
          <t xml:space="preserve">Link Ledger</t>
        </is>
      </c>
      <c r="D99" s="15" t="inlineStr">
        <is>
          <t xml:space="preserve">RES-2K-014-20</t>
        </is>
      </c>
      <c r="E99" s="15" t="inlineStr">
        <is>
          <t xml:space="preserve">2 Chronicles 25</t>
        </is>
      </c>
      <c r="F99" s="15" t="inlineStr">
        <is>
          <t xml:space="preserve">CRS-2K-014</t>
        </is>
      </c>
      <c r="G99" s="15" t="inlineStr">
        <is>
          <t xml:space="preserve">Parallel Account</t>
        </is>
      </c>
      <c r="H99" s="15" t="inlineStr">
        <is>
          <t xml:space="preserve">High</t>
        </is>
      </c>
      <c r="I99" s="13" t="inlineStr">
        <is>
          <t xml:space="preserve">Draft</t>
        </is>
      </c>
      <c r="J99" s="15" t="inlineStr">
        <is>
          <t xml:space="preserve">SRC-CANON-TEXT; SRC-KINGS-OVERVIEW; SRC-CHRONICLES-OVERVIEW</t>
        </is>
      </c>
      <c r="K99" s="15" t="inlineStr">
        <is>
          <t xml:space="preserve">resolution id: RES-2K-014-20 | scope passage: 2 Chronicles 25 | relationship: Parallel Account | target map: Canon Map v0.3 | target crs: CRS-2K-014 | target passage: 2 Kings 14 | placement confidence: High | status: Draft | notes: Chronicles account of Amaziah's reign. | source ids: SRC-CANON-TEXT; SRC-KINGS-OVERVIEW; SRC-CHRONICLES-OVERVIEW</t>
        </is>
      </c>
    </row>
    <row r="100" ht="34" customHeight="1">
      <c r="A100" s="15" t="inlineStr">
        <is>
          <t xml:space="preserve">v0.3</t>
        </is>
      </c>
      <c r="B100" s="15" t="inlineStr">
        <is>
          <t xml:space="preserve">Bible_Journey_Canon_Map_v0_3_2Chronicles_Wisdom_2Kings.xlsx</t>
        </is>
      </c>
      <c r="C100" s="15" t="inlineStr">
        <is>
          <t xml:space="preserve">Link Ledger</t>
        </is>
      </c>
      <c r="D100" s="15" t="inlineStr">
        <is>
          <t xml:space="preserve">RES-2K-015-21</t>
        </is>
      </c>
      <c r="E100" s="15" t="inlineStr">
        <is>
          <t xml:space="preserve">2 Chronicles 26</t>
        </is>
      </c>
      <c r="F100" s="15" t="inlineStr">
        <is>
          <t xml:space="preserve">CRS-2K-015</t>
        </is>
      </c>
      <c r="G100" s="15" t="inlineStr">
        <is>
          <t xml:space="preserve">Complementary Account</t>
        </is>
      </c>
      <c r="H100" s="15" t="inlineStr">
        <is>
          <t xml:space="preserve">High</t>
        </is>
      </c>
      <c r="I100" s="13" t="inlineStr">
        <is>
          <t xml:space="preserve">Draft</t>
        </is>
      </c>
      <c r="J100" s="15" t="inlineStr">
        <is>
          <t xml:space="preserve">SRC-CANON-TEXT; SRC-KINGS-OVERVIEW; SRC-CHRONICLES-OVERVIEW</t>
        </is>
      </c>
      <c r="K100" s="15" t="inlineStr">
        <is>
          <t xml:space="preserve">resolution id: RES-2K-015-21 | scope passage: 2 Chronicles 26 | relationship: Complementary Account | target map: Canon Map v0.3 | target crs: CRS-2K-015 | target passage: 2 Kings 15 | placement confidence: High | status: Draft | notes: Uzziah's reign and temple-incense episode. | source ids: SRC-CANON-TEXT; SRC-KINGS-OVERVIEW; SRC-CHRONICLES-OVERVIEW</t>
        </is>
      </c>
    </row>
    <row r="101" ht="34" customHeight="1">
      <c r="A101" s="15" t="inlineStr">
        <is>
          <t xml:space="preserve">v0.3</t>
        </is>
      </c>
      <c r="B101" s="15" t="inlineStr">
        <is>
          <t xml:space="preserve">Bible_Journey_Canon_Map_v0_3_2Chronicles_Wisdom_2Kings.xlsx</t>
        </is>
      </c>
      <c r="C101" s="15" t="inlineStr">
        <is>
          <t xml:space="preserve">Link Ledger</t>
        </is>
      </c>
      <c r="D101" s="15" t="inlineStr">
        <is>
          <t xml:space="preserve">RES-2K-015-22</t>
        </is>
      </c>
      <c r="E101" s="15" t="inlineStr">
        <is>
          <t xml:space="preserve">2 Chronicles 27</t>
        </is>
      </c>
      <c r="F101" s="15" t="inlineStr">
        <is>
          <t xml:space="preserve">CRS-2K-015</t>
        </is>
      </c>
      <c r="G101" s="15" t="inlineStr">
        <is>
          <t xml:space="preserve">Complementary Account</t>
        </is>
      </c>
      <c r="H101" s="15" t="inlineStr">
        <is>
          <t xml:space="preserve">High</t>
        </is>
      </c>
      <c r="I101" s="13" t="inlineStr">
        <is>
          <t xml:space="preserve">Draft</t>
        </is>
      </c>
      <c r="J101" s="15" t="inlineStr">
        <is>
          <t xml:space="preserve">SRC-CANON-TEXT; SRC-KINGS-OVERVIEW; SRC-CHRONICLES-OVERVIEW</t>
        </is>
      </c>
      <c r="K101" s="15" t="inlineStr">
        <is>
          <t xml:space="preserve">resolution id: RES-2K-015-22 | scope passage: 2 Chronicles 27 | relationship: Complementary Account | target map: Canon Map v0.3 | target crs: CRS-2K-015 | target passage: 2 Kings 15 | placement confidence: High | status: Draft | notes: Jotham's reign. | source ids: SRC-CANON-TEXT; SRC-KINGS-OVERVIEW; SRC-CHRONICLES-OVERVIEW</t>
        </is>
      </c>
    </row>
    <row r="102" ht="34" customHeight="1">
      <c r="A102" s="15" t="inlineStr">
        <is>
          <t xml:space="preserve">v0.3</t>
        </is>
      </c>
      <c r="B102" s="15" t="inlineStr">
        <is>
          <t xml:space="preserve">Bible_Journey_Canon_Map_v0_3_2Chronicles_Wisdom_2Kings.xlsx</t>
        </is>
      </c>
      <c r="C102" s="15" t="inlineStr">
        <is>
          <t xml:space="preserve">Link Ledger</t>
        </is>
      </c>
      <c r="D102" s="15" t="inlineStr">
        <is>
          <t xml:space="preserve">RES-2K-016-23</t>
        </is>
      </c>
      <c r="E102" s="15" t="inlineStr">
        <is>
          <t xml:space="preserve">2 Chronicles 28</t>
        </is>
      </c>
      <c r="F102" s="15" t="inlineStr">
        <is>
          <t xml:space="preserve">CRS-2K-016</t>
        </is>
      </c>
      <c r="G102" s="15" t="inlineStr">
        <is>
          <t xml:space="preserve">Complementary Account</t>
        </is>
      </c>
      <c r="H102" s="15" t="inlineStr">
        <is>
          <t xml:space="preserve">High</t>
        </is>
      </c>
      <c r="I102" s="13" t="inlineStr">
        <is>
          <t xml:space="preserve">Draft</t>
        </is>
      </c>
      <c r="J102" s="15" t="inlineStr">
        <is>
          <t xml:space="preserve">SRC-CANON-TEXT; SRC-KINGS-OVERVIEW; SRC-CHRONICLES-OVERVIEW; SRC-AHAZ</t>
        </is>
      </c>
      <c r="K102" s="15" t="inlineStr">
        <is>
          <t xml:space="preserve">resolution id: RES-2K-016-23 | scope passage: 2 Chronicles 28 | relationship: Complementary Account | target map: Canon Map v0.3 | target crs: CRS-2K-016 | target passage: 2 Kings 16 | placement confidence: High | status: Draft | notes: Chronicles account of Ahaz and the Syro-Ephraimite crisis. | source ids: SRC-CANON-TEXT; SRC-KINGS-OVERVIEW; SRC-CHRONICLES-OVERVIEW; SRC-AHAZ</t>
        </is>
      </c>
    </row>
    <row r="103" ht="34" customHeight="1">
      <c r="A103" s="15" t="inlineStr">
        <is>
          <t xml:space="preserve">v0.3</t>
        </is>
      </c>
      <c r="B103" s="15" t="inlineStr">
        <is>
          <t xml:space="preserve">Bible_Journey_Canon_Map_v0_3_2Chronicles_Wisdom_2Kings.xlsx</t>
        </is>
      </c>
      <c r="C103" s="15" t="inlineStr">
        <is>
          <t xml:space="preserve">Link Ledger</t>
        </is>
      </c>
      <c r="D103" s="15" t="inlineStr">
        <is>
          <t xml:space="preserve">RES-2K-018-24</t>
        </is>
      </c>
      <c r="E103" s="15" t="inlineStr">
        <is>
          <t xml:space="preserve">2 Chronicles 29-31</t>
        </is>
      </c>
      <c r="F103" s="15" t="inlineStr">
        <is>
          <t xml:space="preserve">CRS-2K-018</t>
        </is>
      </c>
      <c r="G103" s="15" t="inlineStr">
        <is>
          <t xml:space="preserve">Complementary Account</t>
        </is>
      </c>
      <c r="H103" s="15" t="inlineStr">
        <is>
          <t xml:space="preserve">High</t>
        </is>
      </c>
      <c r="I103" s="13" t="inlineStr">
        <is>
          <t xml:space="preserve">Draft</t>
        </is>
      </c>
      <c r="J103" s="15" t="inlineStr">
        <is>
          <t xml:space="preserve">SRC-CANON-TEXT; SRC-KINGS-OVERVIEW; SRC-CHRONICLES-OVERVIEW; SRC-HEZEKIAH; SRC-WISDOM-CANON</t>
        </is>
      </c>
      <c r="K103" s="15" t="inlineStr">
        <is>
          <t xml:space="preserve">resolution id: RES-2K-018-24 | scope passage: 2 Chronicles 29-31 | relationship: Complementary Account | target map: Canon Map v0.3 | target crs: CRS-2K-018 | target passage: 2 Kings 18:1-12 | placement confidence: High | status: Draft | notes: Temple cleansing, Passover, and reforms. | source ids: SRC-CANON-TEXT; SRC-KINGS-OVERVIEW; SRC-CHRONICLES-OVERVIEW; SRC-HEZEKIAH; SRC-WISDOM-CANON</t>
        </is>
      </c>
    </row>
    <row r="104" ht="34" customHeight="1">
      <c r="A104" s="15" t="inlineStr">
        <is>
          <t xml:space="preserve">v0.3</t>
        </is>
      </c>
      <c r="B104" s="15" t="inlineStr">
        <is>
          <t xml:space="preserve">Bible_Journey_Canon_Map_v0_3_2Chronicles_Wisdom_2Kings.xlsx</t>
        </is>
      </c>
      <c r="C104" s="15" t="inlineStr">
        <is>
          <t xml:space="preserve">Link Ledger</t>
        </is>
      </c>
      <c r="D104" s="15" t="inlineStr">
        <is>
          <t xml:space="preserve">RES-2K-018-25</t>
        </is>
      </c>
      <c r="E104" s="15" t="inlineStr">
        <is>
          <t xml:space="preserve">Proverbs 25-29</t>
        </is>
      </c>
      <c r="F104" s="15" t="inlineStr">
        <is>
          <t xml:space="preserve">CRS-2K-018</t>
        </is>
      </c>
      <c r="G104" s="15" t="inlineStr">
        <is>
          <t xml:space="preserve">Supplementary Reading</t>
        </is>
      </c>
      <c r="H104" s="15" t="inlineStr">
        <is>
          <t xml:space="preserve">High</t>
        </is>
      </c>
      <c r="I104" s="13" t="inlineStr">
        <is>
          <t xml:space="preserve">Draft</t>
        </is>
      </c>
      <c r="J104" s="15" t="inlineStr">
        <is>
          <t xml:space="preserve">SRC-CANON-TEXT; SRC-KINGS-OVERVIEW; SRC-CHRONICLES-OVERVIEW; SRC-HEZEKIAH; SRC-WISDOM-CANON</t>
        </is>
      </c>
      <c r="K104" s="15" t="inlineStr">
        <is>
          <t xml:space="preserve">resolution id: RES-2K-018-25 | scope passage: Proverbs 25-29 | relationship: Supplementary Reading | target map: Canon Map v0.3 | target crs: CRS-2K-018 | target passage: 2 Kings 18:1-12 | placement confidence: High | status: Draft | notes: Collection heading associates the material with Hezekiah's officials. | source ids: SRC-CANON-TEXT; SRC-KINGS-OVERVIEW; SRC-CHRONICLES-OVERVIEW; SRC-HEZEKIAH; SRC-WISDOM-CANON</t>
        </is>
      </c>
    </row>
    <row r="105" ht="34" customHeight="1">
      <c r="A105" s="15" t="inlineStr">
        <is>
          <t xml:space="preserve">v0.3</t>
        </is>
      </c>
      <c r="B105" s="15" t="inlineStr">
        <is>
          <t xml:space="preserve">Bible_Journey_Canon_Map_v0_3_2Chronicles_Wisdom_2Kings.xlsx</t>
        </is>
      </c>
      <c r="C105" s="15" t="inlineStr">
        <is>
          <t xml:space="preserve">Link Ledger</t>
        </is>
      </c>
      <c r="D105" s="15" t="inlineStr">
        <is>
          <t xml:space="preserve">RES-2K-019-26</t>
        </is>
      </c>
      <c r="E105" s="15" t="inlineStr">
        <is>
          <t xml:space="preserve">2 Chronicles 32:1-23</t>
        </is>
      </c>
      <c r="F105" s="15" t="inlineStr">
        <is>
          <t xml:space="preserve">CRS-2K-019</t>
        </is>
      </c>
      <c r="G105" s="15" t="inlineStr">
        <is>
          <t xml:space="preserve">Parallel / Complementary Account</t>
        </is>
      </c>
      <c r="H105" s="15" t="inlineStr">
        <is>
          <t xml:space="preserve">High</t>
        </is>
      </c>
      <c r="I105" s="13" t="inlineStr">
        <is>
          <t xml:space="preserve">Draft</t>
        </is>
      </c>
      <c r="J105" s="15" t="inlineStr">
        <is>
          <t xml:space="preserve">SRC-CANON-TEXT; SRC-KINGS-OVERVIEW; SRC-CHRONICLES-OVERVIEW; SRC-HEZEKIAH; SRC-JUDAH; SRC-ARCHAEOLOGY-JUDAH</t>
        </is>
      </c>
      <c r="K105" s="15" t="inlineStr">
        <is>
          <t xml:space="preserve">resolution id: RES-2K-019-26 | scope passage: 2 Chronicles 32:1-23 | relationship: Parallel / Complementary Account | target map: Canon Map v0.3 | target crs: CRS-2K-019 | target passage: 2 Kings 18:13-19:37 | placement confidence: High | status: Draft | notes: Chronicles account of Sennacherib's campaign and deliverance. | source ids: SRC-CANON-TEXT; SRC-KINGS-OVERVIEW; SRC-CHRONICLES-OVERVIEW; SRC-HEZEKIAH; SRC-JUDAH; SRC-ARCHAEOLOGY-JUDAH</t>
        </is>
      </c>
    </row>
    <row r="106" ht="34" customHeight="1">
      <c r="A106" s="15" t="inlineStr">
        <is>
          <t xml:space="preserve">v0.3</t>
        </is>
      </c>
      <c r="B106" s="15" t="inlineStr">
        <is>
          <t xml:space="preserve">Bible_Journey_Canon_Map_v0_3_2Chronicles_Wisdom_2Kings.xlsx</t>
        </is>
      </c>
      <c r="C106" s="15" t="inlineStr">
        <is>
          <t xml:space="preserve">Link Ledger</t>
        </is>
      </c>
      <c r="D106" s="15" t="inlineStr">
        <is>
          <t xml:space="preserve">RES-2K-019-27</t>
        </is>
      </c>
      <c r="E106" s="15" t="inlineStr">
        <is>
          <t xml:space="preserve">Isaiah 36-37</t>
        </is>
      </c>
      <c r="F106" s="15" t="inlineStr">
        <is>
          <t xml:space="preserve">CRS-2K-019</t>
        </is>
      </c>
      <c r="G106" s="15" t="inlineStr">
        <is>
          <t xml:space="preserve">Future parallel account</t>
        </is>
      </c>
      <c r="H106" s="15" t="inlineStr">
        <is>
          <t xml:space="preserve">High</t>
        </is>
      </c>
      <c r="I106" s="13" t="inlineStr">
        <is>
          <t xml:space="preserve">Draft</t>
        </is>
      </c>
      <c r="J106" s="15" t="inlineStr">
        <is>
          <t xml:space="preserve">SRC-CANON-TEXT; SRC-KINGS-OVERVIEW; SRC-CHRONICLES-OVERVIEW; SRC-HEZEKIAH; SRC-JUDAH; SRC-ARCHAEOLOGY-JUDAH</t>
        </is>
      </c>
      <c r="K106" s="15" t="inlineStr">
        <is>
          <t xml:space="preserve">resolution id: RES-2K-019-27 | scope passage: Isaiah 36-37 | relationship: Future parallel account | target map: Future Canon Map | target crs: CRS-2K-019 | target passage: 2 Kings 18:13-19:37 | placement confidence: High | status: Draft | notes: Future map dependency; not in this scope. | source ids: SRC-CANON-TEXT; SRC-KINGS-OVERVIEW; SRC-CHRONICLES-OVERVIEW; SRC-HEZEKIAH; SRC-JUDAH; SRC-ARCHAEOLOGY-JUDAH</t>
        </is>
      </c>
    </row>
    <row r="107" ht="34" customHeight="1">
      <c r="A107" s="15" t="inlineStr">
        <is>
          <t xml:space="preserve">v0.3</t>
        </is>
      </c>
      <c r="B107" s="15" t="inlineStr">
        <is>
          <t xml:space="preserve">Bible_Journey_Canon_Map_v0_3_2Chronicles_Wisdom_2Kings.xlsx</t>
        </is>
      </c>
      <c r="C107" s="15" t="inlineStr">
        <is>
          <t xml:space="preserve">Link Ledger</t>
        </is>
      </c>
      <c r="D107" s="15" t="inlineStr">
        <is>
          <t xml:space="preserve">RES-2K-020-28</t>
        </is>
      </c>
      <c r="E107" s="15" t="inlineStr">
        <is>
          <t xml:space="preserve">2 Chronicles 32:24-31</t>
        </is>
      </c>
      <c r="F107" s="15" t="inlineStr">
        <is>
          <t xml:space="preserve">CRS-2K-020</t>
        </is>
      </c>
      <c r="G107" s="15" t="inlineStr">
        <is>
          <t xml:space="preserve">Complementary Account</t>
        </is>
      </c>
      <c r="H107" s="15" t="inlineStr">
        <is>
          <t xml:space="preserve">Debated</t>
        </is>
      </c>
      <c r="I107" s="13" t="inlineStr">
        <is>
          <t xml:space="preserve">Draft</t>
        </is>
      </c>
      <c r="J107" s="15" t="inlineStr">
        <is>
          <t xml:space="preserve">SRC-CANON-TEXT; SRC-KINGS-OVERVIEW; SRC-CHRONICLES-OVERVIEW; SRC-HEZEKIAH; SRC-ISAIAH</t>
        </is>
      </c>
      <c r="K107" s="15" t="inlineStr">
        <is>
          <t xml:space="preserve">resolution id: RES-2K-020-28 | scope passage: 2 Chronicles 32:24-31 | relationship: Complementary Account | target map: Canon Map v0.3 | target crs: CRS-2K-020 | target passage: 2 Kings 20 | placement confidence: Debated | status: Draft | notes: Chronicles' illness/envoy material. | source ids: SRC-CANON-TEXT; SRC-KINGS-OVERVIEW; SRC-CHRONICLES-OVERVIEW; SRC-HEZEKIAH; SRC-ISAIAH</t>
        </is>
      </c>
    </row>
    <row r="108" ht="34" customHeight="1">
      <c r="A108" s="15" t="inlineStr">
        <is>
          <t xml:space="preserve">v0.3</t>
        </is>
      </c>
      <c r="B108" s="15" t="inlineStr">
        <is>
          <t xml:space="preserve">Bible_Journey_Canon_Map_v0_3_2Chronicles_Wisdom_2Kings.xlsx</t>
        </is>
      </c>
      <c r="C108" s="15" t="inlineStr">
        <is>
          <t xml:space="preserve">Link Ledger</t>
        </is>
      </c>
      <c r="D108" s="15" t="inlineStr">
        <is>
          <t xml:space="preserve">RES-2K-020-29</t>
        </is>
      </c>
      <c r="E108" s="15" t="inlineStr">
        <is>
          <t xml:space="preserve">Isaiah 38-39</t>
        </is>
      </c>
      <c r="F108" s="15" t="inlineStr">
        <is>
          <t xml:space="preserve">CRS-2K-020</t>
        </is>
      </c>
      <c r="G108" s="15" t="inlineStr">
        <is>
          <t xml:space="preserve">Future parallel account</t>
        </is>
      </c>
      <c r="H108" s="15" t="inlineStr">
        <is>
          <t xml:space="preserve">Debated</t>
        </is>
      </c>
      <c r="I108" s="13" t="inlineStr">
        <is>
          <t xml:space="preserve">Draft</t>
        </is>
      </c>
      <c r="J108" s="15" t="inlineStr">
        <is>
          <t xml:space="preserve">SRC-CANON-TEXT; SRC-KINGS-OVERVIEW; SRC-CHRONICLES-OVERVIEW; SRC-HEZEKIAH; SRC-ISAIAH</t>
        </is>
      </c>
      <c r="K108" s="15" t="inlineStr">
        <is>
          <t xml:space="preserve">resolution id: RES-2K-020-29 | scope passage: Isaiah 38-39 | relationship: Future parallel account | target map: Future Canon Map | target crs: CRS-2K-020 | target passage: 2 Kings 20 | placement confidence: Debated | status: Draft | notes: Future map dependency; not in this scope. | source ids: SRC-CANON-TEXT; SRC-KINGS-OVERVIEW; SRC-CHRONICLES-OVERVIEW; SRC-HEZEKIAH; SRC-ISAIAH</t>
        </is>
      </c>
    </row>
    <row r="109" ht="34" customHeight="1">
      <c r="A109" s="15" t="inlineStr">
        <is>
          <t xml:space="preserve">v0.3</t>
        </is>
      </c>
      <c r="B109" s="15" t="inlineStr">
        <is>
          <t xml:space="preserve">Bible_Journey_Canon_Map_v0_3_2Chronicles_Wisdom_2Kings.xlsx</t>
        </is>
      </c>
      <c r="C109" s="15" t="inlineStr">
        <is>
          <t xml:space="preserve">Link Ledger</t>
        </is>
      </c>
      <c r="D109" s="15" t="inlineStr">
        <is>
          <t xml:space="preserve">RES-2K-021-30</t>
        </is>
      </c>
      <c r="E109" s="15" t="inlineStr">
        <is>
          <t xml:space="preserve">2 Chronicles 33</t>
        </is>
      </c>
      <c r="F109" s="15" t="inlineStr">
        <is>
          <t xml:space="preserve">CRS-2K-021</t>
        </is>
      </c>
      <c r="G109" s="15" t="inlineStr">
        <is>
          <t xml:space="preserve">Parallel / Complementary Account</t>
        </is>
      </c>
      <c r="H109" s="15" t="inlineStr">
        <is>
          <t xml:space="preserve">High</t>
        </is>
      </c>
      <c r="I109" s="13" t="inlineStr">
        <is>
          <t xml:space="preserve">Draft</t>
        </is>
      </c>
      <c r="J109" s="15" t="inlineStr">
        <is>
          <t xml:space="preserve">SRC-CANON-TEXT; SRC-KINGS-OVERVIEW; SRC-CHRONICLES-OVERVIEW; SRC-MANASSEH</t>
        </is>
      </c>
      <c r="K109" s="15" t="inlineStr">
        <is>
          <t xml:space="preserve">resolution id: RES-2K-021-30 | scope passage: 2 Chronicles 33 | relationship: Parallel / Complementary Account | target map: Canon Map v0.3 | target crs: CRS-2K-021 | target passage: 2 Kings 21 | placement confidence: High | status: Draft | notes: Chronicles account includes captivity and repentance material not in Kings. | source ids: SRC-CANON-TEXT; SRC-KINGS-OVERVIEW; SRC-CHRONICLES-OVERVIEW; SRC-MANASSEH</t>
        </is>
      </c>
    </row>
    <row r="110" ht="34" customHeight="1">
      <c r="A110" s="15" t="inlineStr">
        <is>
          <t xml:space="preserve">v0.3</t>
        </is>
      </c>
      <c r="B110" s="15" t="inlineStr">
        <is>
          <t xml:space="preserve">Bible_Journey_Canon_Map_v0_3_2Chronicles_Wisdom_2Kings.xlsx</t>
        </is>
      </c>
      <c r="C110" s="15" t="inlineStr">
        <is>
          <t xml:space="preserve">Link Ledger</t>
        </is>
      </c>
      <c r="D110" s="15" t="inlineStr">
        <is>
          <t xml:space="preserve">RES-2K-022-31</t>
        </is>
      </c>
      <c r="E110" s="15" t="inlineStr">
        <is>
          <t xml:space="preserve">2 Chronicles 34</t>
        </is>
      </c>
      <c r="F110" s="15" t="inlineStr">
        <is>
          <t xml:space="preserve">CRS-2K-022</t>
        </is>
      </c>
      <c r="G110" s="15" t="inlineStr">
        <is>
          <t xml:space="preserve">Parallel / Complementary Account</t>
        </is>
      </c>
      <c r="H110" s="15" t="inlineStr">
        <is>
          <t xml:space="preserve">High</t>
        </is>
      </c>
      <c r="I110" s="13" t="inlineStr">
        <is>
          <t xml:space="preserve">Draft</t>
        </is>
      </c>
      <c r="J110" s="15" t="inlineStr">
        <is>
          <t xml:space="preserve">SRC-CANON-TEXT; SRC-KINGS-OVERVIEW; SRC-CHRONICLES-OVERVIEW; SRC-JUDAH</t>
        </is>
      </c>
      <c r="K110" s="15" t="inlineStr">
        <is>
          <t xml:space="preserve">resolution id: RES-2K-022-31 | scope passage: 2 Chronicles 34 | relationship: Parallel / Complementary Account | target map: Canon Map v0.3 | target crs: CRS-2K-022 | target passage: 2 Kings 22 | placement confidence: High | status: Draft | notes: Chronicles account of Josiah's reforms and discovery of the book. | source ids: SRC-CANON-TEXT; SRC-KINGS-OVERVIEW; SRC-CHRONICLES-OVERVIEW; SRC-JUDAH</t>
        </is>
      </c>
    </row>
    <row r="111" ht="34" customHeight="1">
      <c r="A111" s="15" t="inlineStr">
        <is>
          <t xml:space="preserve">v0.3</t>
        </is>
      </c>
      <c r="B111" s="15" t="inlineStr">
        <is>
          <t xml:space="preserve">Bible_Journey_Canon_Map_v0_3_2Chronicles_Wisdom_2Kings.xlsx</t>
        </is>
      </c>
      <c r="C111" s="15" t="inlineStr">
        <is>
          <t xml:space="preserve">Link Ledger</t>
        </is>
      </c>
      <c r="D111" s="15" t="inlineStr">
        <is>
          <t xml:space="preserve">RES-2K-023-32</t>
        </is>
      </c>
      <c r="E111" s="15" t="inlineStr">
        <is>
          <t xml:space="preserve">2 Chronicles 35</t>
        </is>
      </c>
      <c r="F111" s="15" t="inlineStr">
        <is>
          <t xml:space="preserve">CRS-2K-023</t>
        </is>
      </c>
      <c r="G111" s="15" t="inlineStr">
        <is>
          <t xml:space="preserve">Parallel / Complementary Account</t>
        </is>
      </c>
      <c r="H111" s="15" t="inlineStr">
        <is>
          <t xml:space="preserve">High</t>
        </is>
      </c>
      <c r="I111" s="13" t="inlineStr">
        <is>
          <t xml:space="preserve">Draft</t>
        </is>
      </c>
      <c r="J111" s="15" t="inlineStr">
        <is>
          <t xml:space="preserve">SRC-CANON-TEXT; SRC-KINGS-OVERVIEW; SRC-CHRONICLES-OVERVIEW; SRC-JUDAH</t>
        </is>
      </c>
      <c r="K111" s="15" t="inlineStr">
        <is>
          <t xml:space="preserve">resolution id: RES-2K-023-32 | scope passage: 2 Chronicles 35 | relationship: Parallel / Complementary Account | target map: Canon Map v0.3 | target crs: CRS-2K-023 | target passage: 2 Kings 23:1-30 | placement confidence: High | status: Draft | notes: Chronicles' Passover and Josiah death account. | source ids: SRC-CANON-TEXT; SRC-KINGS-OVERVIEW; SRC-CHRONICLES-OVERVIEW; SRC-JUDAH</t>
        </is>
      </c>
    </row>
    <row r="112" ht="34" customHeight="1">
      <c r="A112" s="15" t="inlineStr">
        <is>
          <t xml:space="preserve">v0.3</t>
        </is>
      </c>
      <c r="B112" s="15" t="inlineStr">
        <is>
          <t xml:space="preserve">Bible_Journey_Canon_Map_v0_3_2Chronicles_Wisdom_2Kings.xlsx</t>
        </is>
      </c>
      <c r="C112" s="15" t="inlineStr">
        <is>
          <t xml:space="preserve">Link Ledger</t>
        </is>
      </c>
      <c r="D112" s="15" t="inlineStr">
        <is>
          <t xml:space="preserve">RES-2K-024-33</t>
        </is>
      </c>
      <c r="E112" s="15" t="inlineStr">
        <is>
          <t xml:space="preserve">2 Chronicles 36:1-21</t>
        </is>
      </c>
      <c r="F112" s="15" t="inlineStr">
        <is>
          <t xml:space="preserve">CRS-2K-024</t>
        </is>
      </c>
      <c r="G112" s="15" t="inlineStr">
        <is>
          <t xml:space="preserve">Parallel / Complementary Account</t>
        </is>
      </c>
      <c r="H112" s="15" t="inlineStr">
        <is>
          <t xml:space="preserve">High</t>
        </is>
      </c>
      <c r="I112" s="13" t="inlineStr">
        <is>
          <t xml:space="preserve">Draft</t>
        </is>
      </c>
      <c r="J112" s="15" t="inlineStr">
        <is>
          <t xml:space="preserve">SRC-CANON-TEXT; SRC-KINGS-OVERVIEW; SRC-CHRONICLES-OVERVIEW; SRC-JUDAH; SRC-KINGS-TIMELINE</t>
        </is>
      </c>
      <c r="K112" s="15" t="inlineStr">
        <is>
          <t xml:space="preserve">resolution id: RES-2K-024-33 | scope passage: 2 Chronicles 36:1-21 | relationship: Parallel / Complementary Account | target map: Canon Map v0.3 | target crs: CRS-2K-024 | target passage: 2 Kings 23:31-24:20 | placement confidence: High | status: Draft | notes: Chronicles' final kings and exile account. | source ids: SRC-CANON-TEXT; SRC-KINGS-OVERVIEW; SRC-CHRONICLES-OVERVIEW; SRC-JUDAH; SRC-KINGS-TIMELINE</t>
        </is>
      </c>
    </row>
    <row r="113" ht="34" customHeight="1">
      <c r="A113" s="15" t="inlineStr">
        <is>
          <t xml:space="preserve">v0.3</t>
        </is>
      </c>
      <c r="B113" s="15" t="inlineStr">
        <is>
          <t xml:space="preserve">Bible_Journey_Canon_Map_v0_3_2Chronicles_Wisdom_2Kings.xlsx</t>
        </is>
      </c>
      <c r="C113" s="15" t="inlineStr">
        <is>
          <t xml:space="preserve">Link Ledger</t>
        </is>
      </c>
      <c r="D113" s="15" t="inlineStr">
        <is>
          <t xml:space="preserve">RES-2K-025-34</t>
        </is>
      </c>
      <c r="E113" s="15" t="inlineStr">
        <is>
          <t xml:space="preserve">2 Chronicles 36:22-23</t>
        </is>
      </c>
      <c r="F113" s="15" t="inlineStr">
        <is>
          <t xml:space="preserve">CRS-2K-025</t>
        </is>
      </c>
      <c r="G113" s="15" t="inlineStr">
        <is>
          <t xml:space="preserve">Supplementary Reading</t>
        </is>
      </c>
      <c r="H113" s="15" t="inlineStr">
        <is>
          <t xml:space="preserve">High</t>
        </is>
      </c>
      <c r="I113" s="13" t="inlineStr">
        <is>
          <t xml:space="preserve">Draft</t>
        </is>
      </c>
      <c r="J113" s="15" t="inlineStr">
        <is>
          <t xml:space="preserve">SRC-CANON-TEXT; SRC-KINGS-OVERVIEW; SRC-CHRONICLES-OVERVIEW; SRC-JUDAH; SRC-KINGS-TIMELINE</t>
        </is>
      </c>
      <c r="K113" s="15" t="inlineStr">
        <is>
          <t xml:space="preserve">resolution id: RES-2K-025-34 | scope passage: 2 Chronicles 36:22-23 | relationship: Supplementary Reading | target map: Canon Map v0.3 | target crs: CRS-2K-025 | target passage: 2 Kings 25 | placement confidence: High | status: Draft | notes: Cyrus bridge to the return / Ezra. | source ids: SRC-CANON-TEXT; SRC-KINGS-OVERVIEW; SRC-CHRONICLES-OVERVIEW; SRC-JUDAH; SRC-KINGS-TIMELINE</t>
        </is>
      </c>
    </row>
    <row r="114" ht="34" customHeight="1">
      <c r="A114" s="15" t="inlineStr">
        <is>
          <t xml:space="preserve">v0.3</t>
        </is>
      </c>
      <c r="B114" s="15" t="inlineStr">
        <is>
          <t xml:space="preserve">Bible_Journey_Canon_Map_v0_3_2Chronicles_Wisdom_2Kings.xlsx</t>
        </is>
      </c>
      <c r="C114" s="15" t="inlineStr">
        <is>
          <t xml:space="preserve">Link Ledger</t>
        </is>
      </c>
      <c r="D114" s="15" t="inlineStr">
        <is>
          <t xml:space="preserve">RES-WIS-HEZ-001</t>
        </is>
      </c>
      <c r="E114" s="15" t="inlineStr">
        <is>
          <t xml:space="preserve">Proverbs 25-29</t>
        </is>
      </c>
      <c r="F114" s="15" t="inlineStr">
        <is>
          <t xml:space="preserve">CRS-2K-018</t>
        </is>
      </c>
      <c r="G114" s="15" t="inlineStr">
        <is>
          <t xml:space="preserve">Collection / editorial context</t>
        </is>
      </c>
      <c r="H114" s="15" t="inlineStr">
        <is>
          <t xml:space="preserve">Probable</t>
        </is>
      </c>
      <c r="I114" s="13" t="inlineStr">
        <is>
          <t xml:space="preserve">Draft</t>
        </is>
      </c>
      <c r="J114" s="15" t="inlineStr">
        <is>
          <t xml:space="preserve">SRC-CANON-TEXT; SRC-WISDOM-CANON; SRC-WHO-WROTE</t>
        </is>
      </c>
      <c r="K114" s="15" t="inlineStr">
        <is>
          <t xml:space="preserve">resolution id: RES-WIS-HEZ-001 | scope passage: Proverbs 25-29 | relationship: Collection / editorial context | target map: Canon Map v0.3 | target crs: CRS-2K-018 | target passage: 2 Kings 18:1-12; 2 Chronicles 29-31 | placement confidence: Probable | status: Draft | notes: The heading in Proverbs 25:1 supports a Hezekian collection association, not a composition date for every proverb. | source ids: SRC-CANON-TEXT; SRC-WISDOM-CANON; SRC-WHO-WROTE</t>
        </is>
      </c>
    </row>
    <row r="115" ht="34" customHeight="1">
      <c r="A115" s="15" t="inlineStr">
        <is>
          <t xml:space="preserve">v0.3</t>
        </is>
      </c>
      <c r="B115" s="15" t="inlineStr">
        <is>
          <t xml:space="preserve">Bible_Journey_Canon_Map_v0_3_2Chronicles_Wisdom_2Kings.xlsx</t>
        </is>
      </c>
      <c r="C115" s="15" t="inlineStr">
        <is>
          <t xml:space="preserve">Integration Resolution</t>
        </is>
      </c>
      <c r="D115" s="15" t="inlineStr">
        <is>
          <t xml:space="preserve">RES-BR-2CH-001</t>
        </is>
      </c>
      <c r="E115" s="15" t="inlineStr">
        <is>
          <t xml:space="preserve">2 Chronicles 1</t>
        </is>
      </c>
      <c r="F115" s="15" t="inlineStr">
        <is>
          <t xml:space="preserve">Canon Map v0.2</t>
        </is>
      </c>
      <c r="G115" s="15" t="inlineStr">
        <is>
          <t xml:space="preserve">Complementary Account</t>
        </is>
      </c>
      <c r="H115" s="15" t="inlineStr">
        <is>
          <t xml:space="preserve">High</t>
        </is>
      </c>
      <c r="I115" s="13" t="inlineStr">
        <is>
          <t xml:space="preserve">Draft</t>
        </is>
      </c>
      <c r="J115" s="15" t="inlineStr">
        <is>
          <t xml:space="preserve">SRC-CANON-TEXT; SRC-CHRONICLES-OVERVIEW; SRC-KINGS-OVERVIEW</t>
        </is>
      </c>
      <c r="K115" s="15" t="inlineStr">
        <is>
          <t xml:space="preserve">resolution id: RES-BR-2CH-001 | scope passage: 2 Chronicles 1 | relationship: Complementary Account | target map: Canon Map v0.2 | target crs / final home: Canon Map v0.2 / 1 Kings 3 | target passage: 1 Kings 3 | placement confidence: High | status: Draft | full stream behavior: Complete Chronological Reading appends this intact block inside the linked Kings event. | narrative flow behavior: Narrative Flow shows the primary Kings reading first; this account remains pending if not opened. | compare behavior: Where the relationship is close, provide account-level comparison without merged text. | notes: Chronicles retells Solomon's worship at Gibeon and request for wisdom with its own framing. | source ids: SRC-CANON-TEXT; SRC-CHRONICLES-OVERVIEW; SRC-KINGS-OVERVIEW | owner: Editorial</t>
        </is>
      </c>
    </row>
    <row r="116" ht="34" customHeight="1">
      <c r="A116" s="15" t="inlineStr">
        <is>
          <t xml:space="preserve">v0.3</t>
        </is>
      </c>
      <c r="B116" s="15" t="inlineStr">
        <is>
          <t xml:space="preserve">Bible_Journey_Canon_Map_v0_3_2Chronicles_Wisdom_2Kings.xlsx</t>
        </is>
      </c>
      <c r="C116" s="15" t="inlineStr">
        <is>
          <t xml:space="preserve">Integration Resolution</t>
        </is>
      </c>
      <c r="D116" s="15" t="inlineStr">
        <is>
          <t xml:space="preserve">RES-BR-2CH-002</t>
        </is>
      </c>
      <c r="E116" s="15" t="inlineStr">
        <is>
          <t xml:space="preserve">2 Chronicles 2-4</t>
        </is>
      </c>
      <c r="F116" s="15" t="inlineStr">
        <is>
          <t xml:space="preserve">Canon Map v0.2</t>
        </is>
      </c>
      <c r="G116" s="15" t="inlineStr">
        <is>
          <t xml:space="preserve">Complementary Account</t>
        </is>
      </c>
      <c r="H116" s="15" t="inlineStr">
        <is>
          <t xml:space="preserve">High</t>
        </is>
      </c>
      <c r="I116" s="13" t="inlineStr">
        <is>
          <t xml:space="preserve">Draft</t>
        </is>
      </c>
      <c r="J116" s="15" t="inlineStr">
        <is>
          <t xml:space="preserve">SRC-CANON-TEXT; SRC-CHRONICLES-OVERVIEW; SRC-KINGS-OVERVIEW</t>
        </is>
      </c>
      <c r="K116" s="15" t="inlineStr">
        <is>
          <t xml:space="preserve">resolution id: RES-BR-2CH-002 | scope passage: 2 Chronicles 2-4 | relationship: Complementary Account | target map: Canon Map v0.2 | target crs / final home: Canon Map v0.2 / 1 Kings 5-7 | target passage: 1 Kings 5-7 | placement confidence: High | status: Draft | full stream behavior: Complete Chronological Reading appends this intact block inside the linked Kings event. | narrative flow behavior: Narrative Flow shows the primary Kings reading first; this account remains pending if not opened. | compare behavior: Where the relationship is close, provide account-level comparison without merged text. | notes: Chronicles expands the temple workforce, materials, furnishings, and dedication preparation. | source ids: SRC-CANON-TEXT; SRC-CHRONICLES-OVERVIEW; SRC-KINGS-OVERVIEW | owner: Editorial</t>
        </is>
      </c>
    </row>
    <row r="117" ht="34" customHeight="1">
      <c r="A117" s="15" t="inlineStr">
        <is>
          <t xml:space="preserve">v0.3</t>
        </is>
      </c>
      <c r="B117" s="15" t="inlineStr">
        <is>
          <t xml:space="preserve">Bible_Journey_Canon_Map_v0_3_2Chronicles_Wisdom_2Kings.xlsx</t>
        </is>
      </c>
      <c r="C117" s="15" t="inlineStr">
        <is>
          <t xml:space="preserve">Integration Resolution</t>
        </is>
      </c>
      <c r="D117" s="15" t="inlineStr">
        <is>
          <t xml:space="preserve">RES-BR-2CH-003</t>
        </is>
      </c>
      <c r="E117" s="15" t="inlineStr">
        <is>
          <t xml:space="preserve">2 Chronicles 5-7</t>
        </is>
      </c>
      <c r="F117" s="15" t="inlineStr">
        <is>
          <t xml:space="preserve">Canon Map v0.2</t>
        </is>
      </c>
      <c r="G117" s="15" t="inlineStr">
        <is>
          <t xml:space="preserve">Complementary Account</t>
        </is>
      </c>
      <c r="H117" s="15" t="inlineStr">
        <is>
          <t xml:space="preserve">High</t>
        </is>
      </c>
      <c r="I117" s="13" t="inlineStr">
        <is>
          <t xml:space="preserve">Draft</t>
        </is>
      </c>
      <c r="J117" s="15" t="inlineStr">
        <is>
          <t xml:space="preserve">SRC-CANON-TEXT; SRC-CHRONICLES-OVERVIEW; SRC-KINGS-OVERVIEW</t>
        </is>
      </c>
      <c r="K117" s="15" t="inlineStr">
        <is>
          <t xml:space="preserve">resolution id: RES-BR-2CH-003 | scope passage: 2 Chronicles 5-7 | relationship: Complementary Account | target map: Canon Map v0.2 | target crs / final home: Canon Map v0.2 / 1 Kings 8-9 | target passage: 1 Kings 8-9 | placement confidence: High | status: Draft | full stream behavior: Complete Chronological Reading appends this intact block inside the linked Kings event. | narrative flow behavior: Narrative Flow shows the primary Kings reading first; this account remains pending if not opened. | compare behavior: Where the relationship is close, provide account-level comparison without merged text. | notes: Chronicles presents the dedication, Solomon's prayer, fire, feast, and divine response with distinct emphases. | source ids: SRC-CANON-TEXT; SRC-CHRONICLES-OVERVIEW; SRC-KINGS-OVERVIEW | owner: Editorial</t>
        </is>
      </c>
    </row>
    <row r="118" ht="34" customHeight="1">
      <c r="A118" s="15" t="inlineStr">
        <is>
          <t xml:space="preserve">v0.3</t>
        </is>
      </c>
      <c r="B118" s="15" t="inlineStr">
        <is>
          <t xml:space="preserve">Bible_Journey_Canon_Map_v0_3_2Chronicles_Wisdom_2Kings.xlsx</t>
        </is>
      </c>
      <c r="C118" s="15" t="inlineStr">
        <is>
          <t xml:space="preserve">Integration Resolution</t>
        </is>
      </c>
      <c r="D118" s="15" t="inlineStr">
        <is>
          <t xml:space="preserve">RES-BR-2CH-004</t>
        </is>
      </c>
      <c r="E118" s="15" t="inlineStr">
        <is>
          <t xml:space="preserve">2 Chronicles 8</t>
        </is>
      </c>
      <c r="F118" s="15" t="inlineStr">
        <is>
          <t xml:space="preserve">Canon Map v0.2</t>
        </is>
      </c>
      <c r="G118" s="15" t="inlineStr">
        <is>
          <t xml:space="preserve">Complementary Account</t>
        </is>
      </c>
      <c r="H118" s="15" t="inlineStr">
        <is>
          <t xml:space="preserve">High</t>
        </is>
      </c>
      <c r="I118" s="13" t="inlineStr">
        <is>
          <t xml:space="preserve">Draft</t>
        </is>
      </c>
      <c r="J118" s="15" t="inlineStr">
        <is>
          <t xml:space="preserve">SRC-CANON-TEXT; SRC-CHRONICLES-OVERVIEW; SRC-KINGS-OVERVIEW</t>
        </is>
      </c>
      <c r="K118" s="15" t="inlineStr">
        <is>
          <t xml:space="preserve">resolution id: RES-BR-2CH-004 | scope passage: 2 Chronicles 8 | relationship: Complementary Account | target map: Canon Map v0.2 | target crs / final home: Canon Map v0.2 / 1 Kings 9 | target passage: 1 Kings 9 | placement confidence: High | status: Draft | full stream behavior: Complete Chronological Reading appends this intact block inside the linked Kings event. | narrative flow behavior: Narrative Flow shows the primary Kings reading first; this account remains pending if not opened. | compare behavior: Where the relationship is close, provide account-level comparison without merged text. | notes: Chronicles pairs building projects with worship administration and international trade. | source ids: SRC-CANON-TEXT; SRC-CHRONICLES-OVERVIEW; SRC-KINGS-OVERVIEW | owner: Editorial</t>
        </is>
      </c>
    </row>
    <row r="119" ht="34" customHeight="1">
      <c r="A119" s="15" t="inlineStr">
        <is>
          <t xml:space="preserve">v0.3</t>
        </is>
      </c>
      <c r="B119" s="15" t="inlineStr">
        <is>
          <t xml:space="preserve">Bible_Journey_Canon_Map_v0_3_2Chronicles_Wisdom_2Kings.xlsx</t>
        </is>
      </c>
      <c r="C119" s="15" t="inlineStr">
        <is>
          <t xml:space="preserve">Integration Resolution</t>
        </is>
      </c>
      <c r="D119" s="15" t="inlineStr">
        <is>
          <t xml:space="preserve">RES-BR-2CH-005</t>
        </is>
      </c>
      <c r="E119" s="15" t="inlineStr">
        <is>
          <t xml:space="preserve">2 Chronicles 9</t>
        </is>
      </c>
      <c r="F119" s="15" t="inlineStr">
        <is>
          <t xml:space="preserve">Canon Map v0.2</t>
        </is>
      </c>
      <c r="G119" s="15" t="inlineStr">
        <is>
          <t xml:space="preserve">Complementary Account</t>
        </is>
      </c>
      <c r="H119" s="15" t="inlineStr">
        <is>
          <t xml:space="preserve">High</t>
        </is>
      </c>
      <c r="I119" s="13" t="inlineStr">
        <is>
          <t xml:space="preserve">Draft</t>
        </is>
      </c>
      <c r="J119" s="15" t="inlineStr">
        <is>
          <t xml:space="preserve">SRC-CANON-TEXT; SRC-CHRONICLES-OVERVIEW; SRC-KINGS-OVERVIEW</t>
        </is>
      </c>
      <c r="K119" s="15" t="inlineStr">
        <is>
          <t xml:space="preserve">resolution id: RES-BR-2CH-005 | scope passage: 2 Chronicles 9 | relationship: Complementary Account | target map: Canon Map v0.2 | target crs / final home: Canon Map v0.2 / 1 Kings 10-11 | target passage: 1 Kings 10-11 | placement confidence: High | status: Draft | full stream behavior: Complete Chronological Reading appends this intact block inside the linked Kings event. | narrative flow behavior: Narrative Flow shows the primary Kings reading first; this account remains pending if not opened. | compare behavior: Where the relationship is close, provide account-level comparison without merged text. | notes: Chronicles narrates the visit of the Queen of Sheba, wealth, and Solomon's death; it omits much of Kings' negative assessment. | source ids: SRC-CANON-TEXT; SRC-CHRONICLES-OVERVIEW; SRC-KINGS-OVERVIEW | owner: Editorial</t>
        </is>
      </c>
    </row>
    <row r="120" ht="34" customHeight="1">
      <c r="A120" s="15" t="inlineStr">
        <is>
          <t xml:space="preserve">v0.3</t>
        </is>
      </c>
      <c r="B120" s="15" t="inlineStr">
        <is>
          <t xml:space="preserve">Bible_Journey_Canon_Map_v0_3_2Chronicles_Wisdom_2Kings.xlsx</t>
        </is>
      </c>
      <c r="C120" s="15" t="inlineStr">
        <is>
          <t xml:space="preserve">Integration Resolution</t>
        </is>
      </c>
      <c r="D120" s="15" t="inlineStr">
        <is>
          <t xml:space="preserve">RES-BR-2CH-006</t>
        </is>
      </c>
      <c r="E120" s="15" t="inlineStr">
        <is>
          <t xml:space="preserve">2 Chronicles 10</t>
        </is>
      </c>
      <c r="F120" s="15" t="inlineStr">
        <is>
          <t xml:space="preserve">Canon Map v0.2</t>
        </is>
      </c>
      <c r="G120" s="15" t="inlineStr">
        <is>
          <t xml:space="preserve">Parallel Account</t>
        </is>
      </c>
      <c r="H120" s="15" t="inlineStr">
        <is>
          <t xml:space="preserve">High</t>
        </is>
      </c>
      <c r="I120" s="13" t="inlineStr">
        <is>
          <t xml:space="preserve">Draft</t>
        </is>
      </c>
      <c r="J120" s="15" t="inlineStr">
        <is>
          <t xml:space="preserve">SRC-CANON-TEXT; SRC-CHRONICLES-OVERVIEW; SRC-KINGS-OVERVIEW</t>
        </is>
      </c>
      <c r="K120" s="15" t="inlineStr">
        <is>
          <t xml:space="preserve">resolution id: RES-BR-2CH-006 | scope passage: 2 Chronicles 10 | relationship: Parallel Account | target map: Canon Map v0.2 | target crs / final home: Canon Map v0.2 / 1 Kings 12:1-24 | target passage: 1 Kings 12:1-24 | placement confidence: High | status: Draft | full stream behavior: Complete Chronological Reading appends this intact block inside the linked Kings event. | narrative flow behavior: Narrative Flow shows the primary Kings reading first; this account remains pending if not opened. | compare behavior: Where the relationship is close, provide account-level comparison without merged text. | notes: Chronicles' division account parallels the early Rehoboam narrative in Kings. | source ids: SRC-CANON-TEXT; SRC-CHRONICLES-OVERVIEW; SRC-KINGS-OVERVIEW | owner: Editorial</t>
        </is>
      </c>
    </row>
    <row r="121" ht="34" customHeight="1">
      <c r="A121" s="15" t="inlineStr">
        <is>
          <t xml:space="preserve">v0.3</t>
        </is>
      </c>
      <c r="B121" s="15" t="inlineStr">
        <is>
          <t xml:space="preserve">Bible_Journey_Canon_Map_v0_3_2Chronicles_Wisdom_2Kings.xlsx</t>
        </is>
      </c>
      <c r="C121" s="15" t="inlineStr">
        <is>
          <t xml:space="preserve">Integration Resolution</t>
        </is>
      </c>
      <c r="D121" s="15" t="inlineStr">
        <is>
          <t xml:space="preserve">RES-BR-2CH-007</t>
        </is>
      </c>
      <c r="E121" s="15" t="inlineStr">
        <is>
          <t xml:space="preserve">2 Chronicles 11</t>
        </is>
      </c>
      <c r="F121" s="15" t="inlineStr">
        <is>
          <t xml:space="preserve">Canon Map v0.2</t>
        </is>
      </c>
      <c r="G121" s="15" t="inlineStr">
        <is>
          <t xml:space="preserve">Complementary Account</t>
        </is>
      </c>
      <c r="H121" s="15" t="inlineStr">
        <is>
          <t xml:space="preserve">High</t>
        </is>
      </c>
      <c r="I121" s="13" t="inlineStr">
        <is>
          <t xml:space="preserve">Draft</t>
        </is>
      </c>
      <c r="J121" s="15" t="inlineStr">
        <is>
          <t xml:space="preserve">SRC-CANON-TEXT; SRC-CHRONICLES-OVERVIEW</t>
        </is>
      </c>
      <c r="K121" s="15" t="inlineStr">
        <is>
          <t xml:space="preserve">resolution id: RES-BR-2CH-007 | scope passage: 2 Chronicles 11 | relationship: Complementary Account | target map: Canon Map v0.2 | target crs / final home: Canon Map v0.2 / Rehoboam window | target passage: Rehoboam window | placement confidence: High | status: Draft | full stream behavior: Complete Chronological Reading appends this intact block inside the linked Kings event. | narrative flow behavior: Narrative Flow shows the primary Kings reading first; this account remains pending if not opened. | compare behavior: Where the relationship is close, provide account-level comparison without merged text. | notes: Chronicles adds fortifications, migration, and domestic material not presented in the same way in Kings. | source ids: SRC-CANON-TEXT; SRC-CHRONICLES-OVERVIEW | owner: Editorial</t>
        </is>
      </c>
    </row>
    <row r="122" ht="34" customHeight="1">
      <c r="A122" s="15" t="inlineStr">
        <is>
          <t xml:space="preserve">v0.3</t>
        </is>
      </c>
      <c r="B122" s="15" t="inlineStr">
        <is>
          <t xml:space="preserve">Bible_Journey_Canon_Map_v0_3_2Chronicles_Wisdom_2Kings.xlsx</t>
        </is>
      </c>
      <c r="C122" s="15" t="inlineStr">
        <is>
          <t xml:space="preserve">Integration Resolution</t>
        </is>
      </c>
      <c r="D122" s="15" t="inlineStr">
        <is>
          <t xml:space="preserve">RES-BR-2CH-008</t>
        </is>
      </c>
      <c r="E122" s="15" t="inlineStr">
        <is>
          <t xml:space="preserve">2 Chronicles 12</t>
        </is>
      </c>
      <c r="F122" s="15" t="inlineStr">
        <is>
          <t xml:space="preserve">Canon Map v0.2</t>
        </is>
      </c>
      <c r="G122" s="15" t="inlineStr">
        <is>
          <t xml:space="preserve">Complementary Account</t>
        </is>
      </c>
      <c r="H122" s="15" t="inlineStr">
        <is>
          <t xml:space="preserve">High</t>
        </is>
      </c>
      <c r="I122" s="13" t="inlineStr">
        <is>
          <t xml:space="preserve">Draft</t>
        </is>
      </c>
      <c r="J122" s="15" t="inlineStr">
        <is>
          <t xml:space="preserve">SRC-CANON-TEXT; SRC-CHRONICLES-OVERVIEW; SRC-KINGS-OVERVIEW</t>
        </is>
      </c>
      <c r="K122" s="15" t="inlineStr">
        <is>
          <t xml:space="preserve">resolution id: RES-BR-2CH-008 | scope passage: 2 Chronicles 12 | relationship: Complementary Account | target map: Canon Map v0.2 | target crs / final home: Canon Map v0.2 / 1 Kings 14:25-28 | target passage: 1 Kings 14:25-28 | placement confidence: High | status: Draft | full stream behavior: Complete Chronological Reading appends this intact block inside the linked Kings event. | narrative flow behavior: Narrative Flow shows the primary Kings reading first; this account remains pending if not opened. | compare behavior: Where the relationship is close, provide account-level comparison without merged text. | notes: Chronicles gives a fuller theological and narrative presentation of the Shishak invasion. | source ids: SRC-CANON-TEXT; SRC-CHRONICLES-OVERVIEW; SRC-KINGS-OVERVIEW | owner: Editorial</t>
        </is>
      </c>
    </row>
    <row r="123" ht="34" customHeight="1">
      <c r="A123" s="15" t="inlineStr">
        <is>
          <t xml:space="preserve">v0.3</t>
        </is>
      </c>
      <c r="B123" s="15" t="inlineStr">
        <is>
          <t xml:space="preserve">Bible_Journey_Canon_Map_v0_3_2Chronicles_Wisdom_2Kings.xlsx</t>
        </is>
      </c>
      <c r="C123" s="15" t="inlineStr">
        <is>
          <t xml:space="preserve">Integration Resolution</t>
        </is>
      </c>
      <c r="D123" s="15" t="inlineStr">
        <is>
          <t xml:space="preserve">RES-BR-2CH-009</t>
        </is>
      </c>
      <c r="E123" s="15" t="inlineStr">
        <is>
          <t xml:space="preserve">2 Chronicles 13</t>
        </is>
      </c>
      <c r="F123" s="15" t="inlineStr">
        <is>
          <t xml:space="preserve">Canon Map v0.2</t>
        </is>
      </c>
      <c r="G123" s="15" t="inlineStr">
        <is>
          <t xml:space="preserve">Complementary Account</t>
        </is>
      </c>
      <c r="H123" s="15" t="inlineStr">
        <is>
          <t xml:space="preserve">High</t>
        </is>
      </c>
      <c r="I123" s="13" t="inlineStr">
        <is>
          <t xml:space="preserve">Draft</t>
        </is>
      </c>
      <c r="J123" s="15" t="inlineStr">
        <is>
          <t xml:space="preserve">SRC-CANON-TEXT; SRC-CHRONICLES-OVERVIEW; SRC-KINGS-OVERVIEW</t>
        </is>
      </c>
      <c r="K123" s="15" t="inlineStr">
        <is>
          <t xml:space="preserve">resolution id: RES-BR-2CH-009 | scope passage: 2 Chronicles 13 | relationship: Complementary Account | target map: Canon Map v0.2 | target crs / final home: Canon Map v0.2 / 1 Kings 15:1-8 | target passage: 1 Kings 15:1-8 | placement confidence: High | status: Draft | full stream behavior: Complete Chronological Reading appends this intact block inside the linked Kings event. | narrative flow behavior: Narrative Flow shows the primary Kings reading first; this account remains pending if not opened. | compare behavior: Where the relationship is close, provide account-level comparison without merged text. | notes: Chronicles contains extended material about Abijah not preserved in Kings. | source ids: SRC-CANON-TEXT; SRC-CHRONICLES-OVERVIEW; SRC-KINGS-OVERVIEW | owner: Editorial</t>
        </is>
      </c>
    </row>
    <row r="124" ht="34" customHeight="1">
      <c r="A124" s="15" t="inlineStr">
        <is>
          <t xml:space="preserve">v0.3</t>
        </is>
      </c>
      <c r="B124" s="15" t="inlineStr">
        <is>
          <t xml:space="preserve">Bible_Journey_Canon_Map_v0_3_2Chronicles_Wisdom_2Kings.xlsx</t>
        </is>
      </c>
      <c r="C124" s="15" t="inlineStr">
        <is>
          <t xml:space="preserve">Integration Resolution</t>
        </is>
      </c>
      <c r="D124" s="15" t="inlineStr">
        <is>
          <t xml:space="preserve">RES-BR-2CH-010</t>
        </is>
      </c>
      <c r="E124" s="15" t="inlineStr">
        <is>
          <t xml:space="preserve">2 Chronicles 14-15</t>
        </is>
      </c>
      <c r="F124" s="15" t="inlineStr">
        <is>
          <t xml:space="preserve">Canon Map v0.2</t>
        </is>
      </c>
      <c r="G124" s="15" t="inlineStr">
        <is>
          <t xml:space="preserve">Complementary Account</t>
        </is>
      </c>
      <c r="H124" s="15" t="inlineStr">
        <is>
          <t xml:space="preserve">High</t>
        </is>
      </c>
      <c r="I124" s="13" t="inlineStr">
        <is>
          <t xml:space="preserve">Draft</t>
        </is>
      </c>
      <c r="J124" s="15" t="inlineStr">
        <is>
          <t xml:space="preserve">SRC-CANON-TEXT; SRC-CHRONICLES-OVERVIEW</t>
        </is>
      </c>
      <c r="K124" s="15" t="inlineStr">
        <is>
          <t xml:space="preserve">resolution id: RES-BR-2CH-010 | scope passage: 2 Chronicles 14-15 | relationship: Complementary Account | target map: Canon Map v0.2 | target crs / final home: Canon Map v0.2 / 1 Kings 15:9-24 | target passage: 1 Kings 15:9-24 | placement confidence: High | status: Draft | full stream behavior: Complete Chronological Reading appends this intact block inside the linked Kings event. | narrative flow behavior: Narrative Flow shows the primary Kings reading first; this account remains pending if not opened. | compare behavior: Where the relationship is close, provide account-level comparison without merged text. | notes: Chronicles adds reform, covenant, and conflict narratives not mirrored in Kings. | source ids: SRC-CANON-TEXT; SRC-CHRONICLES-OVERVIEW | owner: Editorial</t>
        </is>
      </c>
    </row>
    <row r="125" ht="34" customHeight="1">
      <c r="A125" s="15" t="inlineStr">
        <is>
          <t xml:space="preserve">v0.3</t>
        </is>
      </c>
      <c r="B125" s="15" t="inlineStr">
        <is>
          <t xml:space="preserve">Bible_Journey_Canon_Map_v0_3_2Chronicles_Wisdom_2Kings.xlsx</t>
        </is>
      </c>
      <c r="C125" s="15" t="inlineStr">
        <is>
          <t xml:space="preserve">Integration Resolution</t>
        </is>
      </c>
      <c r="D125" s="15" t="inlineStr">
        <is>
          <t xml:space="preserve">RES-BR-2CH-011</t>
        </is>
      </c>
      <c r="E125" s="15" t="inlineStr">
        <is>
          <t xml:space="preserve">2 Chronicles 16</t>
        </is>
      </c>
      <c r="F125" s="15" t="inlineStr">
        <is>
          <t xml:space="preserve">Canon Map v0.2</t>
        </is>
      </c>
      <c r="G125" s="15" t="inlineStr">
        <is>
          <t xml:space="preserve">Complementary Account</t>
        </is>
      </c>
      <c r="H125" s="15" t="inlineStr">
        <is>
          <t xml:space="preserve">High</t>
        </is>
      </c>
      <c r="I125" s="13" t="inlineStr">
        <is>
          <t xml:space="preserve">Draft</t>
        </is>
      </c>
      <c r="J125" s="15" t="inlineStr">
        <is>
          <t xml:space="preserve">SRC-CANON-TEXT; SRC-CHRONICLES-OVERVIEW; SRC-KINGS-OVERVIEW</t>
        </is>
      </c>
      <c r="K125" s="15" t="inlineStr">
        <is>
          <t xml:space="preserve">resolution id: RES-BR-2CH-011 | scope passage: 2 Chronicles 16 | relationship: Complementary Account | target map: Canon Map v0.2 | target crs / final home: Canon Map v0.2 / 1 Kings 15:16-24 | target passage: 1 Kings 15:16-24 | placement confidence: High | status: Draft | full stream behavior: Complete Chronological Reading appends this intact block inside the linked Kings event. | narrative flow behavior: Narrative Flow shows the primary Kings reading first; this account remains pending if not opened. | compare behavior: Where the relationship is close, provide account-level comparison without merged text. | notes: Chronicles closely relates to Kings' account but adds Hanani's rebuke and illness/death detail. | source ids: SRC-CANON-TEXT; SRC-CHRONICLES-OVERVIEW; SRC-KINGS-OVERVIEW | owner: Editorial</t>
        </is>
      </c>
    </row>
    <row r="126" ht="34" customHeight="1">
      <c r="A126" s="15" t="inlineStr">
        <is>
          <t xml:space="preserve">v0.3</t>
        </is>
      </c>
      <c r="B126" s="15" t="inlineStr">
        <is>
          <t xml:space="preserve">Bible_Journey_Canon_Map_v0_3_2Chronicles_Wisdom_2Kings.xlsx</t>
        </is>
      </c>
      <c r="C126" s="15" t="inlineStr">
        <is>
          <t xml:space="preserve">Integration Resolution</t>
        </is>
      </c>
      <c r="D126" s="15" t="inlineStr">
        <is>
          <t xml:space="preserve">RES-BR-2CH-012</t>
        </is>
      </c>
      <c r="E126" s="15" t="inlineStr">
        <is>
          <t xml:space="preserve">2 Chronicles 17</t>
        </is>
      </c>
      <c r="F126" s="15" t="inlineStr">
        <is>
          <t xml:space="preserve">Canon Map v0.2</t>
        </is>
      </c>
      <c r="G126" s="15" t="inlineStr">
        <is>
          <t xml:space="preserve">Complementary Account</t>
        </is>
      </c>
      <c r="H126" s="15" t="inlineStr">
        <is>
          <t xml:space="preserve">High</t>
        </is>
      </c>
      <c r="I126" s="13" t="inlineStr">
        <is>
          <t xml:space="preserve">Draft</t>
        </is>
      </c>
      <c r="J126" s="15" t="inlineStr">
        <is>
          <t xml:space="preserve">SRC-CANON-TEXT; SRC-CHRONICLES-OVERVIEW</t>
        </is>
      </c>
      <c r="K126" s="15" t="inlineStr">
        <is>
          <t xml:space="preserve">resolution id: RES-BR-2CH-012 | scope passage: 2 Chronicles 17 | relationship: Complementary Account | target map: Canon Map v0.2 | target crs / final home: Canon Map v0.2 / 1 Kings 22:41-50 | target passage: 1 Kings 22:41-50 | placement confidence: High | status: Draft | full stream behavior: Complete Chronological Reading appends this intact block inside the linked Kings event. | narrative flow behavior: Narrative Flow shows the primary Kings reading first; this account remains pending if not opened. | compare behavior: Where the relationship is close, provide account-level comparison without merged text. | notes: Chronicles adds detailed teaching, judicial, and defensive programs. | source ids: SRC-CANON-TEXT; SRC-CHRONICLES-OVERVIEW | owner: Editorial</t>
        </is>
      </c>
    </row>
    <row r="127" ht="34" customHeight="1">
      <c r="A127" s="15" t="inlineStr">
        <is>
          <t xml:space="preserve">v0.3</t>
        </is>
      </c>
      <c r="B127" s="15" t="inlineStr">
        <is>
          <t xml:space="preserve">Bible_Journey_Canon_Map_v0_3_2Chronicles_Wisdom_2Kings.xlsx</t>
        </is>
      </c>
      <c r="C127" s="15" t="inlineStr">
        <is>
          <t xml:space="preserve">Integration Resolution</t>
        </is>
      </c>
      <c r="D127" s="15" t="inlineStr">
        <is>
          <t xml:space="preserve">RES-BR-2CH-013</t>
        </is>
      </c>
      <c r="E127" s="15" t="inlineStr">
        <is>
          <t xml:space="preserve">2 Chronicles 18</t>
        </is>
      </c>
      <c r="F127" s="15" t="inlineStr">
        <is>
          <t xml:space="preserve">Canon Map v0.2</t>
        </is>
      </c>
      <c r="G127" s="15" t="inlineStr">
        <is>
          <t xml:space="preserve">Parallel Account</t>
        </is>
      </c>
      <c r="H127" s="15" t="inlineStr">
        <is>
          <t xml:space="preserve">High</t>
        </is>
      </c>
      <c r="I127" s="13" t="inlineStr">
        <is>
          <t xml:space="preserve">Draft</t>
        </is>
      </c>
      <c r="J127" s="15" t="inlineStr">
        <is>
          <t xml:space="preserve">SRC-CANON-TEXT; SRC-CHRONICLES-OVERVIEW; SRC-KINGS-OVERVIEW</t>
        </is>
      </c>
      <c r="K127" s="15" t="inlineStr">
        <is>
          <t xml:space="preserve">resolution id: RES-BR-2CH-013 | scope passage: 2 Chronicles 18 | relationship: Parallel Account | target map: Canon Map v0.2 | target crs / final home: Canon Map v0.2 / 1 Kings 22:1-40 | target passage: 1 Kings 22:1-40 | placement confidence: High | status: Draft | full stream behavior: Complete Chronological Reading appends this intact block inside the linked Kings event. | narrative flow behavior: Narrative Flow shows the primary Kings reading first; this account remains pending if not opened. | compare behavior: Where the relationship is close, provide account-level comparison without merged text. | notes: Chronicles parallels the Micaiah/Ramoth-gilead account with distinct wording and sequence details. | source ids: SRC-CANON-TEXT; SRC-CHRONICLES-OVERVIEW; SRC-KINGS-OVERVIEW | owner: Editorial</t>
        </is>
      </c>
    </row>
    <row r="128" ht="34" customHeight="1">
      <c r="A128" s="15" t="inlineStr">
        <is>
          <t xml:space="preserve">v0.3</t>
        </is>
      </c>
      <c r="B128" s="15" t="inlineStr">
        <is>
          <t xml:space="preserve">Bible_Journey_Canon_Map_v0_3_2Chronicles_Wisdom_2Kings.xlsx</t>
        </is>
      </c>
      <c r="C128" s="15" t="inlineStr">
        <is>
          <t xml:space="preserve">Integration Resolution</t>
        </is>
      </c>
      <c r="D128" s="15" t="inlineStr">
        <is>
          <t xml:space="preserve">RES-BR-2CH-014</t>
        </is>
      </c>
      <c r="E128" s="15" t="inlineStr">
        <is>
          <t xml:space="preserve">2 Chronicles 19-20</t>
        </is>
      </c>
      <c r="F128" s="15" t="inlineStr">
        <is>
          <t xml:space="preserve">Canon Map v0.2</t>
        </is>
      </c>
      <c r="G128" s="15" t="inlineStr">
        <is>
          <t xml:space="preserve">Complementary Account</t>
        </is>
      </c>
      <c r="H128" s="15" t="inlineStr">
        <is>
          <t xml:space="preserve">High</t>
        </is>
      </c>
      <c r="I128" s="13" t="inlineStr">
        <is>
          <t xml:space="preserve">Draft</t>
        </is>
      </c>
      <c r="J128" s="15" t="inlineStr">
        <is>
          <t xml:space="preserve">SRC-CANON-TEXT; SRC-CHRONICLES-OVERVIEW</t>
        </is>
      </c>
      <c r="K128" s="15" t="inlineStr">
        <is>
          <t xml:space="preserve">resolution id: RES-BR-2CH-014 | scope passage: 2 Chronicles 19-20 | relationship: Complementary Account | target map: Canon Map v0.2 | target crs / final home: Canon Map v0.2 / Jehoshaphat reign | target passage: Jehoshaphat reign | placement confidence: High | status: Draft | full stream behavior: Complete Chronological Reading appends this intact block inside the linked Kings event. | narrative flow behavior: Narrative Flow shows the primary Kings reading first; this account remains pending if not opened. | compare behavior: Where the relationship is close, provide account-level comparison without merged text. | notes: Chronicles gives unique judicial and military-deliverance material for Jehoshaphat's reign. | source ids: SRC-CANON-TEXT; SRC-CHRONICLES-OVERVIEW | owner: Editorial</t>
        </is>
      </c>
    </row>
    <row r="129" ht="34" customHeight="1">
      <c r="A129" s="15" t="inlineStr">
        <is>
          <t xml:space="preserve">v0.3</t>
        </is>
      </c>
      <c r="B129" s="15" t="inlineStr">
        <is>
          <t xml:space="preserve">Bible_Journey_Canon_Map_v0_3_2Chronicles_Wisdom_2Kings.xlsx</t>
        </is>
      </c>
      <c r="C129" s="15" t="inlineStr">
        <is>
          <t xml:space="preserve">Integration Resolution</t>
        </is>
      </c>
      <c r="D129" s="15" t="inlineStr">
        <is>
          <t xml:space="preserve">RES-2K-008B-15</t>
        </is>
      </c>
      <c r="E129" s="15" t="inlineStr">
        <is>
          <t xml:space="preserve">2 Chronicles 21</t>
        </is>
      </c>
      <c r="F129" s="15" t="inlineStr">
        <is>
          <t xml:space="preserve">Canon Map v0.3</t>
        </is>
      </c>
      <c r="G129" s="15" t="inlineStr">
        <is>
          <t xml:space="preserve">Complementary Account</t>
        </is>
      </c>
      <c r="H129" s="15" t="inlineStr">
        <is>
          <t xml:space="preserve">High</t>
        </is>
      </c>
      <c r="I129" s="13" t="inlineStr">
        <is>
          <t xml:space="preserve">Draft</t>
        </is>
      </c>
      <c r="J129" s="15" t="inlineStr">
        <is>
          <t xml:space="preserve">SRC-CANON-TEXT; SRC-KINGS-OVERVIEW; SRC-CHRONICLES-OVERVIEW</t>
        </is>
      </c>
      <c r="K129" s="15" t="inlineStr">
        <is>
          <t xml:space="preserve">resolution id: RES-2K-008B-15 | scope passage: 2 Chronicles 21 | relationship: Complementary Account | target map: Canon Map v0.3 | target crs / final home: CRS-2K-008B | target passage: 2 Kings 8:16-29 | placement confidence: High | status: Draft | full stream behavior: Read after the primary Kings block as an intact linked account before Full Stream completion. | narrative flow behavior: Do not auto-complete if skipped; show as pending linked account. | compare behavior: Offer account-level comparison when passages narrate the same event; do not align synthetic verse composites. | notes: Chronicles adds Jehoram's reign material. | source ids: SRC-CANON-TEXT; SRC-KINGS-OVERVIEW; SRC-CHRONICLES-OVERVIEW | owner: Editorial</t>
        </is>
      </c>
    </row>
    <row r="130" ht="34" customHeight="1">
      <c r="A130" s="15" t="inlineStr">
        <is>
          <t xml:space="preserve">v0.3</t>
        </is>
      </c>
      <c r="B130" s="15" t="inlineStr">
        <is>
          <t xml:space="preserve">Bible_Journey_Canon_Map_v0_3_2Chronicles_Wisdom_2Kings.xlsx</t>
        </is>
      </c>
      <c r="C130" s="15" t="inlineStr">
        <is>
          <t xml:space="preserve">Integration Resolution</t>
        </is>
      </c>
      <c r="D130" s="15" t="inlineStr">
        <is>
          <t xml:space="preserve">RES-2K-008B-16</t>
        </is>
      </c>
      <c r="E130" s="15" t="inlineStr">
        <is>
          <t xml:space="preserve">2 Chronicles 22:1-9</t>
        </is>
      </c>
      <c r="F130" s="15" t="inlineStr">
        <is>
          <t xml:space="preserve">Canon Map v0.3</t>
        </is>
      </c>
      <c r="G130" s="15" t="inlineStr">
        <is>
          <t xml:space="preserve">Parallel Account</t>
        </is>
      </c>
      <c r="H130" s="15" t="inlineStr">
        <is>
          <t xml:space="preserve">High</t>
        </is>
      </c>
      <c r="I130" s="13" t="inlineStr">
        <is>
          <t xml:space="preserve">Draft</t>
        </is>
      </c>
      <c r="J130" s="15" t="inlineStr">
        <is>
          <t xml:space="preserve">SRC-CANON-TEXT; SRC-KINGS-OVERVIEW; SRC-CHRONICLES-OVERVIEW</t>
        </is>
      </c>
      <c r="K130" s="15" t="inlineStr">
        <is>
          <t xml:space="preserve">resolution id: RES-2K-008B-16 | scope passage: 2 Chronicles 22:1-9 | relationship: Parallel Account | target map: Canon Map v0.3 | target crs / final home: CRS-2K-008B | target passage: 2 Kings 8:16-29 | placement confidence: High | status: Draft | full stream behavior: Read after the primary Kings block as an intact linked account before Full Stream completion. | narrative flow behavior: Do not auto-complete if skipped; show as pending linked account. | compare behavior: Offer account-level comparison when passages narrate the same event; do not align synthetic verse composites. | notes: Chronicles account of Ahaziah. | source ids: SRC-CANON-TEXT; SRC-KINGS-OVERVIEW; SRC-CHRONICLES-OVERVIEW | owner: Editorial</t>
        </is>
      </c>
    </row>
    <row r="131" ht="34" customHeight="1">
      <c r="A131" s="15" t="inlineStr">
        <is>
          <t xml:space="preserve">v0.3</t>
        </is>
      </c>
      <c r="B131" s="15" t="inlineStr">
        <is>
          <t xml:space="preserve">Bible_Journey_Canon_Map_v0_3_2Chronicles_Wisdom_2Kings.xlsx</t>
        </is>
      </c>
      <c r="C131" s="15" t="inlineStr">
        <is>
          <t xml:space="preserve">Integration Resolution</t>
        </is>
      </c>
      <c r="D131" s="15" t="inlineStr">
        <is>
          <t xml:space="preserve">RES-2K-011-17</t>
        </is>
      </c>
      <c r="E131" s="15" t="inlineStr">
        <is>
          <t xml:space="preserve">2 Chronicles 22:10-12</t>
        </is>
      </c>
      <c r="F131" s="15" t="inlineStr">
        <is>
          <t xml:space="preserve">Canon Map v0.3</t>
        </is>
      </c>
      <c r="G131" s="15" t="inlineStr">
        <is>
          <t xml:space="preserve">Complementary Account</t>
        </is>
      </c>
      <c r="H131" s="15" t="inlineStr">
        <is>
          <t xml:space="preserve">High</t>
        </is>
      </c>
      <c r="I131" s="13" t="inlineStr">
        <is>
          <t xml:space="preserve">Draft</t>
        </is>
      </c>
      <c r="J131" s="15" t="inlineStr">
        <is>
          <t xml:space="preserve">SRC-CANON-TEXT; SRC-KINGS-OVERVIEW; SRC-CHRONICLES-OVERVIEW</t>
        </is>
      </c>
      <c r="K131" s="15" t="inlineStr">
        <is>
          <t xml:space="preserve">resolution id: RES-2K-011-17 | scope passage: 2 Chronicles 22:10-12 | relationship: Complementary Account | target map: Canon Map v0.3 | target crs / final home: CRS-2K-011 | target passage: 2 Kings 11 | placement confidence: High | status: Draft | full stream behavior: Read after the primary Kings block as an intact linked account before Full Stream completion. | narrative flow behavior: Do not auto-complete if skipped; show as pending linked account. | compare behavior: Offer account-level comparison when passages narrate the same event; do not align synthetic verse composites. | notes: Athaliah's seizure of power and Joash's concealment. | source ids: SRC-CANON-TEXT; SRC-KINGS-OVERVIEW; SRC-CHRONICLES-OVERVIEW | owner: Editorial</t>
        </is>
      </c>
    </row>
    <row r="132" ht="34" customHeight="1">
      <c r="A132" s="15" t="inlineStr">
        <is>
          <t xml:space="preserve">v0.3</t>
        </is>
      </c>
      <c r="B132" s="15" t="inlineStr">
        <is>
          <t xml:space="preserve">Bible_Journey_Canon_Map_v0_3_2Chronicles_Wisdom_2Kings.xlsx</t>
        </is>
      </c>
      <c r="C132" s="15" t="inlineStr">
        <is>
          <t xml:space="preserve">Integration Resolution</t>
        </is>
      </c>
      <c r="D132" s="15" t="inlineStr">
        <is>
          <t xml:space="preserve">RES-2K-011-18</t>
        </is>
      </c>
      <c r="E132" s="15" t="inlineStr">
        <is>
          <t xml:space="preserve">2 Chronicles 23</t>
        </is>
      </c>
      <c r="F132" s="15" t="inlineStr">
        <is>
          <t xml:space="preserve">Canon Map v0.3</t>
        </is>
      </c>
      <c r="G132" s="15" t="inlineStr">
        <is>
          <t xml:space="preserve">Parallel Account</t>
        </is>
      </c>
      <c r="H132" s="15" t="inlineStr">
        <is>
          <t xml:space="preserve">High</t>
        </is>
      </c>
      <c r="I132" s="13" t="inlineStr">
        <is>
          <t xml:space="preserve">Draft</t>
        </is>
      </c>
      <c r="J132" s="15" t="inlineStr">
        <is>
          <t xml:space="preserve">SRC-CANON-TEXT; SRC-KINGS-OVERVIEW; SRC-CHRONICLES-OVERVIEW</t>
        </is>
      </c>
      <c r="K132" s="15" t="inlineStr">
        <is>
          <t xml:space="preserve">resolution id: RES-2K-011-18 | scope passage: 2 Chronicles 23 | relationship: Parallel Account | target map: Canon Map v0.3 | target crs / final home: CRS-2K-011 | target passage: 2 Kings 11 | placement confidence: High | status: Draft | full stream behavior: Read after the primary Kings block as an intact linked account before Full Stream completion. | narrative flow behavior: Do not auto-complete if skipped; show as pending linked account. | compare behavior: Offer account-level comparison when passages narrate the same event; do not align synthetic verse composites. | notes: Joash's enthronement and covenant account. | source ids: SRC-CANON-TEXT; SRC-KINGS-OVERVIEW; SRC-CHRONICLES-OVERVIEW | owner: Editorial</t>
        </is>
      </c>
    </row>
    <row r="133" ht="34" customHeight="1">
      <c r="A133" s="15" t="inlineStr">
        <is>
          <t xml:space="preserve">v0.3</t>
        </is>
      </c>
      <c r="B133" s="15" t="inlineStr">
        <is>
          <t xml:space="preserve">Bible_Journey_Canon_Map_v0_3_2Chronicles_Wisdom_2Kings.xlsx</t>
        </is>
      </c>
      <c r="C133" s="15" t="inlineStr">
        <is>
          <t xml:space="preserve">Integration Resolution</t>
        </is>
      </c>
      <c r="D133" s="15" t="inlineStr">
        <is>
          <t xml:space="preserve">RES-2K-012-19</t>
        </is>
      </c>
      <c r="E133" s="15" t="inlineStr">
        <is>
          <t xml:space="preserve">2 Chronicles 24</t>
        </is>
      </c>
      <c r="F133" s="15" t="inlineStr">
        <is>
          <t xml:space="preserve">Canon Map v0.3</t>
        </is>
      </c>
      <c r="G133" s="15" t="inlineStr">
        <is>
          <t xml:space="preserve">Complementary Account</t>
        </is>
      </c>
      <c r="H133" s="15" t="inlineStr">
        <is>
          <t xml:space="preserve">High</t>
        </is>
      </c>
      <c r="I133" s="13" t="inlineStr">
        <is>
          <t xml:space="preserve">Draft</t>
        </is>
      </c>
      <c r="J133" s="15" t="inlineStr">
        <is>
          <t xml:space="preserve">SRC-CANON-TEXT; SRC-KINGS-OVERVIEW; SRC-CHRONICLES-OVERVIEW</t>
        </is>
      </c>
      <c r="K133" s="15" t="inlineStr">
        <is>
          <t xml:space="preserve">resolution id: RES-2K-012-19 | scope passage: 2 Chronicles 24 | relationship: Complementary Account | target map: Canon Map v0.3 | target crs / final home: CRS-2K-012 | target passage: 2 Kings 12 | placement confidence: High | status: Draft | full stream behavior: Read after the primary Kings block as an intact linked account before Full Stream completion. | narrative flow behavior: Do not auto-complete if skipped; show as pending linked account. | compare behavior: Offer account-level comparison when passages narrate the same event; do not align synthetic verse composites. | notes: Chronicles adds Zechariah and the later reversal of Joash. | source ids: SRC-CANON-TEXT; SRC-KINGS-OVERVIEW; SRC-CHRONICLES-OVERVIEW | owner: Editorial</t>
        </is>
      </c>
    </row>
    <row r="134" ht="34" customHeight="1">
      <c r="A134" s="15" t="inlineStr">
        <is>
          <t xml:space="preserve">v0.3</t>
        </is>
      </c>
      <c r="B134" s="15" t="inlineStr">
        <is>
          <t xml:space="preserve">Bible_Journey_Canon_Map_v0_3_2Chronicles_Wisdom_2Kings.xlsx</t>
        </is>
      </c>
      <c r="C134" s="15" t="inlineStr">
        <is>
          <t xml:space="preserve">Integration Resolution</t>
        </is>
      </c>
      <c r="D134" s="15" t="inlineStr">
        <is>
          <t xml:space="preserve">RES-2K-014-20</t>
        </is>
      </c>
      <c r="E134" s="15" t="inlineStr">
        <is>
          <t xml:space="preserve">2 Chronicles 25</t>
        </is>
      </c>
      <c r="F134" s="15" t="inlineStr">
        <is>
          <t xml:space="preserve">Canon Map v0.3</t>
        </is>
      </c>
      <c r="G134" s="15" t="inlineStr">
        <is>
          <t xml:space="preserve">Parallel Account</t>
        </is>
      </c>
      <c r="H134" s="15" t="inlineStr">
        <is>
          <t xml:space="preserve">High</t>
        </is>
      </c>
      <c r="I134" s="13" t="inlineStr">
        <is>
          <t xml:space="preserve">Draft</t>
        </is>
      </c>
      <c r="J134" s="15" t="inlineStr">
        <is>
          <t xml:space="preserve">SRC-CANON-TEXT; SRC-KINGS-OVERVIEW; SRC-CHRONICLES-OVERVIEW</t>
        </is>
      </c>
      <c r="K134" s="15" t="inlineStr">
        <is>
          <t xml:space="preserve">resolution id: RES-2K-014-20 | scope passage: 2 Chronicles 25 | relationship: Parallel Account | target map: Canon Map v0.3 | target crs / final home: CRS-2K-014 | target passage: 2 Kings 14 | placement confidence: High | status: Draft | full stream behavior: Read after the primary Kings block as an intact linked account before Full Stream completion. | narrative flow behavior: Do not auto-complete if skipped; show as pending linked account. | compare behavior: Offer account-level comparison when passages narrate the same event; do not align synthetic verse composites. | notes: Chronicles account of Amaziah's reign. | source ids: SRC-CANON-TEXT; SRC-KINGS-OVERVIEW; SRC-CHRONICLES-OVERVIEW | owner: Editorial</t>
        </is>
      </c>
    </row>
    <row r="135" ht="34" customHeight="1">
      <c r="A135" s="15" t="inlineStr">
        <is>
          <t xml:space="preserve">v0.3</t>
        </is>
      </c>
      <c r="B135" s="15" t="inlineStr">
        <is>
          <t xml:space="preserve">Bible_Journey_Canon_Map_v0_3_2Chronicles_Wisdom_2Kings.xlsx</t>
        </is>
      </c>
      <c r="C135" s="15" t="inlineStr">
        <is>
          <t xml:space="preserve">Integration Resolution</t>
        </is>
      </c>
      <c r="D135" s="15" t="inlineStr">
        <is>
          <t xml:space="preserve">RES-2K-015-21</t>
        </is>
      </c>
      <c r="E135" s="15" t="inlineStr">
        <is>
          <t xml:space="preserve">2 Chronicles 26</t>
        </is>
      </c>
      <c r="F135" s="15" t="inlineStr">
        <is>
          <t xml:space="preserve">Canon Map v0.3</t>
        </is>
      </c>
      <c r="G135" s="15" t="inlineStr">
        <is>
          <t xml:space="preserve">Complementary Account</t>
        </is>
      </c>
      <c r="H135" s="15" t="inlineStr">
        <is>
          <t xml:space="preserve">High</t>
        </is>
      </c>
      <c r="I135" s="13" t="inlineStr">
        <is>
          <t xml:space="preserve">Draft</t>
        </is>
      </c>
      <c r="J135" s="15" t="inlineStr">
        <is>
          <t xml:space="preserve">SRC-CANON-TEXT; SRC-KINGS-OVERVIEW; SRC-CHRONICLES-OVERVIEW</t>
        </is>
      </c>
      <c r="K135" s="15" t="inlineStr">
        <is>
          <t xml:space="preserve">resolution id: RES-2K-015-21 | scope passage: 2 Chronicles 26 | relationship: Complementary Account | target map: Canon Map v0.3 | target crs / final home: CRS-2K-015 | target passage: 2 Kings 15 | placement confidence: High | status: Draft | full stream behavior: Read after the primary Kings block as an intact linked account before Full Stream completion. | narrative flow behavior: Do not auto-complete if skipped; show as pending linked account. | compare behavior: Offer account-level comparison when passages narrate the same event; do not align synthetic verse composites. | notes: Uzziah's reign and temple-incense episode. | source ids: SRC-CANON-TEXT; SRC-KINGS-OVERVIEW; SRC-CHRONICLES-OVERVIEW | owner: Editorial</t>
        </is>
      </c>
    </row>
    <row r="136" ht="34" customHeight="1">
      <c r="A136" s="15" t="inlineStr">
        <is>
          <t xml:space="preserve">v0.3</t>
        </is>
      </c>
      <c r="B136" s="15" t="inlineStr">
        <is>
          <t xml:space="preserve">Bible_Journey_Canon_Map_v0_3_2Chronicles_Wisdom_2Kings.xlsx</t>
        </is>
      </c>
      <c r="C136" s="15" t="inlineStr">
        <is>
          <t xml:space="preserve">Integration Resolution</t>
        </is>
      </c>
      <c r="D136" s="15" t="inlineStr">
        <is>
          <t xml:space="preserve">RES-2K-015-22</t>
        </is>
      </c>
      <c r="E136" s="15" t="inlineStr">
        <is>
          <t xml:space="preserve">2 Chronicles 27</t>
        </is>
      </c>
      <c r="F136" s="15" t="inlineStr">
        <is>
          <t xml:space="preserve">Canon Map v0.3</t>
        </is>
      </c>
      <c r="G136" s="15" t="inlineStr">
        <is>
          <t xml:space="preserve">Complementary Account</t>
        </is>
      </c>
      <c r="H136" s="15" t="inlineStr">
        <is>
          <t xml:space="preserve">High</t>
        </is>
      </c>
      <c r="I136" s="13" t="inlineStr">
        <is>
          <t xml:space="preserve">Draft</t>
        </is>
      </c>
      <c r="J136" s="15" t="inlineStr">
        <is>
          <t xml:space="preserve">SRC-CANON-TEXT; SRC-KINGS-OVERVIEW; SRC-CHRONICLES-OVERVIEW</t>
        </is>
      </c>
      <c r="K136" s="15" t="inlineStr">
        <is>
          <t xml:space="preserve">resolution id: RES-2K-015-22 | scope passage: 2 Chronicles 27 | relationship: Complementary Account | target map: Canon Map v0.3 | target crs / final home: CRS-2K-015 | target passage: 2 Kings 15 | placement confidence: High | status: Draft | full stream behavior: Read after the primary Kings block as an intact linked account before Full Stream completion. | narrative flow behavior: Do not auto-complete if skipped; show as pending linked account. | compare behavior: Offer account-level comparison when passages narrate the same event; do not align synthetic verse composites. | notes: Jotham's reign. | source ids: SRC-CANON-TEXT; SRC-KINGS-OVERVIEW; SRC-CHRONICLES-OVERVIEW | owner: Editorial</t>
        </is>
      </c>
    </row>
    <row r="137" ht="34" customHeight="1">
      <c r="A137" s="15" t="inlineStr">
        <is>
          <t xml:space="preserve">v0.3</t>
        </is>
      </c>
      <c r="B137" s="15" t="inlineStr">
        <is>
          <t xml:space="preserve">Bible_Journey_Canon_Map_v0_3_2Chronicles_Wisdom_2Kings.xlsx</t>
        </is>
      </c>
      <c r="C137" s="15" t="inlineStr">
        <is>
          <t xml:space="preserve">Integration Resolution</t>
        </is>
      </c>
      <c r="D137" s="15" t="inlineStr">
        <is>
          <t xml:space="preserve">RES-2K-016-23</t>
        </is>
      </c>
      <c r="E137" s="15" t="inlineStr">
        <is>
          <t xml:space="preserve">2 Chronicles 28</t>
        </is>
      </c>
      <c r="F137" s="15" t="inlineStr">
        <is>
          <t xml:space="preserve">Canon Map v0.3</t>
        </is>
      </c>
      <c r="G137" s="15" t="inlineStr">
        <is>
          <t xml:space="preserve">Complementary Account</t>
        </is>
      </c>
      <c r="H137" s="15" t="inlineStr">
        <is>
          <t xml:space="preserve">High</t>
        </is>
      </c>
      <c r="I137" s="13" t="inlineStr">
        <is>
          <t xml:space="preserve">Draft</t>
        </is>
      </c>
      <c r="J137" s="15" t="inlineStr">
        <is>
          <t xml:space="preserve">SRC-CANON-TEXT; SRC-KINGS-OVERVIEW; SRC-CHRONICLES-OVERVIEW; SRC-AHAZ</t>
        </is>
      </c>
      <c r="K137" s="15" t="inlineStr">
        <is>
          <t xml:space="preserve">resolution id: RES-2K-016-23 | scope passage: 2 Chronicles 28 | relationship: Complementary Account | target map: Canon Map v0.3 | target crs / final home: CRS-2K-016 | target passage: 2 Kings 16 | placement confidence: High | status: Draft | full stream behavior: Read after the primary Kings block as an intact linked account before Full Stream completion. | narrative flow behavior: Do not auto-complete if skipped; show as pending linked account. | compare behavior: Offer account-level comparison when passages narrate the same event; do not align synthetic verse composites. | notes: Chronicles account of Ahaz and the Syro-Ephraimite crisis. | source ids: SRC-CANON-TEXT; SRC-KINGS-OVERVIEW; SRC-CHRONICLES-OVERVIEW; SRC-AHAZ | owner: Editorial</t>
        </is>
      </c>
    </row>
    <row r="138" ht="34" customHeight="1">
      <c r="A138" s="15" t="inlineStr">
        <is>
          <t xml:space="preserve">v0.3</t>
        </is>
      </c>
      <c r="B138" s="15" t="inlineStr">
        <is>
          <t xml:space="preserve">Bible_Journey_Canon_Map_v0_3_2Chronicles_Wisdom_2Kings.xlsx</t>
        </is>
      </c>
      <c r="C138" s="15" t="inlineStr">
        <is>
          <t xml:space="preserve">Integration Resolution</t>
        </is>
      </c>
      <c r="D138" s="15" t="inlineStr">
        <is>
          <t xml:space="preserve">RES-2K-018-24</t>
        </is>
      </c>
      <c r="E138" s="15" t="inlineStr">
        <is>
          <t xml:space="preserve">2 Chronicles 29-31</t>
        </is>
      </c>
      <c r="F138" s="15" t="inlineStr">
        <is>
          <t xml:space="preserve">Canon Map v0.3</t>
        </is>
      </c>
      <c r="G138" s="15" t="inlineStr">
        <is>
          <t xml:space="preserve">Complementary Account</t>
        </is>
      </c>
      <c r="H138" s="15" t="inlineStr">
        <is>
          <t xml:space="preserve">High</t>
        </is>
      </c>
      <c r="I138" s="13" t="inlineStr">
        <is>
          <t xml:space="preserve">Draft</t>
        </is>
      </c>
      <c r="J138" s="15" t="inlineStr">
        <is>
          <t xml:space="preserve">SRC-CANON-TEXT; SRC-KINGS-OVERVIEW; SRC-CHRONICLES-OVERVIEW; SRC-HEZEKIAH; SRC-WISDOM-CANON</t>
        </is>
      </c>
      <c r="K138" s="15" t="inlineStr">
        <is>
          <t xml:space="preserve">resolution id: RES-2K-018-24 | scope passage: 2 Chronicles 29-31 | relationship: Complementary Account | target map: Canon Map v0.3 | target crs / final home: CRS-2K-018 | target passage: 2 Kings 18:1-12 | placement confidence: High | status: Draft | full stream behavior: Read after the primary Kings block as an intact linked account before Full Stream completion. | narrative flow behavior: Do not auto-complete if skipped; show as pending linked account. | compare behavior: Offer account-level comparison when passages narrate the same event; do not align synthetic verse composites. | notes: Temple cleansing, Passover, and reforms. | source ids: SRC-CANON-TEXT; SRC-KINGS-OVERVIEW; SRC-CHRONICLES-OVERVIEW; SRC-HEZEKIAH; SRC-WISDOM-CANON | owner: Editorial</t>
        </is>
      </c>
    </row>
    <row r="139" ht="34" customHeight="1">
      <c r="A139" s="15" t="inlineStr">
        <is>
          <t xml:space="preserve">v0.3</t>
        </is>
      </c>
      <c r="B139" s="15" t="inlineStr">
        <is>
          <t xml:space="preserve">Bible_Journey_Canon_Map_v0_3_2Chronicles_Wisdom_2Kings.xlsx</t>
        </is>
      </c>
      <c r="C139" s="15" t="inlineStr">
        <is>
          <t xml:space="preserve">Integration Resolution</t>
        </is>
      </c>
      <c r="D139" s="15" t="inlineStr">
        <is>
          <t xml:space="preserve">RES-2K-018-25</t>
        </is>
      </c>
      <c r="E139" s="15" t="inlineStr">
        <is>
          <t xml:space="preserve">Proverbs 25-29</t>
        </is>
      </c>
      <c r="F139" s="15" t="inlineStr">
        <is>
          <t xml:space="preserve">Canon Map v0.3</t>
        </is>
      </c>
      <c r="G139" s="15" t="inlineStr">
        <is>
          <t xml:space="preserve">Supplementary Reading</t>
        </is>
      </c>
      <c r="H139" s="15" t="inlineStr">
        <is>
          <t xml:space="preserve">High</t>
        </is>
      </c>
      <c r="I139" s="13" t="inlineStr">
        <is>
          <t xml:space="preserve">Draft</t>
        </is>
      </c>
      <c r="J139" s="15" t="inlineStr">
        <is>
          <t xml:space="preserve">SRC-CANON-TEXT; SRC-KINGS-OVERVIEW; SRC-CHRONICLES-OVERVIEW; SRC-HEZEKIAH; SRC-WISDOM-CANON</t>
        </is>
      </c>
      <c r="K139" s="15" t="inlineStr">
        <is>
          <t xml:space="preserve">resolution id: RES-2K-018-25 | scope passage: Proverbs 25-29 | relationship: Supplementary Reading | target map: Canon Map v0.3 | target crs / final home: CRS-2K-018 | target passage: 2 Kings 18:1-12 | placement confidence: High | status: Draft | full stream behavior: Read after the primary Kings block as an intact linked account before Full Stream completion. | narrative flow behavior: Do not auto-complete if skipped; show as pending linked account. | compare behavior: Offer account-level comparison when passages narrate the same event; do not align synthetic verse composites. | notes: Collection heading associates the material with Hezekiah's officials. | source ids: SRC-CANON-TEXT; SRC-KINGS-OVERVIEW; SRC-CHRONICLES-OVERVIEW; SRC-HEZEKIAH; SRC-WISDOM-CANON | owner: Editorial</t>
        </is>
      </c>
    </row>
    <row r="140" ht="34" customHeight="1">
      <c r="A140" s="15" t="inlineStr">
        <is>
          <t xml:space="preserve">v0.3</t>
        </is>
      </c>
      <c r="B140" s="15" t="inlineStr">
        <is>
          <t xml:space="preserve">Bible_Journey_Canon_Map_v0_3_2Chronicles_Wisdom_2Kings.xlsx</t>
        </is>
      </c>
      <c r="C140" s="15" t="inlineStr">
        <is>
          <t xml:space="preserve">Integration Resolution</t>
        </is>
      </c>
      <c r="D140" s="15" t="inlineStr">
        <is>
          <t xml:space="preserve">RES-2K-019-26</t>
        </is>
      </c>
      <c r="E140" s="15" t="inlineStr">
        <is>
          <t xml:space="preserve">2 Chronicles 32:1-23</t>
        </is>
      </c>
      <c r="F140" s="15" t="inlineStr">
        <is>
          <t xml:space="preserve">Canon Map v0.3</t>
        </is>
      </c>
      <c r="G140" s="15" t="inlineStr">
        <is>
          <t xml:space="preserve">Parallel / Complementary Account</t>
        </is>
      </c>
      <c r="H140" s="15" t="inlineStr">
        <is>
          <t xml:space="preserve">High</t>
        </is>
      </c>
      <c r="I140" s="13" t="inlineStr">
        <is>
          <t xml:space="preserve">Draft</t>
        </is>
      </c>
      <c r="J140" s="15" t="inlineStr">
        <is>
          <t xml:space="preserve">SRC-CANON-TEXT; SRC-KINGS-OVERVIEW; SRC-CHRONICLES-OVERVIEW; SRC-HEZEKIAH; SRC-JUDAH; SRC-ARCHAEOLOGY-JUDAH</t>
        </is>
      </c>
      <c r="K140" s="15" t="inlineStr">
        <is>
          <t xml:space="preserve">resolution id: RES-2K-019-26 | scope passage: 2 Chronicles 32:1-23 | relationship: Parallel / Complementary Account | target map: Canon Map v0.3 | target crs / final home: CRS-2K-019 | target passage: 2 Kings 18:13-19:37 | placement confidence: High | status: Draft | full stream behavior: Read after the primary Kings block as an intact linked account before Full Stream completion. | narrative flow behavior: Do not auto-complete if skipped; show as pending linked account. | compare behavior: Offer account-level comparison when passages narrate the same event; do not align synthetic verse composites. | notes: Chronicles account of Sennacherib's campaign and deliverance. | source ids: SRC-CANON-TEXT; SRC-KINGS-OVERVIEW; SRC-CHRONICLES-OVERVIEW; SRC-HEZEKIAH; SRC-JUDAH; SRC-ARCHAEOLOGY-JUDAH | owner: Editorial</t>
        </is>
      </c>
    </row>
    <row r="141" ht="34" customHeight="1">
      <c r="A141" s="15" t="inlineStr">
        <is>
          <t xml:space="preserve">v0.3</t>
        </is>
      </c>
      <c r="B141" s="15" t="inlineStr">
        <is>
          <t xml:space="preserve">Bible_Journey_Canon_Map_v0_3_2Chronicles_Wisdom_2Kings.xlsx</t>
        </is>
      </c>
      <c r="C141" s="15" t="inlineStr">
        <is>
          <t xml:space="preserve">Integration Resolution</t>
        </is>
      </c>
      <c r="D141" s="15" t="inlineStr">
        <is>
          <t xml:space="preserve">RES-2K-019-27</t>
        </is>
      </c>
      <c r="E141" s="15" t="inlineStr">
        <is>
          <t xml:space="preserve">Isaiah 36-37</t>
        </is>
      </c>
      <c r="F141" s="15" t="inlineStr">
        <is>
          <t xml:space="preserve">Future Canon Map</t>
        </is>
      </c>
      <c r="G141" s="15" t="inlineStr">
        <is>
          <t xml:space="preserve">Future parallel account</t>
        </is>
      </c>
      <c r="H141" s="15" t="inlineStr">
        <is>
          <t xml:space="preserve">High</t>
        </is>
      </c>
      <c r="I141" s="13" t="inlineStr">
        <is>
          <t xml:space="preserve">Draft</t>
        </is>
      </c>
      <c r="J141" s="15" t="inlineStr">
        <is>
          <t xml:space="preserve">SRC-CANON-TEXT; SRC-KINGS-OVERVIEW; SRC-CHRONICLES-OVERVIEW; SRC-HEZEKIAH; SRC-JUDAH; SRC-ARCHAEOLOGY-JUDAH</t>
        </is>
      </c>
      <c r="K141" s="15" t="inlineStr">
        <is>
          <t xml:space="preserve">resolution id: RES-2K-019-27 | scope passage: Isaiah 36-37 | relationship: Future parallel account | target map: Future Canon Map | target crs / final home: CRS-2K-019 | target passage: 2 Kings 18:13-19:37 | placement confidence: High | status: Draft | full stream behavior: Future required block once the Isaiah scope is published. | narrative flow behavior: Show future context notice only until Isaiah scope exists. | compare behavior: Offer account-level comparison when passages narrate the same event; do not align synthetic verse composites. | notes: Future map dependency; not in this scope. | source ids: SRC-CANON-TEXT; SRC-KINGS-OVERVIEW; SRC-CHRONICLES-OVERVIEW; SRC-HEZEKIAH; SRC-JUDAH; SRC-ARCHAEOLOGY-JUDAH | owner: Editorial</t>
        </is>
      </c>
    </row>
    <row r="142" ht="34" customHeight="1">
      <c r="A142" s="15" t="inlineStr">
        <is>
          <t xml:space="preserve">v0.3</t>
        </is>
      </c>
      <c r="B142" s="15" t="inlineStr">
        <is>
          <t xml:space="preserve">Bible_Journey_Canon_Map_v0_3_2Chronicles_Wisdom_2Kings.xlsx</t>
        </is>
      </c>
      <c r="C142" s="15" t="inlineStr">
        <is>
          <t xml:space="preserve">Integration Resolution</t>
        </is>
      </c>
      <c r="D142" s="15" t="inlineStr">
        <is>
          <t xml:space="preserve">RES-2K-020-28</t>
        </is>
      </c>
      <c r="E142" s="15" t="inlineStr">
        <is>
          <t xml:space="preserve">2 Chronicles 32:24-31</t>
        </is>
      </c>
      <c r="F142" s="15" t="inlineStr">
        <is>
          <t xml:space="preserve">Canon Map v0.3</t>
        </is>
      </c>
      <c r="G142" s="15" t="inlineStr">
        <is>
          <t xml:space="preserve">Complementary Account</t>
        </is>
      </c>
      <c r="H142" s="15" t="inlineStr">
        <is>
          <t xml:space="preserve">Debated</t>
        </is>
      </c>
      <c r="I142" s="13" t="inlineStr">
        <is>
          <t xml:space="preserve">Draft</t>
        </is>
      </c>
      <c r="J142" s="15" t="inlineStr">
        <is>
          <t xml:space="preserve">SRC-CANON-TEXT; SRC-KINGS-OVERVIEW; SRC-CHRONICLES-OVERVIEW; SRC-HEZEKIAH; SRC-ISAIAH</t>
        </is>
      </c>
      <c r="K142" s="15" t="inlineStr">
        <is>
          <t xml:space="preserve">resolution id: RES-2K-020-28 | scope passage: 2 Chronicles 32:24-31 | relationship: Complementary Account | target map: Canon Map v0.3 | target crs / final home: CRS-2K-020 | target passage: 2 Kings 20 | placement confidence: Debated | status: Draft | full stream behavior: Read after the primary Kings block as an intact linked account before Full Stream completion. | narrative flow behavior: Do not auto-complete if skipped; show as pending linked account. | compare behavior: Offer account-level comparison when passages narrate the same event; do not align synthetic verse composites. | notes: Chronicles' illness/envoy material. | source ids: SRC-CANON-TEXT; SRC-KINGS-OVERVIEW; SRC-CHRONICLES-OVERVIEW; SRC-HEZEKIAH; SRC-ISAIAH | owner: Editorial</t>
        </is>
      </c>
    </row>
    <row r="143" ht="34" customHeight="1">
      <c r="A143" s="15" t="inlineStr">
        <is>
          <t xml:space="preserve">v0.3</t>
        </is>
      </c>
      <c r="B143" s="15" t="inlineStr">
        <is>
          <t xml:space="preserve">Bible_Journey_Canon_Map_v0_3_2Chronicles_Wisdom_2Kings.xlsx</t>
        </is>
      </c>
      <c r="C143" s="15" t="inlineStr">
        <is>
          <t xml:space="preserve">Integration Resolution</t>
        </is>
      </c>
      <c r="D143" s="15" t="inlineStr">
        <is>
          <t xml:space="preserve">RES-2K-020-29</t>
        </is>
      </c>
      <c r="E143" s="15" t="inlineStr">
        <is>
          <t xml:space="preserve">Isaiah 38-39</t>
        </is>
      </c>
      <c r="F143" s="15" t="inlineStr">
        <is>
          <t xml:space="preserve">Future Canon Map</t>
        </is>
      </c>
      <c r="G143" s="15" t="inlineStr">
        <is>
          <t xml:space="preserve">Future parallel account</t>
        </is>
      </c>
      <c r="H143" s="15" t="inlineStr">
        <is>
          <t xml:space="preserve">Debated</t>
        </is>
      </c>
      <c r="I143" s="13" t="inlineStr">
        <is>
          <t xml:space="preserve">Draft</t>
        </is>
      </c>
      <c r="J143" s="15" t="inlineStr">
        <is>
          <t xml:space="preserve">SRC-CANON-TEXT; SRC-KINGS-OVERVIEW; SRC-CHRONICLES-OVERVIEW; SRC-HEZEKIAH; SRC-ISAIAH</t>
        </is>
      </c>
      <c r="K143" s="15" t="inlineStr">
        <is>
          <t xml:space="preserve">resolution id: RES-2K-020-29 | scope passage: Isaiah 38-39 | relationship: Future parallel account | target map: Future Canon Map | target crs / final home: CRS-2K-020 | target passage: 2 Kings 20 | placement confidence: Debated | status: Draft | full stream behavior: Future required block once the Isaiah scope is published. | narrative flow behavior: Show future context notice only until Isaiah scope exists. | compare behavior: Offer account-level comparison when passages narrate the same event; do not align synthetic verse composites. | notes: Future map dependency; not in this scope. | source ids: SRC-CANON-TEXT; SRC-KINGS-OVERVIEW; SRC-CHRONICLES-OVERVIEW; SRC-HEZEKIAH; SRC-ISAIAH | owner: Editorial</t>
        </is>
      </c>
    </row>
    <row r="144" ht="34" customHeight="1">
      <c r="A144" s="15" t="inlineStr">
        <is>
          <t xml:space="preserve">v0.3</t>
        </is>
      </c>
      <c r="B144" s="15" t="inlineStr">
        <is>
          <t xml:space="preserve">Bible_Journey_Canon_Map_v0_3_2Chronicles_Wisdom_2Kings.xlsx</t>
        </is>
      </c>
      <c r="C144" s="15" t="inlineStr">
        <is>
          <t xml:space="preserve">Integration Resolution</t>
        </is>
      </c>
      <c r="D144" s="15" t="inlineStr">
        <is>
          <t xml:space="preserve">RES-2K-021-30</t>
        </is>
      </c>
      <c r="E144" s="15" t="inlineStr">
        <is>
          <t xml:space="preserve">2 Chronicles 33</t>
        </is>
      </c>
      <c r="F144" s="15" t="inlineStr">
        <is>
          <t xml:space="preserve">Canon Map v0.3</t>
        </is>
      </c>
      <c r="G144" s="15" t="inlineStr">
        <is>
          <t xml:space="preserve">Parallel / Complementary Account</t>
        </is>
      </c>
      <c r="H144" s="15" t="inlineStr">
        <is>
          <t xml:space="preserve">High</t>
        </is>
      </c>
      <c r="I144" s="13" t="inlineStr">
        <is>
          <t xml:space="preserve">Draft</t>
        </is>
      </c>
      <c r="J144" s="15" t="inlineStr">
        <is>
          <t xml:space="preserve">SRC-CANON-TEXT; SRC-KINGS-OVERVIEW; SRC-CHRONICLES-OVERVIEW; SRC-MANASSEH</t>
        </is>
      </c>
      <c r="K144" s="15" t="inlineStr">
        <is>
          <t xml:space="preserve">resolution id: RES-2K-021-30 | scope passage: 2 Chronicles 33 | relationship: Parallel / Complementary Account | target map: Canon Map v0.3 | target crs / final home: CRS-2K-021 | target passage: 2 Kings 21 | placement confidence: High | status: Draft | full stream behavior: Read after the primary Kings block as an intact linked account before Full Stream completion. | narrative flow behavior: Do not auto-complete if skipped; show as pending linked account. | compare behavior: Offer account-level comparison when passages narrate the same event; do not align synthetic verse composites. | notes: Chronicles account includes captivity and repentance material not in Kings. | source ids: SRC-CANON-TEXT; SRC-KINGS-OVERVIEW; SRC-CHRONICLES-OVERVIEW; SRC-MANASSEH | owner: Editorial</t>
        </is>
      </c>
    </row>
    <row r="145" ht="34" customHeight="1">
      <c r="A145" s="15" t="inlineStr">
        <is>
          <t xml:space="preserve">v0.3</t>
        </is>
      </c>
      <c r="B145" s="15" t="inlineStr">
        <is>
          <t xml:space="preserve">Bible_Journey_Canon_Map_v0_3_2Chronicles_Wisdom_2Kings.xlsx</t>
        </is>
      </c>
      <c r="C145" s="15" t="inlineStr">
        <is>
          <t xml:space="preserve">Integration Resolution</t>
        </is>
      </c>
      <c r="D145" s="15" t="inlineStr">
        <is>
          <t xml:space="preserve">RES-2K-022-31</t>
        </is>
      </c>
      <c r="E145" s="15" t="inlineStr">
        <is>
          <t xml:space="preserve">2 Chronicles 34</t>
        </is>
      </c>
      <c r="F145" s="15" t="inlineStr">
        <is>
          <t xml:space="preserve">Canon Map v0.3</t>
        </is>
      </c>
      <c r="G145" s="15" t="inlineStr">
        <is>
          <t xml:space="preserve">Parallel / Complementary Account</t>
        </is>
      </c>
      <c r="H145" s="15" t="inlineStr">
        <is>
          <t xml:space="preserve">High</t>
        </is>
      </c>
      <c r="I145" s="13" t="inlineStr">
        <is>
          <t xml:space="preserve">Draft</t>
        </is>
      </c>
      <c r="J145" s="15" t="inlineStr">
        <is>
          <t xml:space="preserve">SRC-CANON-TEXT; SRC-KINGS-OVERVIEW; SRC-CHRONICLES-OVERVIEW; SRC-JUDAH</t>
        </is>
      </c>
      <c r="K145" s="15" t="inlineStr">
        <is>
          <t xml:space="preserve">resolution id: RES-2K-022-31 | scope passage: 2 Chronicles 34 | relationship: Parallel / Complementary Account | target map: Canon Map v0.3 | target crs / final home: CRS-2K-022 | target passage: 2 Kings 22 | placement confidence: High | status: Draft | full stream behavior: Read after the primary Kings block as an intact linked account before Full Stream completion. | narrative flow behavior: Do not auto-complete if skipped; show as pending linked account. | compare behavior: Offer account-level comparison when passages narrate the same event; do not align synthetic verse composites. | notes: Chronicles account of Josiah's reforms and discovery of the book. | source ids: SRC-CANON-TEXT; SRC-KINGS-OVERVIEW; SRC-CHRONICLES-OVERVIEW; SRC-JUDAH | owner: Editorial</t>
        </is>
      </c>
    </row>
    <row r="146" ht="34" customHeight="1">
      <c r="A146" s="15" t="inlineStr">
        <is>
          <t xml:space="preserve">v0.3</t>
        </is>
      </c>
      <c r="B146" s="15" t="inlineStr">
        <is>
          <t xml:space="preserve">Bible_Journey_Canon_Map_v0_3_2Chronicles_Wisdom_2Kings.xlsx</t>
        </is>
      </c>
      <c r="C146" s="15" t="inlineStr">
        <is>
          <t xml:space="preserve">Integration Resolution</t>
        </is>
      </c>
      <c r="D146" s="15" t="inlineStr">
        <is>
          <t xml:space="preserve">RES-2K-023-32</t>
        </is>
      </c>
      <c r="E146" s="15" t="inlineStr">
        <is>
          <t xml:space="preserve">2 Chronicles 35</t>
        </is>
      </c>
      <c r="F146" s="15" t="inlineStr">
        <is>
          <t xml:space="preserve">Canon Map v0.3</t>
        </is>
      </c>
      <c r="G146" s="15" t="inlineStr">
        <is>
          <t xml:space="preserve">Parallel / Complementary Account</t>
        </is>
      </c>
      <c r="H146" s="15" t="inlineStr">
        <is>
          <t xml:space="preserve">High</t>
        </is>
      </c>
      <c r="I146" s="13" t="inlineStr">
        <is>
          <t xml:space="preserve">Draft</t>
        </is>
      </c>
      <c r="J146" s="15" t="inlineStr">
        <is>
          <t xml:space="preserve">SRC-CANON-TEXT; SRC-KINGS-OVERVIEW; SRC-CHRONICLES-OVERVIEW; SRC-JUDAH</t>
        </is>
      </c>
      <c r="K146" s="15" t="inlineStr">
        <is>
          <t xml:space="preserve">resolution id: RES-2K-023-32 | scope passage: 2 Chronicles 35 | relationship: Parallel / Complementary Account | target map: Canon Map v0.3 | target crs / final home: CRS-2K-023 | target passage: 2 Kings 23:1-30 | placement confidence: High | status: Draft | full stream behavior: Read after the primary Kings block as an intact linked account before Full Stream completion. | narrative flow behavior: Do not auto-complete if skipped; show as pending linked account. | compare behavior: Offer account-level comparison when passages narrate the same event; do not align synthetic verse composites. | notes: Chronicles' Passover and Josiah death account. | source ids: SRC-CANON-TEXT; SRC-KINGS-OVERVIEW; SRC-CHRONICLES-OVERVIEW; SRC-JUDAH | owner: Editorial</t>
        </is>
      </c>
    </row>
    <row r="147" ht="34" customHeight="1">
      <c r="A147" s="15" t="inlineStr">
        <is>
          <t xml:space="preserve">v0.3</t>
        </is>
      </c>
      <c r="B147" s="15" t="inlineStr">
        <is>
          <t xml:space="preserve">Bible_Journey_Canon_Map_v0_3_2Chronicles_Wisdom_2Kings.xlsx</t>
        </is>
      </c>
      <c r="C147" s="15" t="inlineStr">
        <is>
          <t xml:space="preserve">Integration Resolution</t>
        </is>
      </c>
      <c r="D147" s="15" t="inlineStr">
        <is>
          <t xml:space="preserve">RES-2K-024-33</t>
        </is>
      </c>
      <c r="E147" s="15" t="inlineStr">
        <is>
          <t xml:space="preserve">2 Chronicles 36:1-21</t>
        </is>
      </c>
      <c r="F147" s="15" t="inlineStr">
        <is>
          <t xml:space="preserve">Canon Map v0.3</t>
        </is>
      </c>
      <c r="G147" s="15" t="inlineStr">
        <is>
          <t xml:space="preserve">Parallel / Complementary Account</t>
        </is>
      </c>
      <c r="H147" s="15" t="inlineStr">
        <is>
          <t xml:space="preserve">High</t>
        </is>
      </c>
      <c r="I147" s="13" t="inlineStr">
        <is>
          <t xml:space="preserve">Draft</t>
        </is>
      </c>
      <c r="J147" s="15" t="inlineStr">
        <is>
          <t xml:space="preserve">SRC-CANON-TEXT; SRC-KINGS-OVERVIEW; SRC-CHRONICLES-OVERVIEW; SRC-JUDAH; SRC-KINGS-TIMELINE</t>
        </is>
      </c>
      <c r="K147" s="15" t="inlineStr">
        <is>
          <t xml:space="preserve">resolution id: RES-2K-024-33 | scope passage: 2 Chronicles 36:1-21 | relationship: Parallel / Complementary Account | target map: Canon Map v0.3 | target crs / final home: CRS-2K-024 | target passage: 2 Kings 23:31-24:20 | placement confidence: High | status: Draft | full stream behavior: Read after the primary Kings block as an intact linked account before Full Stream completion. | narrative flow behavior: Do not auto-complete if skipped; show as pending linked account. | compare behavior: Offer account-level comparison when passages narrate the same event; do not align synthetic verse composites. | notes: Chronicles' final kings and exile account. | source ids: SRC-CANON-TEXT; SRC-KINGS-OVERVIEW; SRC-CHRONICLES-OVERVIEW; SRC-JUDAH; SRC-KINGS-TIMELINE | owner: Editorial</t>
        </is>
      </c>
    </row>
    <row r="148" ht="34" customHeight="1">
      <c r="A148" s="15" t="inlineStr">
        <is>
          <t xml:space="preserve">v0.3</t>
        </is>
      </c>
      <c r="B148" s="15" t="inlineStr">
        <is>
          <t xml:space="preserve">Bible_Journey_Canon_Map_v0_3_2Chronicles_Wisdom_2Kings.xlsx</t>
        </is>
      </c>
      <c r="C148" s="15" t="inlineStr">
        <is>
          <t xml:space="preserve">Integration Resolution</t>
        </is>
      </c>
      <c r="D148" s="15" t="inlineStr">
        <is>
          <t xml:space="preserve">RES-2K-025-34</t>
        </is>
      </c>
      <c r="E148" s="15" t="inlineStr">
        <is>
          <t xml:space="preserve">2 Chronicles 36:22-23</t>
        </is>
      </c>
      <c r="F148" s="15" t="inlineStr">
        <is>
          <t xml:space="preserve">Canon Map v0.3</t>
        </is>
      </c>
      <c r="G148" s="15" t="inlineStr">
        <is>
          <t xml:space="preserve">Supplementary Reading</t>
        </is>
      </c>
      <c r="H148" s="15" t="inlineStr">
        <is>
          <t xml:space="preserve">High</t>
        </is>
      </c>
      <c r="I148" s="13" t="inlineStr">
        <is>
          <t xml:space="preserve">Draft</t>
        </is>
      </c>
      <c r="J148" s="15" t="inlineStr">
        <is>
          <t xml:space="preserve">SRC-CANON-TEXT; SRC-KINGS-OVERVIEW; SRC-CHRONICLES-OVERVIEW; SRC-JUDAH; SRC-KINGS-TIMELINE</t>
        </is>
      </c>
      <c r="K148" s="15" t="inlineStr">
        <is>
          <t xml:space="preserve">resolution id: RES-2K-025-34 | scope passage: 2 Chronicles 36:22-23 | relationship: Supplementary Reading | target map: Canon Map v0.3 | target crs / final home: CRS-2K-025 | target passage: 2 Kings 25 | placement confidence: High | status: Draft | full stream behavior: Read after the primary Kings block as an intact linked account before Full Stream completion. | narrative flow behavior: Do not auto-complete if skipped; show as pending linked account. | compare behavior: Offer account-level comparison when passages narrate the same event; do not align synthetic verse composites. | notes: Cyrus bridge to the return / Ezra. | source ids: SRC-CANON-TEXT; SRC-KINGS-OVERVIEW; SRC-CHRONICLES-OVERVIEW; SRC-JUDAH; SRC-KINGS-TIMELINE | owner: Editorial</t>
        </is>
      </c>
    </row>
    <row r="149" ht="34" customHeight="1">
      <c r="A149" s="15" t="inlineStr">
        <is>
          <t xml:space="preserve">v0.3</t>
        </is>
      </c>
      <c r="B149" s="15" t="inlineStr">
        <is>
          <t xml:space="preserve">Bible_Journey_Canon_Map_v0_3_2Chronicles_Wisdom_2Kings.xlsx</t>
        </is>
      </c>
      <c r="C149" s="15" t="inlineStr">
        <is>
          <t xml:space="preserve">Integration Resolution</t>
        </is>
      </c>
      <c r="D149" s="15" t="inlineStr">
        <is>
          <t xml:space="preserve">RES-WIS-HEZ-001</t>
        </is>
      </c>
      <c r="E149" s="15" t="inlineStr">
        <is>
          <t xml:space="preserve">Proverbs 25-29</t>
        </is>
      </c>
      <c r="F149" s="15" t="inlineStr">
        <is>
          <t xml:space="preserve">Canon Map v0.3</t>
        </is>
      </c>
      <c r="G149" s="15" t="inlineStr">
        <is>
          <t xml:space="preserve">Collection / editorial context</t>
        </is>
      </c>
      <c r="H149" s="15" t="inlineStr">
        <is>
          <t xml:space="preserve">Probable</t>
        </is>
      </c>
      <c r="I149" s="13" t="inlineStr">
        <is>
          <t xml:space="preserve">Draft</t>
        </is>
      </c>
      <c r="J149" s="15" t="inlineStr">
        <is>
          <t xml:space="preserve">SRC-CANON-TEXT; SRC-WISDOM-CANON; SRC-WHO-WROTE</t>
        </is>
      </c>
      <c r="K149" s="15" t="inlineStr">
        <is>
          <t xml:space="preserve">resolution id: RES-WIS-HEZ-001 | scope passage: Proverbs 25-29 | relationship: Collection / editorial context | target map: Canon Map v0.3 | target crs / final home: CRS-2K-018 | target passage: 2 Kings 18:1-12; 2 Chronicles 29-31 | placement confidence: Probable | status: Draft | full stream behavior: Read as an intact wisdom collection inside the disclosed Hezekian collection note; it does not retell the event. | narrative flow behavior: Optional contextual branch. Retain pending when omitted. | compare behavior: No parallel-text comparison; surface 'Why this appears here' instead. | notes: The heading in Proverbs 25:1 supports a Hezekian collection association, not a composition date for every proverb. | source ids: SRC-CANON-TEXT; SRC-WISDOM-CANON; SRC-WHO-WROTE | owner: Editorial</t>
        </is>
      </c>
    </row>
    <row r="150" ht="34" customHeight="1">
      <c r="A150" s="15" t="inlineStr">
        <is>
          <t xml:space="preserve">v0.3</t>
        </is>
      </c>
      <c r="B150" s="15" t="inlineStr">
        <is>
          <t xml:space="preserve">Bible_Journey_Canon_Map_v0_3_2Chronicles_Wisdom_2Kings.xlsx</t>
        </is>
      </c>
      <c r="C150" s="15" t="inlineStr">
        <is>
          <t xml:space="preserve">Wisdom Placement Policy</t>
        </is>
      </c>
      <c r="D150" s="15" t="inlineStr">
        <is>
          <t xml:space="preserve">WIS-001</t>
        </is>
      </c>
      <c r="E150" s="15"/>
      <c r="F150" s="15" t="inlineStr">
        <is>
          <t xml:space="preserve">SRC-WISDOM-CANON; SRC-WHO-WROTE</t>
        </is>
      </c>
      <c r="G150" s="15" t="inlineStr">
        <is>
          <t xml:space="preserve">WIS-001</t>
        </is>
      </c>
      <c r="H150" s="13" t="inlineStr">
        <is>
          <t xml:space="preserve">Unresolved</t>
        </is>
      </c>
      <c r="I150" s="13" t="inlineStr">
        <is>
          <t xml:space="preserve">Draft</t>
        </is>
      </c>
      <c r="J150" s="15"/>
      <c r="K150" s="15" t="inlineStr">
        <is>
          <t xml:space="preserve">policy id: WIS-001 | content: Proverbs 1-24 | default bible stream placement: Disclosed Solomonic Wisdom Interlude after Solomon's reign material | why: Traditional association with Solomon is meaningful for navigation but not a settled composition chronology. | placement confidence: Unresolved | narrative flow default: Off by default; show as an optional wisdom chapter | compare accounts: No | user-facing wording: 'Traditionally associated with Solomon; historical composition and individual settings remain debated.' | sources: SRC-WISDOM-CANON; SRC-WHO-WROTE | status: Draft</t>
        </is>
      </c>
    </row>
    <row r="151" ht="34" customHeight="1">
      <c r="A151" s="15" t="inlineStr">
        <is>
          <t xml:space="preserve">v0.3</t>
        </is>
      </c>
      <c r="B151" s="15" t="inlineStr">
        <is>
          <t xml:space="preserve">Bible_Journey_Canon_Map_v0_3_2Chronicles_Wisdom_2Kings.xlsx</t>
        </is>
      </c>
      <c r="C151" s="15" t="inlineStr">
        <is>
          <t xml:space="preserve">Wisdom Placement Policy</t>
        </is>
      </c>
      <c r="D151" s="15" t="inlineStr">
        <is>
          <t xml:space="preserve">WIS-002</t>
        </is>
      </c>
      <c r="E151" s="15"/>
      <c r="F151" s="15" t="inlineStr">
        <is>
          <t xml:space="preserve">SRC-WISDOM-CANON; SRC-WHO-WROTE; SRC-SONG</t>
        </is>
      </c>
      <c r="G151" s="15" t="inlineStr">
        <is>
          <t xml:space="preserve">WIS-002</t>
        </is>
      </c>
      <c r="H151" s="13" t="inlineStr">
        <is>
          <t xml:space="preserve">Unresolved</t>
        </is>
      </c>
      <c r="I151" s="13" t="inlineStr">
        <is>
          <t xml:space="preserve">Draft</t>
        </is>
      </c>
      <c r="J151" s="15"/>
      <c r="K151" s="15" t="inlineStr">
        <is>
          <t xml:space="preserve">policy id: WIS-002 | content: Song of Songs 1-8 | default bible stream placement: Disclosed Solomonic Wisdom Interlude | why: Traditional Solomonic association is not sufficient to present the work as a dated narrative episode. | placement confidence: Unresolved | narrative flow default: Off by default; offer through Wisdom and Poetry | compare accounts: No | user-facing wording: 'Placed beside the Solomonic tradition as a study arrangement, not as a claim about a specific moment in Solomon's life.' | sources: SRC-WISDOM-CANON; SRC-WHO-WROTE; SRC-SONG | status: Draft</t>
        </is>
      </c>
    </row>
    <row r="152" ht="34" customHeight="1">
      <c r="A152" s="15" t="inlineStr">
        <is>
          <t xml:space="preserve">v0.3</t>
        </is>
      </c>
      <c r="B152" s="15" t="inlineStr">
        <is>
          <t xml:space="preserve">Bible_Journey_Canon_Map_v0_3_2Chronicles_Wisdom_2Kings.xlsx</t>
        </is>
      </c>
      <c r="C152" s="15" t="inlineStr">
        <is>
          <t xml:space="preserve">Wisdom Placement Policy</t>
        </is>
      </c>
      <c r="D152" s="15" t="inlineStr">
        <is>
          <t xml:space="preserve">WIS-003</t>
        </is>
      </c>
      <c r="E152" s="15"/>
      <c r="F152" s="15" t="inlineStr">
        <is>
          <t xml:space="preserve">SRC-WISDOM-CANON; SRC-WHO-WROTE</t>
        </is>
      </c>
      <c r="G152" s="15" t="inlineStr">
        <is>
          <t xml:space="preserve">WIS-003</t>
        </is>
      </c>
      <c r="H152" s="13" t="inlineStr">
        <is>
          <t xml:space="preserve">Unresolved</t>
        </is>
      </c>
      <c r="I152" s="13" t="inlineStr">
        <is>
          <t xml:space="preserve">Draft</t>
        </is>
      </c>
      <c r="J152" s="15"/>
      <c r="K152" s="15" t="inlineStr">
        <is>
          <t xml:space="preserve">policy id: WIS-003 | content: Ecclesiastes 1-12 | default bible stream placement: Disclosed Solomonic Wisdom Interlude | why: The traditional association should not be converted into a 'late-life Solomon' factual claim. | placement confidence: Unresolved | narrative flow default: Off by default; offer through Wisdom and Poetry | compare accounts: No | user-facing wording: 'Traditionally associated with Solomon. The app does not present it as a verified autobiography or dated final-life journal.' | sources: SRC-WISDOM-CANON; SRC-WHO-WROTE | status: Draft</t>
        </is>
      </c>
    </row>
    <row r="153" ht="34" customHeight="1">
      <c r="A153" s="15" t="inlineStr">
        <is>
          <t xml:space="preserve">v0.3</t>
        </is>
      </c>
      <c r="B153" s="15" t="inlineStr">
        <is>
          <t xml:space="preserve">Bible_Journey_Canon_Map_v0_3_2Chronicles_Wisdom_2Kings.xlsx</t>
        </is>
      </c>
      <c r="C153" s="15" t="inlineStr">
        <is>
          <t xml:space="preserve">Wisdom Placement Policy</t>
        </is>
      </c>
      <c r="D153" s="15" t="inlineStr">
        <is>
          <t xml:space="preserve">WIS-004</t>
        </is>
      </c>
      <c r="E153" s="15"/>
      <c r="F153" s="15" t="inlineStr">
        <is>
          <t xml:space="preserve">SRC-CANON-TEXT; SRC-WISDOM-CANON; SRC-WHO-WROTE</t>
        </is>
      </c>
      <c r="G153" s="15" t="inlineStr">
        <is>
          <t xml:space="preserve">WIS-004</t>
        </is>
      </c>
      <c r="H153" s="15" t="inlineStr">
        <is>
          <t xml:space="preserve">Probable</t>
        </is>
      </c>
      <c r="I153" s="13" t="inlineStr">
        <is>
          <t xml:space="preserve">Draft</t>
        </is>
      </c>
      <c r="J153" s="15"/>
      <c r="K153" s="15" t="inlineStr">
        <is>
          <t xml:space="preserve">policy id: WIS-004 | content: Proverbs 25-29 | default bible stream placement: Hezekiah collection note within CRS-2K-018 | why: The superscription names the officials of Hezekiah as copyists/collectors; it does not date every saying. | placement confidence: Probable | narrative flow default: Optional linked context after Hezekiah reforms | compare accounts: No | user-facing wording: 'This collection is associated with the men of Hezekiah. That association describes collection history, not the date of every proverb.' | sources: SRC-CANON-TEXT; SRC-WISDOM-CANON; SRC-WHO-WROTE | status: Draft</t>
        </is>
      </c>
    </row>
    <row r="154" ht="34" customHeight="1">
      <c r="A154" s="15" t="inlineStr">
        <is>
          <t xml:space="preserve">v0.3</t>
        </is>
      </c>
      <c r="B154" s="15" t="inlineStr">
        <is>
          <t xml:space="preserve">Bible_Journey_Canon_Map_v0_3_2Chronicles_Wisdom_2Kings.xlsx</t>
        </is>
      </c>
      <c r="C154" s="15" t="inlineStr">
        <is>
          <t xml:space="preserve">Wisdom Placement Policy</t>
        </is>
      </c>
      <c r="D154" s="15" t="inlineStr">
        <is>
          <t xml:space="preserve">WIS-005</t>
        </is>
      </c>
      <c r="E154" s="15"/>
      <c r="F154" s="15" t="inlineStr">
        <is>
          <t xml:space="preserve">SRC-CANON-TEXT; SRC-WISDOM-CANON</t>
        </is>
      </c>
      <c r="G154" s="15" t="inlineStr">
        <is>
          <t xml:space="preserve">WIS-005</t>
        </is>
      </c>
      <c r="H154" s="13" t="inlineStr">
        <is>
          <t xml:space="preserve">Unresolved</t>
        </is>
      </c>
      <c r="I154" s="13" t="inlineStr">
        <is>
          <t xml:space="preserve">Draft</t>
        </is>
      </c>
      <c r="J154" s="15"/>
      <c r="K154" s="15" t="inlineStr">
        <is>
          <t xml:space="preserve">policy id: WIS-005 | content: Proverbs 30 | default bible stream placement: Wisdom Library / no fixed event placement | why: The collection is attributed in the text to Agur, not framed as a dated episode in Solomon's life. | placement confidence: Unresolved | narrative flow default: Off by default | compare accounts: No | user-facing wording: 'No single historical placement is asserted.' | sources: SRC-CANON-TEXT; SRC-WISDOM-CANON | status: Draft</t>
        </is>
      </c>
    </row>
    <row r="155" ht="34" customHeight="1">
      <c r="A155" s="15" t="inlineStr">
        <is>
          <t xml:space="preserve">v0.3</t>
        </is>
      </c>
      <c r="B155" s="15" t="inlineStr">
        <is>
          <t xml:space="preserve">Bible_Journey_Canon_Map_v0_3_2Chronicles_Wisdom_2Kings.xlsx</t>
        </is>
      </c>
      <c r="C155" s="15" t="inlineStr">
        <is>
          <t xml:space="preserve">Wisdom Placement Policy</t>
        </is>
      </c>
      <c r="D155" s="15" t="inlineStr">
        <is>
          <t xml:space="preserve">WIS-006</t>
        </is>
      </c>
      <c r="E155" s="15"/>
      <c r="F155" s="15" t="inlineStr">
        <is>
          <t xml:space="preserve">SRC-CANON-TEXT; SRC-WISDOM-CANON</t>
        </is>
      </c>
      <c r="G155" s="15" t="inlineStr">
        <is>
          <t xml:space="preserve">WIS-006</t>
        </is>
      </c>
      <c r="H155" s="13" t="inlineStr">
        <is>
          <t xml:space="preserve">Unresolved</t>
        </is>
      </c>
      <c r="I155" s="13" t="inlineStr">
        <is>
          <t xml:space="preserve">Draft</t>
        </is>
      </c>
      <c r="J155" s="15"/>
      <c r="K155" s="15" t="inlineStr">
        <is>
          <t xml:space="preserve">policy id: WIS-006 | content: Proverbs 31 | default bible stream placement: Wisdom Library / no fixed event placement | why: The collection names Lemuel and his mother; the app will not silently recast it as Solomon material. | placement confidence: Unresolved | narrative flow default: Off by default | compare accounts: No | user-facing wording: 'No single historical placement is asserted.' | sources: SRC-CANON-TEXT; SRC-WISDOM-CANON | status: Draft</t>
        </is>
      </c>
    </row>
    <row r="156" ht="34" customHeight="1">
      <c r="A156" s="15" t="inlineStr">
        <is>
          <t xml:space="preserve">v0.4</t>
        </is>
      </c>
      <c r="B156" s="15" t="inlineStr">
        <is>
          <t xml:space="preserve">Bible_Journey_Canon_Map_v0_4_Prophets_Exile.xlsx</t>
        </is>
      </c>
      <c r="C156" s="15" t="inlineStr">
        <is>
          <t xml:space="preserve">Link Ledger</t>
        </is>
      </c>
      <c r="D156" s="15" t="inlineStr">
        <is>
          <t xml:space="preserve">LNK-04-001</t>
        </is>
      </c>
      <c r="E156" s="15" t="inlineStr">
        <is>
          <t xml:space="preserve">v0.3</t>
        </is>
      </c>
      <c r="F156" s="15" t="inlineStr">
        <is>
          <t xml:space="preserve">CRS-04-001 to CRS-04-007</t>
        </is>
      </c>
      <c r="G156" s="15"/>
      <c r="H156" s="15" t="inlineStr">
        <is>
          <t xml:space="preserve">High</t>
        </is>
      </c>
      <c r="I156" s="13" t="inlineStr">
        <is>
          <t xml:space="preserve">Draft</t>
        </is>
      </c>
      <c r="J156" s="15"/>
      <c r="K156" s="15" t="inlineStr">
        <is>
          <t xml:space="preserve">link id: LNK-04-001 | from map: v0.3 | from anchor: 2 Kings 14:23-29 | to crs / block: CRS-04-001 to CRS-04-007 | link type: Prophetic overlay | complete behavior: Read all in complete mode | narrative behavior: Offer main spine continuation + overlay queue | confidence: High | status: Draft</t>
        </is>
      </c>
    </row>
    <row r="157" ht="34" customHeight="1">
      <c r="A157" s="15" t="inlineStr">
        <is>
          <t xml:space="preserve">v0.4</t>
        </is>
      </c>
      <c r="B157" s="15" t="inlineStr">
        <is>
          <t xml:space="preserve">Bible_Journey_Canon_Map_v0_4_Prophets_Exile.xlsx</t>
        </is>
      </c>
      <c r="C157" s="15" t="inlineStr">
        <is>
          <t xml:space="preserve">Link Ledger</t>
        </is>
      </c>
      <c r="D157" s="15" t="inlineStr">
        <is>
          <t xml:space="preserve">LNK-04-002</t>
        </is>
      </c>
      <c r="E157" s="15" t="inlineStr">
        <is>
          <t xml:space="preserve">v0.3</t>
        </is>
      </c>
      <c r="F157" s="15" t="inlineStr">
        <is>
          <t xml:space="preserve">CRS-04-008 to CRS-04-015</t>
        </is>
      </c>
      <c r="G157" s="15"/>
      <c r="H157" s="15" t="inlineStr">
        <is>
          <t xml:space="preserve">High</t>
        </is>
      </c>
      <c r="I157" s="13" t="inlineStr">
        <is>
          <t xml:space="preserve">Draft</t>
        </is>
      </c>
      <c r="J157" s="15"/>
      <c r="K157" s="15" t="inlineStr">
        <is>
          <t xml:space="preserve">link id: LNK-04-002 | from map: v0.3 | from anchor: 2 Kings 15-16 / 2 Chronicles 26-28 | to crs / block: CRS-04-008 to CRS-04-015 | link type: Prophetic overlay | complete behavior: Read all in complete mode | narrative behavior: Keep oracle collections available but may defer marked collections | compare group: Ahaz / Isaiah | confidence: High | status: Draft</t>
        </is>
      </c>
    </row>
    <row r="158" ht="34" customHeight="1">
      <c r="A158" s="15" t="inlineStr">
        <is>
          <t xml:space="preserve">v0.4</t>
        </is>
      </c>
      <c r="B158" s="15" t="inlineStr">
        <is>
          <t xml:space="preserve">Bible_Journey_Canon_Map_v0_4_Prophets_Exile.xlsx</t>
        </is>
      </c>
      <c r="C158" s="15" t="inlineStr">
        <is>
          <t xml:space="preserve">Link Ledger</t>
        </is>
      </c>
      <c r="D158" s="15" t="inlineStr">
        <is>
          <t xml:space="preserve">LNK-04-003</t>
        </is>
      </c>
      <c r="E158" s="15" t="inlineStr">
        <is>
          <t xml:space="preserve">v0.3</t>
        </is>
      </c>
      <c r="F158" s="15" t="inlineStr">
        <is>
          <t xml:space="preserve">CRS-04-016 to CRS-04-018</t>
        </is>
      </c>
      <c r="G158" s="15"/>
      <c r="H158" s="15" t="inlineStr">
        <is>
          <t xml:space="preserve">High</t>
        </is>
      </c>
      <c r="I158" s="13" t="inlineStr">
        <is>
          <t xml:space="preserve">Draft</t>
        </is>
      </c>
      <c r="J158" s="15"/>
      <c r="K158" s="15" t="inlineStr">
        <is>
          <t xml:space="preserve">link id: LNK-04-003 | from map: v0.3 | from anchor: 2 Kings 18-20 / 2 Chronicles 29-32 | to crs / block: CRS-04-016 to CRS-04-018 | link type: Parallel + context | complete behavior: Read Kings/Chronicles/Isaiah blocks sequentially | narrative behavior: Present historical spine then optional overlay | compare group: Hezekiah / Assyria | confidence: High | status: Draft</t>
        </is>
      </c>
    </row>
    <row r="159" ht="34" customHeight="1">
      <c r="A159" s="15" t="inlineStr">
        <is>
          <t xml:space="preserve">v0.4</t>
        </is>
      </c>
      <c r="B159" s="15" t="inlineStr">
        <is>
          <t xml:space="preserve">Bible_Journey_Canon_Map_v0_4_Prophets_Exile.xlsx</t>
        </is>
      </c>
      <c r="C159" s="15" t="inlineStr">
        <is>
          <t xml:space="preserve">Link Ledger</t>
        </is>
      </c>
      <c r="D159" s="15" t="inlineStr">
        <is>
          <t xml:space="preserve">LNK-04-004</t>
        </is>
      </c>
      <c r="E159" s="15" t="inlineStr">
        <is>
          <t xml:space="preserve">v0.3</t>
        </is>
      </c>
      <c r="F159" s="15" t="inlineStr">
        <is>
          <t xml:space="preserve">CRS-04-019 to CRS-04-022</t>
        </is>
      </c>
      <c r="G159" s="15"/>
      <c r="H159" s="15" t="inlineStr">
        <is>
          <t xml:space="preserve">Mixed</t>
        </is>
      </c>
      <c r="I159" s="13" t="inlineStr">
        <is>
          <t xml:space="preserve">Draft</t>
        </is>
      </c>
      <c r="J159" s="15"/>
      <c r="K159" s="15" t="inlineStr">
        <is>
          <t xml:space="preserve">link id: LNK-04-004 | from map: v0.3 | from anchor: 2 Kings 22-23 / 2 Chronicles 34-35 | to crs / block: CRS-04-019 to CRS-04-022 | link type: Prophetic overlay | complete behavior: Read all required blocks | narrative behavior: Present Josiah story with prophet context drawers | confidence: Mixed | status: Draft</t>
        </is>
      </c>
    </row>
    <row r="160" ht="34" customHeight="1">
      <c r="A160" s="15" t="inlineStr">
        <is>
          <t xml:space="preserve">v0.4</t>
        </is>
      </c>
      <c r="B160" s="15" t="inlineStr">
        <is>
          <t xml:space="preserve">Bible_Journey_Canon_Map_v0_4_Prophets_Exile.xlsx</t>
        </is>
      </c>
      <c r="C160" s="15" t="inlineStr">
        <is>
          <t xml:space="preserve">Link Ledger</t>
        </is>
      </c>
      <c r="D160" s="15" t="inlineStr">
        <is>
          <t xml:space="preserve">LNK-04-005</t>
        </is>
      </c>
      <c r="E160" s="15" t="inlineStr">
        <is>
          <t xml:space="preserve">v0.3</t>
        </is>
      </c>
      <c r="F160" s="15" t="inlineStr">
        <is>
          <t xml:space="preserve">CRS-04-023 to CRS-04-029</t>
        </is>
      </c>
      <c r="G160" s="15"/>
      <c r="H160" s="15" t="inlineStr">
        <is>
          <t xml:space="preserve">Mixed</t>
        </is>
      </c>
      <c r="I160" s="13" t="inlineStr">
        <is>
          <t xml:space="preserve">Draft</t>
        </is>
      </c>
      <c r="J160" s="15"/>
      <c r="K160" s="15" t="inlineStr">
        <is>
          <t xml:space="preserve">link id: LNK-04-005 | from map: v0.3 | from anchor: 2 Kings 23:36-24:17 / 2 Chronicles 36:5-10 | to crs / block: CRS-04-023 to CRS-04-029 | link type: Chronological grouping | complete behavior: Read all including nation oracles | narrative behavior: Defer Jeremiah 46-51 only; retain pending status | confidence: Mixed | status: Draft</t>
        </is>
      </c>
    </row>
    <row r="161" ht="34" customHeight="1">
      <c r="A161" s="15" t="inlineStr">
        <is>
          <t xml:space="preserve">v0.4</t>
        </is>
      </c>
      <c r="B161" s="15" t="inlineStr">
        <is>
          <t xml:space="preserve">Bible_Journey_Canon_Map_v0_4_Prophets_Exile.xlsx</t>
        </is>
      </c>
      <c r="C161" s="15" t="inlineStr">
        <is>
          <t xml:space="preserve">Link Ledger</t>
        </is>
      </c>
      <c r="D161" s="15" t="inlineStr">
        <is>
          <t xml:space="preserve">LNK-04-006</t>
        </is>
      </c>
      <c r="E161" s="15" t="inlineStr">
        <is>
          <t xml:space="preserve">v0.3</t>
        </is>
      </c>
      <c r="F161" s="15" t="inlineStr">
        <is>
          <t xml:space="preserve">CRS-04-030 to CRS-04-045</t>
        </is>
      </c>
      <c r="G161" s="15"/>
      <c r="H161" s="15" t="inlineStr">
        <is>
          <t xml:space="preserve">High</t>
        </is>
      </c>
      <c r="I161" s="13" t="inlineStr">
        <is>
          <t xml:space="preserve">Draft</t>
        </is>
      </c>
      <c r="J161" s="15"/>
      <c r="K161" s="15" t="inlineStr">
        <is>
          <t xml:space="preserve">link id: LNK-04-006 | from map: v0.3 | from anchor: 2 Kings 24:18-25:30 / 2 Chronicles 36:11-23 | to crs / block: CRS-04-030 to CRS-04-045 | link type: Parallel + aftermath | complete behavior: Read all blocks | narrative behavior: Keep poetic response after historical fall | compare group: Jerusalem fall | confidence: High | status: Draft</t>
        </is>
      </c>
    </row>
    <row r="162" ht="34" customHeight="1">
      <c r="A162" s="15" t="inlineStr">
        <is>
          <t xml:space="preserve">v0.4</t>
        </is>
      </c>
      <c r="B162" s="15" t="inlineStr">
        <is>
          <t xml:space="preserve">Bible_Journey_Canon_Map_v0_4_Prophets_Exile.xlsx</t>
        </is>
      </c>
      <c r="C162" s="15" t="inlineStr">
        <is>
          <t xml:space="preserve">Link Ledger</t>
        </is>
      </c>
      <c r="D162" s="15" t="inlineStr">
        <is>
          <t xml:space="preserve">LNK-04-007</t>
        </is>
      </c>
      <c r="E162" s="15" t="inlineStr">
        <is>
          <t xml:space="preserve">future v0.5</t>
        </is>
      </c>
      <c r="F162" s="15" t="inlineStr">
        <is>
          <t xml:space="preserve">CRS-04-046 to CRS-04-052</t>
        </is>
      </c>
      <c r="G162" s="15"/>
      <c r="H162" s="15" t="inlineStr">
        <is>
          <t xml:space="preserve">Probable</t>
        </is>
      </c>
      <c r="I162" s="13" t="inlineStr">
        <is>
          <t xml:space="preserve">Draft</t>
        </is>
      </c>
      <c r="J162" s="15"/>
      <c r="K162" s="15" t="inlineStr">
        <is>
          <t xml:space="preserve">link id: LNK-04-007 | from map: future v0.5 | from anchor: Exile / Return nodes | to crs / block: CRS-04-046 to CRS-04-052 | link type: Future dependency | complete behavior: Read in current v0.4 order | narrative behavior: Show transition card explaining future historical modules | confidence: Probable | status: Draft</t>
        </is>
      </c>
    </row>
    <row r="163" ht="34" customHeight="1">
      <c r="A163" s="15" t="inlineStr">
        <is>
          <t xml:space="preserve">v0.4</t>
        </is>
      </c>
      <c r="B163" s="15" t="inlineStr">
        <is>
          <t xml:space="preserve">Bible_Journey_Canon_Map_v0_4_Prophets_Exile.xlsx</t>
        </is>
      </c>
      <c r="C163" s="15" t="inlineStr">
        <is>
          <t xml:space="preserve">Integration Resolution</t>
        </is>
      </c>
      <c r="D163" s="15" t="inlineStr">
        <is>
          <t xml:space="preserve">Integration Resolution-159</t>
        </is>
      </c>
      <c r="E163" s="15" t="inlineStr">
        <is>
          <t xml:space="preserve">2 Kings 14:23-29 / Jeroboam II</t>
        </is>
      </c>
      <c r="F163" s="15" t="inlineStr">
        <is>
          <t xml:space="preserve">CRS-04-001 to CRS-04-007</t>
        </is>
      </c>
      <c r="G163" s="15" t="inlineStr">
        <is>
          <t xml:space="preserve">Read prophetic books as overlays on reigns, not as detached books after Kings.</t>
        </is>
      </c>
      <c r="H163" s="15" t="inlineStr">
        <is>
          <t xml:space="preserve">High / mixed at detail level</t>
        </is>
      </c>
      <c r="I163" s="15"/>
      <c r="J163" s="15" t="inlineStr">
        <is>
          <t xml:space="preserve">S1; S8; S9; S7</t>
        </is>
      </c>
      <c r="K163" s="15" t="inlineStr">
        <is>
          <t xml:space="preserve">integration id: INT-04-01 | kings / chronicles anchor: 2 Kings 14:23-29 / Jeroboam II | crs sets to insert: CRS-04-001 to CRS-04-007 | mode behavior: Complete reads all; Narrative may defer non-narrative collections only. | compare accounts behavior: No direct parallel account for Amos/Hosea; show historical anchor card. | primary editorial rule: Read prophetic books as overlays on reigns, not as detached books after Kings. | confidence: High / mixed at detail level | open dependency: v0.3 anchor IDs must be reconciled to canonical 2 Kings units. | source ids: S1; S8; S9; S7 | review state: Not reviewed</t>
        </is>
      </c>
    </row>
    <row r="164" ht="34" customHeight="1">
      <c r="A164" s="15" t="inlineStr">
        <is>
          <t xml:space="preserve">v0.4</t>
        </is>
      </c>
      <c r="B164" s="15" t="inlineStr">
        <is>
          <t xml:space="preserve">Bible_Journey_Canon_Map_v0_4_Prophets_Exile.xlsx</t>
        </is>
      </c>
      <c r="C164" s="15" t="inlineStr">
        <is>
          <t xml:space="preserve">Integration Resolution</t>
        </is>
      </c>
      <c r="D164" s="15" t="inlineStr">
        <is>
          <t xml:space="preserve">Integration Resolution-160</t>
        </is>
      </c>
      <c r="E164" s="15" t="inlineStr">
        <is>
          <t xml:space="preserve">2 Kings 15-16 / 2 Chronicles 26-28</t>
        </is>
      </c>
      <c r="F164" s="15" t="inlineStr">
        <is>
          <t xml:space="preserve">CRS-04-008 to CRS-04-015</t>
        </is>
      </c>
      <c r="G164" s="15" t="inlineStr">
        <is>
          <t xml:space="preserve">Historical reign anchor is distinct from exact oracle dating.</t>
        </is>
      </c>
      <c r="H164" s="15" t="inlineStr">
        <is>
          <t xml:space="preserve">High at reign level; debated at unit level</t>
        </is>
      </c>
      <c r="I164" s="15"/>
      <c r="J164" s="15" t="inlineStr">
        <is>
          <t xml:space="preserve">S1; S2; S3; S11; S7</t>
        </is>
      </c>
      <c r="K164" s="15" t="inlineStr">
        <is>
          <t xml:space="preserve">integration id: INT-04-02 | kings / chronicles anchor: 2 Kings 15-16 / 2 Chronicles 26-28 | crs sets to insert: CRS-04-008 to CRS-04-015 | mode behavior: Continue from Kings/Chronicles into Isaiah and Micah blocks, then return to the historical spine. | compare accounts behavior: Compare is offered only for explicit narrative parallels such as Ahaz / Isaiah 7 context, not for all oracle collections. | primary editorial rule: Historical reign anchor is distinct from exact oracle dating. | confidence: High at reign level; debated at unit level | open dependency: Need source-review notes for Isaiah 13-35 sequence. | source ids: S1; S2; S3; S11; S7 | review state: Not reviewed</t>
        </is>
      </c>
    </row>
    <row r="165" ht="34" customHeight="1">
      <c r="A165" s="15" t="inlineStr">
        <is>
          <t xml:space="preserve">v0.4</t>
        </is>
      </c>
      <c r="B165" s="15" t="inlineStr">
        <is>
          <t xml:space="preserve">Bible_Journey_Canon_Map_v0_4_Prophets_Exile.xlsx</t>
        </is>
      </c>
      <c r="C165" s="15" t="inlineStr">
        <is>
          <t xml:space="preserve">Integration Resolution</t>
        </is>
      </c>
      <c r="D165" s="15" t="inlineStr">
        <is>
          <t xml:space="preserve">Integration Resolution-161</t>
        </is>
      </c>
      <c r="E165" s="15" t="inlineStr">
        <is>
          <t xml:space="preserve">2 Kings 18-20 / 2 Chronicles 29-32</t>
        </is>
      </c>
      <c r="F165" s="15" t="inlineStr">
        <is>
          <t xml:space="preserve">CRS-04-016 to CRS-04-018</t>
        </is>
      </c>
      <c r="G165" s="15" t="inlineStr">
        <is>
          <t xml:space="preserve">Never splice verses. Keep the illness and envoys sequence visibly debated.</t>
        </is>
      </c>
      <c r="H165" s="15" t="inlineStr">
        <is>
          <t xml:space="preserve">High for parallels; debated for full ordering</t>
        </is>
      </c>
      <c r="I165" s="15"/>
      <c r="J165" s="15" t="inlineStr">
        <is>
          <t xml:space="preserve">S1; S2; S3; S7</t>
        </is>
      </c>
      <c r="K165" s="15" t="inlineStr">
        <is>
          <t xml:space="preserve">integration id: INT-04-03 | kings / chronicles anchor: 2 Kings 18-20 / 2 Chronicles 29-32 | crs sets to insert: CRS-04-016 to CRS-04-018 | mode behavior: Complete reads Isaiah 28-39 in the documented anchor sequence; Narrative Flow presents contextual cards and retains unread status when deferred. | compare accounts behavior: Compare Accounts: Kings / Isaiah 36-39 / Chronicles preserved as intact blocks. | primary editorial rule: Never splice verses. Keep the illness and envoys sequence visibly debated. | confidence: High for parallels; debated for full ordering | open dependency: Cross-link to v0.3 Hezekiah CRS must be exact before implementation. | source ids: S1; S2; S3; S7 | review state: Not reviewed</t>
        </is>
      </c>
    </row>
    <row r="166" ht="34" customHeight="1">
      <c r="A166" s="15" t="inlineStr">
        <is>
          <t xml:space="preserve">v0.4</t>
        </is>
      </c>
      <c r="B166" s="15" t="inlineStr">
        <is>
          <t xml:space="preserve">Bible_Journey_Canon_Map_v0_4_Prophets_Exile.xlsx</t>
        </is>
      </c>
      <c r="C166" s="15" t="inlineStr">
        <is>
          <t xml:space="preserve">Integration Resolution</t>
        </is>
      </c>
      <c r="D166" s="15" t="inlineStr">
        <is>
          <t xml:space="preserve">Integration Resolution-162</t>
        </is>
      </c>
      <c r="E166" s="15" t="inlineStr">
        <is>
          <t xml:space="preserve">2 Kings 21-23 / 2 Chronicles 33-35</t>
        </is>
      </c>
      <c r="F166" s="15" t="inlineStr">
        <is>
          <t xml:space="preserve">CRS-04-019 to CRS-04-022</t>
        </is>
      </c>
      <c r="G166" s="15" t="inlineStr">
        <is>
          <t xml:space="preserve">Maintain different certainty for Nahum vs Zephaniah vs early Jeremiah.</t>
        </is>
      </c>
      <c r="H166" s="15" t="inlineStr">
        <is>
          <t xml:space="preserve">Mixed</t>
        </is>
      </c>
      <c r="I166" s="15"/>
      <c r="J166" s="15" t="inlineStr">
        <is>
          <t xml:space="preserve">S1; S5; S7</t>
        </is>
      </c>
      <c r="K166" s="15" t="inlineStr">
        <is>
          <t xml:space="preserve">integration id: INT-04-04 | kings / chronicles anchor: 2 Kings 21-23 / 2 Chronicles 33-35 | crs sets to insert: CRS-04-019 to CRS-04-022 | mode behavior: Insert Nahum, Zephaniah, and early Jeremiah as overlays around late Assyrian collapse and Josiah. | compare accounts behavior: No synthetic comparison; offer historical context drawer. | primary editorial rule: Maintain different certainty for Nahum vs Zephaniah vs early Jeremiah. | confidence: Mixed | open dependency: Habakkuk is intentionally outside v0.4 and must be added in v0.5. | source ids: S1; S5; S7 | review state: Not reviewed</t>
        </is>
      </c>
    </row>
    <row r="167" ht="34" customHeight="1">
      <c r="A167" s="15" t="inlineStr">
        <is>
          <t xml:space="preserve">v0.4</t>
        </is>
      </c>
      <c r="B167" s="15" t="inlineStr">
        <is>
          <t xml:space="preserve">Bible_Journey_Canon_Map_v0_4_Prophets_Exile.xlsx</t>
        </is>
      </c>
      <c r="C167" s="15" t="inlineStr">
        <is>
          <t xml:space="preserve">Integration Resolution</t>
        </is>
      </c>
      <c r="D167" s="15" t="inlineStr">
        <is>
          <t xml:space="preserve">Integration Resolution-163</t>
        </is>
      </c>
      <c r="E167" s="15" t="inlineStr">
        <is>
          <t xml:space="preserve">2 Kings 23:36-24:17 / 2 Chronicles 36:5-10</t>
        </is>
      </c>
      <c r="F167" s="15" t="inlineStr">
        <is>
          <t xml:space="preserve">CRS-04-023 to CRS-04-029</t>
        </is>
      </c>
      <c r="G167" s="15" t="inlineStr">
        <is>
          <t xml:space="preserve">Treat Jeremiah 46-51 as a collection, not one dated speech.</t>
        </is>
      </c>
      <c r="H167" s="15" t="inlineStr">
        <is>
          <t xml:space="preserve">Mixed</t>
        </is>
      </c>
      <c r="I167" s="15"/>
      <c r="J167" s="15" t="inlineStr">
        <is>
          <t xml:space="preserve">S1; S5; S6; S7</t>
        </is>
      </c>
      <c r="K167" s="15" t="inlineStr">
        <is>
          <t xml:space="preserve">integration id: INT-04-05 | kings / chronicles anchor: 2 Kings 23:36-24:17 / 2 Chronicles 36:5-10 | crs sets to insert: CRS-04-023 to CRS-04-029 | mode behavior: Complete reads all Jeremiah blocks; Narrative Flow can defer 46-51 to collection pass and must show it as pending. | compare accounts behavior: Compare only where a real parallel historical account exists. | primary editorial rule: Treat Jeremiah 46-51 as a collection, not one dated speech. | confidence: Mixed | open dependency: Detailed dating of Jer 7 / 26 relation and oracle collections requires review. | source ids: S1; S5; S6; S7 | review state: Not reviewed</t>
        </is>
      </c>
    </row>
    <row r="168" ht="34" customHeight="1">
      <c r="A168" s="15" t="inlineStr">
        <is>
          <t xml:space="preserve">v0.4</t>
        </is>
      </c>
      <c r="B168" s="15" t="inlineStr">
        <is>
          <t xml:space="preserve">Bible_Journey_Canon_Map_v0_4_Prophets_Exile.xlsx</t>
        </is>
      </c>
      <c r="C168" s="15" t="inlineStr">
        <is>
          <t xml:space="preserve">Integration Resolution</t>
        </is>
      </c>
      <c r="D168" s="15" t="inlineStr">
        <is>
          <t xml:space="preserve">Integration Resolution-164</t>
        </is>
      </c>
      <c r="E168" s="15" t="inlineStr">
        <is>
          <t xml:space="preserve">2 Kings 24:18-25:30 / 2 Chronicles 36:11-23</t>
        </is>
      </c>
      <c r="F168" s="15" t="inlineStr">
        <is>
          <t xml:space="preserve">CRS-04-030 to CRS-04-045</t>
        </is>
      </c>
      <c r="G168" s="15" t="inlineStr">
        <is>
          <t xml:space="preserve">Separate historical accounts from poetic response; do not market Lamentations as a real-time diary.</t>
        </is>
      </c>
      <c r="H168" s="15" t="inlineStr">
        <is>
          <t xml:space="preserve">High on anchor; mixed on collections</t>
        </is>
      </c>
      <c r="I168" s="15"/>
      <c r="J168" s="15" t="inlineStr">
        <is>
          <t xml:space="preserve">S1; S5; S6; S7</t>
        </is>
      </c>
      <c r="K168" s="15" t="inlineStr">
        <is>
          <t xml:space="preserve">integration id: INT-04-06 | kings / chronicles anchor: 2 Kings 24:18-25:30 / 2 Chronicles 36:11-23 | crs sets to insert: CRS-04-030 to CRS-04-045 | mode behavior: Integrate Zedekiah, fall, aftermath, Jeremiah 52, and Lamentations before the exilic bridge. | compare accounts behavior: Compare Accounts available for fall and aftermath narratives. | primary editorial rule: Separate historical accounts from poetic response; do not market Lamentations as a real-time diary. | confidence: High on anchor; mixed on collections | open dependency: Ezekiel, Daniel, Obadiah, and Habakkuk are deferred to future canon maps. | source ids: S1; S5; S6; S7 | review state: Not reviewed</t>
        </is>
      </c>
    </row>
    <row r="169" ht="34" customHeight="1">
      <c r="A169" s="15" t="inlineStr">
        <is>
          <t xml:space="preserve">v0.4</t>
        </is>
      </c>
      <c r="B169" s="15" t="inlineStr">
        <is>
          <t xml:space="preserve">Bible_Journey_Canon_Map_v0_4_Prophets_Exile.xlsx</t>
        </is>
      </c>
      <c r="C169" s="15" t="inlineStr">
        <is>
          <t xml:space="preserve">Integration Resolution</t>
        </is>
      </c>
      <c r="D169" s="15" t="inlineStr">
        <is>
          <t xml:space="preserve">Integration Resolution-165</t>
        </is>
      </c>
      <c r="E169" s="15" t="inlineStr">
        <is>
          <t xml:space="preserve">Exile / return bridge</t>
        </is>
      </c>
      <c r="F169" s="15" t="inlineStr">
        <is>
          <t xml:space="preserve">CRS-04-046 to CRS-04-052</t>
        </is>
      </c>
      <c r="G169" s="15" t="inlineStr">
        <is>
          <t xml:space="preserve">Use 'common scholarly placement' wording throughout.</t>
        </is>
      </c>
      <c r="H169" s="15" t="inlineStr">
        <is>
          <t xml:space="preserve">Probable / debated</t>
        </is>
      </c>
      <c r="I169" s="15"/>
      <c r="J169" s="15" t="inlineStr">
        <is>
          <t xml:space="preserve">S2; S4; S10; S12; S7</t>
        </is>
      </c>
      <c r="K169" s="15" t="inlineStr">
        <is>
          <t xml:space="preserve">integration id: INT-04-07 | kings / chronicles anchor: Exile / return bridge | crs sets to insert: CRS-04-046 to CRS-04-052 | mode behavior: Use a documented horizon sequence: Lamentations -&gt; Isaiah 40-55 -&gt; Isaiah 56-66 -&gt; Joel unresolved node. | compare accounts behavior: No Compare Accounts until future Ezra/Nehemiah / Haggai / Zechariah maps exist. | primary editorial rule: Use 'common scholarly placement' wording throughout. | confidence: Probable / debated | open dependency: Future map must reconcile Isaiah 56-66 and Joel with Ezra-Nehemiah history. | source ids: S2; S4; S10; S12; S7 | review state: Not reviewed</t>
        </is>
      </c>
    </row>
    <row r="170" ht="34" customHeight="1">
      <c r="A170" s="15" t="inlineStr">
        <is>
          <t xml:space="preserve">v0.4</t>
        </is>
      </c>
      <c r="B170" s="15" t="inlineStr">
        <is>
          <t xml:space="preserve">Bible_Journey_Canon_Map_v0_4_Prophets_Exile.xlsx</t>
        </is>
      </c>
      <c r="C170" s="15" t="inlineStr">
        <is>
          <t xml:space="preserve">Prophetic Placement</t>
        </is>
      </c>
      <c r="D170" s="15" t="inlineStr">
        <is>
          <t xml:space="preserve">Prophetic Placement-166</t>
        </is>
      </c>
      <c r="E170" s="15" t="inlineStr">
        <is>
          <t xml:space="preserve">2 Kings 14:23-29</t>
        </is>
      </c>
      <c r="F170" s="15" t="inlineStr">
        <is>
          <t xml:space="preserve">Jeroboam II / Northern Kingdom expansion</t>
        </is>
      </c>
      <c r="G170" s="15"/>
      <c r="H170" s="15" t="inlineStr">
        <is>
          <t xml:space="preserve">Probable</t>
        </is>
      </c>
      <c r="I170" s="15"/>
      <c r="J170" s="15" t="inlineStr">
        <is>
          <t xml:space="preserve">S1; S8; S7</t>
        </is>
      </c>
      <c r="K170" s="15" t="inlineStr">
        <is>
          <t xml:space="preserve">book / corpus: Jonah | chapters: 1-4 | historical horizon in stream: Jeroboam II / Northern Kingdom expansion | main narrative anchor: 2 Kings 14:23-29 | placement confidence: Probable | what the app may say: Jonah is linked to Jeroboam II by name in Kings; the book is read here as a transparent study placement. | what the app must not claim: That the narrative book's final composition date is fixed by 2 Kings 14:25. | source ids: S1; S8; S7 | review state: Not reviewed</t>
        </is>
      </c>
    </row>
    <row r="171" ht="34" customHeight="1">
      <c r="A171" s="15" t="inlineStr">
        <is>
          <t xml:space="preserve">v0.4</t>
        </is>
      </c>
      <c r="B171" s="15" t="inlineStr">
        <is>
          <t xml:space="preserve">Bible_Journey_Canon_Map_v0_4_Prophets_Exile.xlsx</t>
        </is>
      </c>
      <c r="C171" s="15" t="inlineStr">
        <is>
          <t xml:space="preserve">Prophetic Placement</t>
        </is>
      </c>
      <c r="D171" s="15" t="inlineStr">
        <is>
          <t xml:space="preserve">Prophetic Placement-167</t>
        </is>
      </c>
      <c r="E171" s="15" t="inlineStr">
        <is>
          <t xml:space="preserve">Jeroboam II / Uzziah</t>
        </is>
      </c>
      <c r="F171" s="15" t="inlineStr">
        <is>
          <t xml:space="preserve">Eighth-century northern prosperity</t>
        </is>
      </c>
      <c r="G171" s="15"/>
      <c r="H171" s="15" t="inlineStr">
        <is>
          <t xml:space="preserve">High</t>
        </is>
      </c>
      <c r="I171" s="15"/>
      <c r="J171" s="15" t="inlineStr">
        <is>
          <t xml:space="preserve">S1; S8; S9; S7</t>
        </is>
      </c>
      <c r="K171" s="15" t="inlineStr">
        <is>
          <t xml:space="preserve">book / corpus: Amos | chapters: 1-9 | historical horizon in stream: Eighth-century northern prosperity | main narrative anchor: Jeroboam II / Uzziah | placement confidence: High | what the app may say: Amos addresses prosperous northern Israel in the eighth-century horizon. | what the app must not claim: That every oracle can be placed on a precise timeline within Jeroboam II's reign. | source ids: S1; S8; S9; S7 | review state: Not reviewed</t>
        </is>
      </c>
    </row>
    <row r="172" ht="34" customHeight="1">
      <c r="A172" s="15" t="inlineStr">
        <is>
          <t xml:space="preserve">v0.4</t>
        </is>
      </c>
      <c r="B172" s="15" t="inlineStr">
        <is>
          <t xml:space="preserve">Bible_Journey_Canon_Map_v0_4_Prophets_Exile.xlsx</t>
        </is>
      </c>
      <c r="C172" s="15" t="inlineStr">
        <is>
          <t xml:space="preserve">Prophetic Placement</t>
        </is>
      </c>
      <c r="D172" s="15" t="inlineStr">
        <is>
          <t xml:space="preserve">Prophetic Placement-168</t>
        </is>
      </c>
      <c r="E172" s="15" t="inlineStr">
        <is>
          <t xml:space="preserve">Hos 1:1 / Jeroboam II through Hezekiah</t>
        </is>
      </c>
      <c r="F172" s="15" t="inlineStr">
        <is>
          <t xml:space="preserve">Northern Kingdom's final decades</t>
        </is>
      </c>
      <c r="G172" s="15"/>
      <c r="H172" s="15" t="inlineStr">
        <is>
          <t xml:space="preserve">High</t>
        </is>
      </c>
      <c r="I172" s="15"/>
      <c r="J172" s="15" t="inlineStr">
        <is>
          <t xml:space="preserve">S1; S7; S8</t>
        </is>
      </c>
      <c r="K172" s="15" t="inlineStr">
        <is>
          <t xml:space="preserve">book / corpus: Hosea | chapters: 1-14 | historical horizon in stream: Northern Kingdom's final decades | main narrative anchor: Hos 1:1 / Jeroboam II through Hezekiah | placement confidence: High | what the app may say: Hosea belongs in the broad eighth-century northern crisis horizon. | what the app must not claim: That chapters form a documented day-by-day historical transcript. | source ids: S1; S7; S8 | review state: Not reviewed</t>
        </is>
      </c>
    </row>
    <row r="173" ht="34" customHeight="1">
      <c r="A173" s="15" t="inlineStr">
        <is>
          <t xml:space="preserve">v0.4</t>
        </is>
      </c>
      <c r="B173" s="15" t="inlineStr">
        <is>
          <t xml:space="preserve">Bible_Journey_Canon_Map_v0_4_Prophets_Exile.xlsx</t>
        </is>
      </c>
      <c r="C173" s="15" t="inlineStr">
        <is>
          <t xml:space="preserve">Prophetic Placement</t>
        </is>
      </c>
      <c r="D173" s="15" t="inlineStr">
        <is>
          <t xml:space="preserve">Prophetic Placement-169</t>
        </is>
      </c>
      <c r="E173" s="15" t="inlineStr">
        <is>
          <t xml:space="preserve">Mic 1:1 / Judah in Assyrian period</t>
        </is>
      </c>
      <c r="F173" s="15" t="inlineStr">
        <is>
          <t xml:space="preserve">Jotham, Ahaz, and Hezekiah</t>
        </is>
      </c>
      <c r="G173" s="15"/>
      <c r="H173" s="15" t="inlineStr">
        <is>
          <t xml:space="preserve">High</t>
        </is>
      </c>
      <c r="I173" s="15"/>
      <c r="J173" s="15" t="inlineStr">
        <is>
          <t xml:space="preserve">S1; S7</t>
        </is>
      </c>
      <c r="K173" s="15" t="inlineStr">
        <is>
          <t xml:space="preserve">book / corpus: Micah | chapters: 1-7 | historical horizon in stream: Jotham, Ahaz, and Hezekiah | main narrative anchor: Mic 1:1 / Judah in Assyrian period | placement confidence: High | what the app may say: Micah is read in the broad Assyrian-era Judah horizon. | what the app must not claim: That each chapter can be pegged to a specific king or incident without editorial review. | source ids: S1; S7 | review state: Not reviewed</t>
        </is>
      </c>
    </row>
    <row r="174" ht="34" customHeight="1">
      <c r="A174" s="15" t="inlineStr">
        <is>
          <t xml:space="preserve">v0.4</t>
        </is>
      </c>
      <c r="B174" s="15" t="inlineStr">
        <is>
          <t xml:space="preserve">Bible_Journey_Canon_Map_v0_4_Prophets_Exile.xlsx</t>
        </is>
      </c>
      <c r="C174" s="15" t="inlineStr">
        <is>
          <t xml:space="preserve">Prophetic Placement</t>
        </is>
      </c>
      <c r="D174" s="15" t="inlineStr">
        <is>
          <t xml:space="preserve">Prophetic Placement-170</t>
        </is>
      </c>
      <c r="E174" s="15" t="inlineStr">
        <is>
          <t xml:space="preserve">Uzziah through Hezekiah; Kings/Chronicles parallels</t>
        </is>
      </c>
      <c r="F174" s="15" t="inlineStr">
        <is>
          <t xml:space="preserve">Assyrian period / eighth-century Judah</t>
        </is>
      </c>
      <c r="G174" s="15"/>
      <c r="H174" s="15" t="inlineStr">
        <is>
          <t xml:space="preserve">High</t>
        </is>
      </c>
      <c r="I174" s="15"/>
      <c r="J174" s="15" t="inlineStr">
        <is>
          <t xml:space="preserve">S2; S3; S4; S7</t>
        </is>
      </c>
      <c r="K174" s="15" t="inlineStr">
        <is>
          <t xml:space="preserve">book / corpus: Isaiah 1-39 | chapters: 1-39 | historical horizon in stream: Assyrian period / eighth-century Judah | main narrative anchor: Uzziah through Hezekiah; Kings/Chronicles parallels | placement confidence: High | what the app may say: These chapters are read with the Assyrian-era story, with specific historic accounts linked where they exist. | what the app must not claim: That every unit is a dated speech, or that historical sequence is universally settled. | source ids: S2; S3; S4; S7 | review state: Not reviewed</t>
        </is>
      </c>
    </row>
    <row r="175" ht="34" customHeight="1">
      <c r="A175" s="15" t="inlineStr">
        <is>
          <t xml:space="preserve">v0.4</t>
        </is>
      </c>
      <c r="B175" s="15" t="inlineStr">
        <is>
          <t xml:space="preserve">Bible_Journey_Canon_Map_v0_4_Prophets_Exile.xlsx</t>
        </is>
      </c>
      <c r="C175" s="15" t="inlineStr">
        <is>
          <t xml:space="preserve">Prophetic Placement</t>
        </is>
      </c>
      <c r="D175" s="15" t="inlineStr">
        <is>
          <t xml:space="preserve">Prophetic Placement-171</t>
        </is>
      </c>
      <c r="E175" s="15" t="inlineStr">
        <is>
          <t xml:space="preserve">Future exile-return nodes</t>
        </is>
      </c>
      <c r="F175" s="15" t="inlineStr">
        <is>
          <t xml:space="preserve">Late Babylonian exile / Cyrus horizon</t>
        </is>
      </c>
      <c r="G175" s="15"/>
      <c r="H175" s="15" t="inlineStr">
        <is>
          <t xml:space="preserve">Probable</t>
        </is>
      </c>
      <c r="I175" s="15"/>
      <c r="J175" s="15" t="inlineStr">
        <is>
          <t xml:space="preserve">S2; S4; S10; S12</t>
        </is>
      </c>
      <c r="K175" s="15" t="inlineStr">
        <is>
          <t xml:space="preserve">book / corpus: Isaiah 40-55 | chapters: 40-55 | historical horizon in stream: Late Babylonian exile / Cyrus horizon | main narrative anchor: Future exile-return nodes | placement confidence: Probable | what the app may say: This follows a common scholarly exilic horizon and is labeled as such. | what the app must not claim: That a single compositional model is uncontested. | source ids: S2; S4; S10; S12 | review state: Not reviewed</t>
        </is>
      </c>
    </row>
    <row r="176" ht="34" customHeight="1">
      <c r="A176" s="15" t="inlineStr">
        <is>
          <t xml:space="preserve">v0.4</t>
        </is>
      </c>
      <c r="B176" s="15" t="inlineStr">
        <is>
          <t xml:space="preserve">Bible_Journey_Canon_Map_v0_4_Prophets_Exile.xlsx</t>
        </is>
      </c>
      <c r="C176" s="15" t="inlineStr">
        <is>
          <t xml:space="preserve">Prophetic Placement</t>
        </is>
      </c>
      <c r="D176" s="15" t="inlineStr">
        <is>
          <t xml:space="preserve">Prophetic Placement-172</t>
        </is>
      </c>
      <c r="E176" s="15" t="inlineStr">
        <is>
          <t xml:space="preserve">Future Ezra-Nehemiah nodes</t>
        </is>
      </c>
      <c r="F176" s="15" t="inlineStr">
        <is>
          <t xml:space="preserve">Post-exilic restoration horizon</t>
        </is>
      </c>
      <c r="G176" s="15"/>
      <c r="H176" s="15" t="inlineStr">
        <is>
          <t xml:space="preserve">Probable</t>
        </is>
      </c>
      <c r="I176" s="15"/>
      <c r="J176" s="15" t="inlineStr">
        <is>
          <t xml:space="preserve">S2; S4; S7</t>
        </is>
      </c>
      <c r="K176" s="15" t="inlineStr">
        <is>
          <t xml:space="preserve">book / corpus: Isaiah 56-66 | chapters: 56-66 | historical horizon in stream: Post-exilic restoration horizon | main narrative anchor: Future Ezra-Nehemiah nodes | placement confidence: Probable | what the app may say: This follows a common scholarly post-exilic horizon and is labeled as such. | what the app must not claim: That an exact individual date can be recovered for every oracle. | source ids: S2; S4; S7 | review state: Not reviewed</t>
        </is>
      </c>
    </row>
    <row r="177" ht="34" customHeight="1">
      <c r="A177" s="15" t="inlineStr">
        <is>
          <t xml:space="preserve">v0.4</t>
        </is>
      </c>
      <c r="B177" s="15" t="inlineStr">
        <is>
          <t xml:space="preserve">Bible_Journey_Canon_Map_v0_4_Prophets_Exile.xlsx</t>
        </is>
      </c>
      <c r="C177" s="15" t="inlineStr">
        <is>
          <t xml:space="preserve">Prophetic Placement</t>
        </is>
      </c>
      <c r="D177" s="15" t="inlineStr">
        <is>
          <t xml:space="preserve">Prophetic Placement-173</t>
        </is>
      </c>
      <c r="E177" s="15" t="inlineStr">
        <is>
          <t xml:space="preserve">Before Nineveh's fall; Josiah-era neighborhood</t>
        </is>
      </c>
      <c r="F177" s="15" t="inlineStr">
        <is>
          <t xml:space="preserve">Late Assyrian collapse</t>
        </is>
      </c>
      <c r="G177" s="15"/>
      <c r="H177" s="15" t="inlineStr">
        <is>
          <t xml:space="preserve">Probable</t>
        </is>
      </c>
      <c r="I177" s="15"/>
      <c r="J177" s="15" t="inlineStr">
        <is>
          <t xml:space="preserve">S7</t>
        </is>
      </c>
      <c r="K177" s="15" t="inlineStr">
        <is>
          <t xml:space="preserve">book / corpus: Nahum | chapters: 1-3 | historical horizon in stream: Late Assyrian collapse | main narrative anchor: Before Nineveh's fall; Josiah-era neighborhood | placement confidence: Probable | what the app may say: Nahum is placed in the final Assyrian horizon with a visible uncertainty note. | what the app must not claim: That we know an exact year or that every unit has one historical occasion. | source ids: S7 | review state: Not reviewed</t>
        </is>
      </c>
    </row>
    <row r="178" ht="34" customHeight="1">
      <c r="A178" s="15" t="inlineStr">
        <is>
          <t xml:space="preserve">v0.4</t>
        </is>
      </c>
      <c r="B178" s="15" t="inlineStr">
        <is>
          <t xml:space="preserve">Bible_Journey_Canon_Map_v0_4_Prophets_Exile.xlsx</t>
        </is>
      </c>
      <c r="C178" s="15" t="inlineStr">
        <is>
          <t xml:space="preserve">Prophetic Placement</t>
        </is>
      </c>
      <c r="D178" s="15" t="inlineStr">
        <is>
          <t xml:space="preserve">Prophetic Placement-174</t>
        </is>
      </c>
      <c r="E178" s="15" t="inlineStr">
        <is>
          <t xml:space="preserve">Zeph 1:1 / 2 Kings 22-23</t>
        </is>
      </c>
      <c r="F178" s="15" t="inlineStr">
        <is>
          <t xml:space="preserve">Josiah's reign</t>
        </is>
      </c>
      <c r="G178" s="15"/>
      <c r="H178" s="15" t="inlineStr">
        <is>
          <t xml:space="preserve">High</t>
        </is>
      </c>
      <c r="I178" s="15"/>
      <c r="J178" s="15" t="inlineStr">
        <is>
          <t xml:space="preserve">S1; S7</t>
        </is>
      </c>
      <c r="K178" s="15" t="inlineStr">
        <is>
          <t xml:space="preserve">book / corpus: Zephaniah | chapters: 1-3 | historical horizon in stream: Josiah's reign | main narrative anchor: Zeph 1:1 / 2 Kings 22-23 | placement confidence: High | what the app may say: Zephaniah is anchored to Josiah's reign. | what the app must not claim: That internal chapter sequencing equals event chronology. | source ids: S1; S7 | review state: Not reviewed</t>
        </is>
      </c>
    </row>
    <row r="179" ht="34" customHeight="1">
      <c r="A179" s="15" t="inlineStr">
        <is>
          <t xml:space="preserve">v0.4</t>
        </is>
      </c>
      <c r="B179" s="15" t="inlineStr">
        <is>
          <t xml:space="preserve">Bible_Journey_Canon_Map_v0_4_Prophets_Exile.xlsx</t>
        </is>
      </c>
      <c r="C179" s="15" t="inlineStr">
        <is>
          <t xml:space="preserve">Prophetic Placement</t>
        </is>
      </c>
      <c r="D179" s="15" t="inlineStr">
        <is>
          <t xml:space="preserve">Prophetic Placement-175</t>
        </is>
      </c>
      <c r="E179" s="15" t="inlineStr">
        <is>
          <t xml:space="preserve">Jer 1:2-3; dated narrative sections</t>
        </is>
      </c>
      <c r="F179" s="15" t="inlineStr">
        <is>
          <t xml:space="preserve">Josiah through post-fall Egypt</t>
        </is>
      </c>
      <c r="G179" s="15"/>
      <c r="H179" s="15" t="inlineStr">
        <is>
          <t xml:space="preserve">High at book horizon</t>
        </is>
      </c>
      <c r="I179" s="15"/>
      <c r="J179" s="15" t="inlineStr">
        <is>
          <t xml:space="preserve">S1; S5; S6; S7</t>
        </is>
      </c>
      <c r="K179" s="15" t="inlineStr">
        <is>
          <t xml:space="preserve">book / corpus: Jeremiah | chapters: 1-52 | historical horizon in stream: Josiah through post-fall Egypt | main narrative anchor: Jer 1:2-3; dated narrative sections | placement confidence: High at book horizon | what the app may say: Jeremiah's ministry spans Josiah, Jehoiakim, Zedekiah, the fall, and the aftermath; chapters are re-grouped only where anchors justify it. | what the app must not claim: That the canonical chapter order is a simple chronological diary or that every oracle has a secure date. | source ids: S1; S5; S6; S7 | review state: Not reviewed</t>
        </is>
      </c>
    </row>
    <row r="180" ht="34" customHeight="1">
      <c r="A180" s="15" t="inlineStr">
        <is>
          <t xml:space="preserve">v0.4</t>
        </is>
      </c>
      <c r="B180" s="15" t="inlineStr">
        <is>
          <t xml:space="preserve">Bible_Journey_Canon_Map_v0_4_Prophets_Exile.xlsx</t>
        </is>
      </c>
      <c r="C180" s="15" t="inlineStr">
        <is>
          <t xml:space="preserve">Prophetic Placement</t>
        </is>
      </c>
      <c r="D180" s="15" t="inlineStr">
        <is>
          <t xml:space="preserve">Prophetic Placement-176</t>
        </is>
      </c>
      <c r="E180" s="15" t="inlineStr">
        <is>
          <t xml:space="preserve">Post-586 BCE / 2 Kings 25</t>
        </is>
      </c>
      <c r="F180" s="15" t="inlineStr">
        <is>
          <t xml:space="preserve">After the fall of Jerusalem</t>
        </is>
      </c>
      <c r="G180" s="15"/>
      <c r="H180" s="15" t="inlineStr">
        <is>
          <t xml:space="preserve">High at aftermath horizon</t>
        </is>
      </c>
      <c r="I180" s="15"/>
      <c r="J180" s="15" t="inlineStr">
        <is>
          <t xml:space="preserve">S5; S7</t>
        </is>
      </c>
      <c r="K180" s="15" t="inlineStr">
        <is>
          <t xml:space="preserve">book / corpus: Lamentations | chapters: 1-5 | historical horizon in stream: After the fall of Jerusalem | main narrative anchor: Post-586 BCE / 2 Kings 25 | placement confidence: High at aftermath horizon | what the app may say: Lamentations is read as post-destruction poetry alongside the fall and its aftermath. | what the app must not claim: That its traditional authorship or exact composition sequence is settled. | source ids: S5; S7 | review state: Not reviewed</t>
        </is>
      </c>
    </row>
    <row r="181" ht="34" customHeight="1">
      <c r="A181" s="15" t="inlineStr">
        <is>
          <t xml:space="preserve">v0.4</t>
        </is>
      </c>
      <c r="B181" s="15" t="inlineStr">
        <is>
          <t xml:space="preserve">Bible_Journey_Canon_Map_v0_4_Prophets_Exile.xlsx</t>
        </is>
      </c>
      <c r="C181" s="15" t="inlineStr">
        <is>
          <t xml:space="preserve">Prophetic Placement</t>
        </is>
      </c>
      <c r="D181" s="15" t="inlineStr">
        <is>
          <t xml:space="preserve">Prophetic Placement-177</t>
        </is>
      </c>
      <c r="E181" s="15" t="inlineStr">
        <is>
          <t xml:space="preserve">Post-exilic study arrangement in v0.4</t>
        </is>
      </c>
      <c r="F181" s="15" t="inlineStr">
        <is>
          <t xml:space="preserve">Transparent unresolved placement node</t>
        </is>
      </c>
      <c r="G181" s="15"/>
      <c r="H181" s="15" t="inlineStr">
        <is>
          <t xml:space="preserve">Debated</t>
        </is>
      </c>
      <c r="I181" s="15"/>
      <c r="J181" s="15" t="inlineStr">
        <is>
          <t xml:space="preserve">S7</t>
        </is>
      </c>
      <c r="K181" s="15" t="inlineStr">
        <is>
          <t xml:space="preserve">book / corpus: Joel | chapters: 1-3 | historical horizon in stream: Transparent unresolved placement node | main narrative anchor: Post-exilic study arrangement in v0.4 | placement confidence: Debated | what the app may say: This map uses a post-exilic arrangement while showing alternative proposals in Study Mode. | what the app must not claim: That Joel has one universally accepted chronological location. | source ids: S7 | review state: Not reviewed</t>
        </is>
      </c>
    </row>
    <row r="182" ht="34" customHeight="1">
      <c r="A182" s="15" t="inlineStr">
        <is>
          <t xml:space="preserve">v0.4</t>
        </is>
      </c>
      <c r="B182" s="15" t="inlineStr">
        <is>
          <t xml:space="preserve">Bible_Journey_Canon_Map_v0_4_Prophets_Exile.xlsx</t>
        </is>
      </c>
      <c r="C182" s="15" t="inlineStr">
        <is>
          <t xml:space="preserve">Jeremiah Sequence</t>
        </is>
      </c>
      <c r="D182" s="15" t="inlineStr">
        <is>
          <t xml:space="preserve">Jeremiah Sequence-178</t>
        </is>
      </c>
      <c r="E182" s="15" t="inlineStr">
        <is>
          <t xml:space="preserve">13th year of Josiah / Jeremiah 1:2</t>
        </is>
      </c>
      <c r="F182" s="15"/>
      <c r="G182" s="15"/>
      <c r="H182" s="15" t="inlineStr">
        <is>
          <t xml:space="preserve">High</t>
        </is>
      </c>
      <c r="I182" s="15"/>
      <c r="J182" s="15" t="inlineStr">
        <is>
          <t xml:space="preserve">S1; S5</t>
        </is>
      </c>
      <c r="K182" s="15" t="inlineStr">
        <is>
          <t xml:space="preserve">order in stream: 21 | crs id: CRS-04-021 | jeremiah block: Jeremiah 1 | anchor: 13th year of Josiah / Jeremiah 1:2 | placement confidence: High | why it sits here: Jeremiah 1 gives an explicit call-date anchor and begins the stream's Jeremiah sequence. | related kings / chronicles: v0.3: 2 Kings 22; 2 Chronicles 34 | risk / caveat: Stable anchor for all later Jeremiah placement notes. | source ids: S1; S5 | review state: Not reviewed</t>
        </is>
      </c>
    </row>
    <row r="183" ht="34" customHeight="1">
      <c r="A183" s="15" t="inlineStr">
        <is>
          <t xml:space="preserve">v0.4</t>
        </is>
      </c>
      <c r="B183" s="15" t="inlineStr">
        <is>
          <t xml:space="preserve">Bible_Journey_Canon_Map_v0_4_Prophets_Exile.xlsx</t>
        </is>
      </c>
      <c r="C183" s="15" t="inlineStr">
        <is>
          <t xml:space="preserve">Jeremiah Sequence</t>
        </is>
      </c>
      <c r="D183" s="15" t="inlineStr">
        <is>
          <t xml:space="preserve">Jeremiah Sequence-179</t>
        </is>
      </c>
      <c r="E183" s="15" t="inlineStr">
        <is>
          <t xml:space="preserve">Early ministry / pre-exilic Judah</t>
        </is>
      </c>
      <c r="F183" s="15"/>
      <c r="G183" s="15"/>
      <c r="H183" s="15" t="inlineStr">
        <is>
          <t xml:space="preserve">Probable</t>
        </is>
      </c>
      <c r="I183" s="15"/>
      <c r="J183" s="15" t="inlineStr">
        <is>
          <t xml:space="preserve">S1; S5; S7</t>
        </is>
      </c>
      <c r="K183" s="15" t="inlineStr">
        <is>
          <t xml:space="preserve">order in stream: 22 | crs id: CRS-04-022 | jeremiah block: Jeremiah 2-6 | anchor: Early ministry / pre-exilic Judah | placement confidence: Probable | why it sits here: A broad early-ministry placement for Jeremiah 2-6. The app avoids overstating whether each speech predates or follows every reform episode. | related kings / chronicles: v0.3: 2 Kings 22-23; 2 Chronicles 34-35 | risk / caveat: This is deliberately marked 'Probable' at collection level. | source ids: S1; S5; S7 | review state: Not reviewed</t>
        </is>
      </c>
    </row>
    <row r="184" ht="34" customHeight="1">
      <c r="A184" s="15" t="inlineStr">
        <is>
          <t xml:space="preserve">v0.4</t>
        </is>
      </c>
      <c r="B184" s="15" t="inlineStr">
        <is>
          <t xml:space="preserve">Bible_Journey_Canon_Map_v0_4_Prophets_Exile.xlsx</t>
        </is>
      </c>
      <c r="C184" s="15" t="inlineStr">
        <is>
          <t xml:space="preserve">Jeremiah Sequence</t>
        </is>
      </c>
      <c r="D184" s="15" t="inlineStr">
        <is>
          <t xml:space="preserve">Jeremiah Sequence-180</t>
        </is>
      </c>
      <c r="E184" s="15" t="inlineStr">
        <is>
          <t xml:space="preserve">Beginning of Jehoiakim / Jeremiah 26</t>
        </is>
      </c>
      <c r="F184" s="15"/>
      <c r="G184" s="15"/>
      <c r="H184" s="15" t="inlineStr">
        <is>
          <t xml:space="preserve">High</t>
        </is>
      </c>
      <c r="I184" s="15"/>
      <c r="J184" s="15" t="inlineStr">
        <is>
          <t xml:space="preserve">S1; S5; S6</t>
        </is>
      </c>
      <c r="K184" s="15" t="inlineStr">
        <is>
          <t xml:space="preserve">order in stream: 23 | crs id: CRS-04-023 | jeremiah block: Jeremiah 26 | anchor: Beginning of Jehoiakim / Jeremiah 26 | placement confidence: High | why it sits here: Jeremiah 26 is explicitly dated to the beginning of Jehoiakim's reign and anchors this early Jehoiakim segment. | related kings / chronicles: v0.3: 2 Kings 23:36-24:7; 2 Chronicles 36:5-8 | risk / caveat: Keep distinct from the related but not simply identical Temple Sermon material in Jeremiah 7. | source ids: S1; S5; S6 | review state: Not reviewed</t>
        </is>
      </c>
    </row>
    <row r="185" ht="34" customHeight="1">
      <c r="A185" s="15" t="inlineStr">
        <is>
          <t xml:space="preserve">v0.4</t>
        </is>
      </c>
      <c r="B185" s="15" t="inlineStr">
        <is>
          <t xml:space="preserve">Bible_Journey_Canon_Map_v0_4_Prophets_Exile.xlsx</t>
        </is>
      </c>
      <c r="C185" s="15" t="inlineStr">
        <is>
          <t xml:space="preserve">Jeremiah Sequence</t>
        </is>
      </c>
      <c r="D185" s="15" t="inlineStr">
        <is>
          <t xml:space="preserve">Jeremiah Sequence-181</t>
        </is>
      </c>
      <c r="E185" s="15" t="inlineStr">
        <is>
          <t xml:space="preserve">Jehoiakim-era Judah</t>
        </is>
      </c>
      <c r="F185" s="15"/>
      <c r="G185" s="15"/>
      <c r="H185" s="15" t="inlineStr">
        <is>
          <t xml:space="preserve">Probable</t>
        </is>
      </c>
      <c r="I185" s="15"/>
      <c r="J185" s="15" t="inlineStr">
        <is>
          <t xml:space="preserve">S5; S6; S7</t>
        </is>
      </c>
      <c r="K185" s="15" t="inlineStr">
        <is>
          <t xml:space="preserve">order in stream: 24 | crs id: CRS-04-024 | jeremiah block: Jeremiah 7-10 | anchor: Jehoiakim-era Judah | placement confidence: Probable | why it sits here: Jeremiah 7-10 is placed in the Jehoiakim horizon as a transparent editorial choice; exact dating is not stated as certain. | related kings / chronicles: v0.3: 2 Kings 23:36-24:7 | risk / caveat: The app must distinguish literary relationship from identical historical occasion. | source ids: S5; S6; S7 | review state: Not reviewed</t>
        </is>
      </c>
    </row>
    <row r="186" ht="34" customHeight="1">
      <c r="A186" s="15" t="inlineStr">
        <is>
          <t xml:space="preserve">v0.4</t>
        </is>
      </c>
      <c r="B186" s="15" t="inlineStr">
        <is>
          <t xml:space="preserve">Bible_Journey_Canon_Map_v0_4_Prophets_Exile.xlsx</t>
        </is>
      </c>
      <c r="C186" s="15" t="inlineStr">
        <is>
          <t xml:space="preserve">Jeremiah Sequence</t>
        </is>
      </c>
      <c r="D186" s="15" t="inlineStr">
        <is>
          <t xml:space="preserve">Jeremiah Sequence-182</t>
        </is>
      </c>
      <c r="E186" s="15" t="inlineStr">
        <is>
          <t xml:space="preserve">Jehoiakim-era Judah</t>
        </is>
      </c>
      <c r="F186" s="15"/>
      <c r="G186" s="15"/>
      <c r="H186" s="15" t="inlineStr">
        <is>
          <t xml:space="preserve">Probable</t>
        </is>
      </c>
      <c r="I186" s="15"/>
      <c r="J186" s="15" t="inlineStr">
        <is>
          <t xml:space="preserve">S5; S6; S7</t>
        </is>
      </c>
      <c r="K186" s="15" t="inlineStr">
        <is>
          <t xml:space="preserve">order in stream: 25 | crs id: CRS-04-025 | jeremiah block: Jeremiah 11-20 | anchor: Jehoiakim-era Judah | placement confidence: Probable | why it sits here: This continuous block remains in the broad Jehoiakim period, with chapter-level order kept canonical because detailed dating is uneven. | related kings / chronicles: v0.3: 2 Kings 23:36-24:7 | risk / caveat: No individual oracle should inherit a false precise date from the block label. | source ids: S5; S6; S7 | review state: Not reviewed</t>
        </is>
      </c>
    </row>
    <row r="187" ht="34" customHeight="1">
      <c r="A187" s="15" t="inlineStr">
        <is>
          <t xml:space="preserve">v0.4</t>
        </is>
      </c>
      <c r="B187" s="15" t="inlineStr">
        <is>
          <t xml:space="preserve">Bible_Journey_Canon_Map_v0_4_Prophets_Exile.xlsx</t>
        </is>
      </c>
      <c r="C187" s="15" t="inlineStr">
        <is>
          <t xml:space="preserve">Jeremiah Sequence</t>
        </is>
      </c>
      <c r="D187" s="15" t="inlineStr">
        <is>
          <t xml:space="preserve">Jeremiah Sequence-183</t>
        </is>
      </c>
      <c r="E187" s="15" t="inlineStr">
        <is>
          <t xml:space="preserve">Royal house oracles</t>
        </is>
      </c>
      <c r="F187" s="15"/>
      <c r="G187" s="15"/>
      <c r="H187" s="15" t="inlineStr">
        <is>
          <t xml:space="preserve">Probable</t>
        </is>
      </c>
      <c r="I187" s="15"/>
      <c r="J187" s="15" t="inlineStr">
        <is>
          <t xml:space="preserve">S1; S5; S6; S7</t>
        </is>
      </c>
      <c r="K187" s="15" t="inlineStr">
        <is>
          <t xml:space="preserve">order in stream: 26 | crs id: CRS-04-026 | jeremiah block: Jeremiah 22 | anchor: Royal house oracles | placement confidence: Probable | why it sits here: Jeremiah 22 gathers royal oracles associated with more than one ruler. It is intentionally treated as a contextual collection. | related kings / chronicles: v0.3: 2 Kings 23-24; 2 Chronicles 36 | risk / caveat: Use 'royal-house collection' rather than a date claim. | source ids: S1; S5; S6; S7 | review state: Not reviewed</t>
        </is>
      </c>
    </row>
    <row r="188" ht="34" customHeight="1">
      <c r="A188" s="15" t="inlineStr">
        <is>
          <t xml:space="preserve">v0.4</t>
        </is>
      </c>
      <c r="B188" s="15" t="inlineStr">
        <is>
          <t xml:space="preserve">Bible_Journey_Canon_Map_v0_4_Prophets_Exile.xlsx</t>
        </is>
      </c>
      <c r="C188" s="15" t="inlineStr">
        <is>
          <t xml:space="preserve">Jeremiah Sequence</t>
        </is>
      </c>
      <c r="D188" s="15" t="inlineStr">
        <is>
          <t xml:space="preserve">Jeremiah Sequence-184</t>
        </is>
      </c>
      <c r="E188" s="15" t="inlineStr">
        <is>
          <t xml:space="preserve">Rechabites / Jeremiah 35</t>
        </is>
      </c>
      <c r="F188" s="15"/>
      <c r="G188" s="15"/>
      <c r="H188" s="15" t="inlineStr">
        <is>
          <t xml:space="preserve">High</t>
        </is>
      </c>
      <c r="I188" s="15"/>
      <c r="J188" s="15" t="inlineStr">
        <is>
          <t xml:space="preserve">S1; S5</t>
        </is>
      </c>
      <c r="K188" s="15" t="inlineStr">
        <is>
          <t xml:space="preserve">order in stream: 27 | crs id: CRS-04-027 | jeremiah block: Jeremiah 35 | anchor: Rechabites / Jeremiah 35 | placement confidence: High | why it sits here: Jeremiah 35 is located in Jehoiakim's reign by its own narrative superscription. | related kings / chronicles: v0.3: 2 Kings 23:36-24:7 | risk / caveat: High-confidence placement from internal dating. | source ids: S1; S5 | review state: Not reviewed</t>
        </is>
      </c>
    </row>
    <row r="189" ht="34" customHeight="1">
      <c r="A189" s="15" t="inlineStr">
        <is>
          <t xml:space="preserve">v0.4</t>
        </is>
      </c>
      <c r="B189" s="15" t="inlineStr">
        <is>
          <t xml:space="preserve">Bible_Journey_Canon_Map_v0_4_Prophets_Exile.xlsx</t>
        </is>
      </c>
      <c r="C189" s="15" t="inlineStr">
        <is>
          <t xml:space="preserve">Jeremiah Sequence</t>
        </is>
      </c>
      <c r="D189" s="15" t="inlineStr">
        <is>
          <t xml:space="preserve">Jeremiah Sequence-185</t>
        </is>
      </c>
      <c r="E189" s="15" t="inlineStr">
        <is>
          <t xml:space="preserve">605 BCE horizon / Jeremiah 25, 36, 45</t>
        </is>
      </c>
      <c r="F189" s="15"/>
      <c r="G189" s="15"/>
      <c r="H189" s="15" t="inlineStr">
        <is>
          <t xml:space="preserve">High</t>
        </is>
      </c>
      <c r="I189" s="15"/>
      <c r="J189" s="15" t="inlineStr">
        <is>
          <t xml:space="preserve">S1; S5; S6</t>
        </is>
      </c>
      <c r="K189" s="15" t="inlineStr">
        <is>
          <t xml:space="preserve">order in stream: 28 | crs id: CRS-04-028 | jeremiah block: Jeremiah 25; 36; 45 | anchor: 605 BCE horizon / Jeremiah 25, 36, 45 | placement confidence: High | why it sits here: These dated passages are grouped around the fourth year of Jehoiakim, preserving each chapter as a distinct biblical block. | related kings / chronicles: v0.3: 2 Kings 24:1-7; 2 Chronicles 36:5-8 | risk / caveat: The UI should show why the three chapters are together without merging their text. | source ids: S1; S5; S6 | review state: Not reviewed</t>
        </is>
      </c>
    </row>
    <row r="190" ht="34" customHeight="1">
      <c r="A190" s="15" t="inlineStr">
        <is>
          <t xml:space="preserve">v0.4</t>
        </is>
      </c>
      <c r="B190" s="15" t="inlineStr">
        <is>
          <t xml:space="preserve">Bible_Journey_Canon_Map_v0_4_Prophets_Exile.xlsx</t>
        </is>
      </c>
      <c r="C190" s="15" t="inlineStr">
        <is>
          <t xml:space="preserve">Jeremiah Sequence</t>
        </is>
      </c>
      <c r="D190" s="15" t="inlineStr">
        <is>
          <t xml:space="preserve">Jeremiah Sequence-186</t>
        </is>
      </c>
      <c r="E190" s="15" t="inlineStr">
        <is>
          <t xml:space="preserve">Prophetic collection</t>
        </is>
      </c>
      <c r="F190" s="15"/>
      <c r="G190" s="15"/>
      <c r="H190" s="15" t="inlineStr">
        <is>
          <t xml:space="preserve">Probable</t>
        </is>
      </c>
      <c r="I190" s="15"/>
      <c r="J190" s="15" t="inlineStr">
        <is>
          <t xml:space="preserve">S5; S6; S7</t>
        </is>
      </c>
      <c r="K190" s="15" t="inlineStr">
        <is>
          <t xml:space="preserve">order in stream: 29 | crs id: CRS-04-029 | jeremiah block: Jeremiah 46-51 | anchor: Prophetic collection | placement confidence: Probable | why it sits here: The foreign-nation oracles are read as a transparent collection. Some have dated headings; others do not. Narrative Flow may save them for the collection pass, while Complete Chronological Reading includes them here. | related kings / chronicles: v0.3: 2 Kings 24 | risk / caveat: This is a designed test case for Complete vs Narrative Flow. No false unified delivery-date is claimed. | source ids: S5; S6; S7 | review state: Not reviewed</t>
        </is>
      </c>
    </row>
    <row r="191" ht="34" customHeight="1">
      <c r="A191" s="15" t="inlineStr">
        <is>
          <t xml:space="preserve">v0.4</t>
        </is>
      </c>
      <c r="B191" s="15" t="inlineStr">
        <is>
          <t xml:space="preserve">Bible_Journey_Canon_Map_v0_4_Prophets_Exile.xlsx</t>
        </is>
      </c>
      <c r="C191" s="15" t="inlineStr">
        <is>
          <t xml:space="preserve">Jeremiah Sequence</t>
        </is>
      </c>
      <c r="D191" s="15" t="inlineStr">
        <is>
          <t xml:space="preserve">Jeremiah Sequence-187</t>
        </is>
      </c>
      <c r="E191" s="15" t="inlineStr">
        <is>
          <t xml:space="preserve">Zedekiah's delegation / Jeremiah 21</t>
        </is>
      </c>
      <c r="F191" s="15"/>
      <c r="G191" s="15"/>
      <c r="H191" s="15" t="inlineStr">
        <is>
          <t xml:space="preserve">High</t>
        </is>
      </c>
      <c r="I191" s="15"/>
      <c r="J191" s="15" t="inlineStr">
        <is>
          <t xml:space="preserve">S1; S5</t>
        </is>
      </c>
      <c r="K191" s="15" t="inlineStr">
        <is>
          <t xml:space="preserve">order in stream: 30 | crs id: CRS-04-030 | jeremiah block: Jeremiah 21 | anchor: Zedekiah's delegation / Jeremiah 21 | placement confidence: High | why it sits here: Jeremiah 21 directly anchors an inquiry from Zedekiah during the Babylonian threat. | related kings / chronicles: v0.3: 2 Kings 24:18-25:7; 2 Chronicles 36:11-14 | risk / caveat: Distinct event anchor. | source ids: S1; S5 | review state: Not reviewed</t>
        </is>
      </c>
    </row>
    <row r="192" ht="34" customHeight="1">
      <c r="A192" s="15" t="inlineStr">
        <is>
          <t xml:space="preserve">v0.4</t>
        </is>
      </c>
      <c r="B192" s="15" t="inlineStr">
        <is>
          <t xml:space="preserve">Bible_Journey_Canon_Map_v0_4_Prophets_Exile.xlsx</t>
        </is>
      </c>
      <c r="C192" s="15" t="inlineStr">
        <is>
          <t xml:space="preserve">Jeremiah Sequence</t>
        </is>
      </c>
      <c r="D192" s="15" t="inlineStr">
        <is>
          <t xml:space="preserve">Jeremiah Sequence-188</t>
        </is>
      </c>
      <c r="E192" s="15" t="inlineStr">
        <is>
          <t xml:space="preserve">Late monarchic prophetic collection</t>
        </is>
      </c>
      <c r="F192" s="15"/>
      <c r="G192" s="15"/>
      <c r="H192" s="15" t="inlineStr">
        <is>
          <t xml:space="preserve">Probable</t>
        </is>
      </c>
      <c r="I192" s="15"/>
      <c r="J192" s="15" t="inlineStr">
        <is>
          <t xml:space="preserve">S5; S6; S7</t>
        </is>
      </c>
      <c r="K192" s="15" t="inlineStr">
        <is>
          <t xml:space="preserve">order in stream: 31 | crs id: CRS-04-031 | jeremiah block: Jeremiah 23 | anchor: Late monarchic prophetic collection | placement confidence: Probable | why it sits here: Jeremiah 23 is placed as a late-monarchic collection with uncertainty preserved about individual units. | related kings / chronicles: v0.3: 2 Kings 24-25; 2 Chronicles 36 | risk / caveat: Avoid treating the chapter as a single sermon date. | source ids: S5; S6; S7 | review state: Not reviewed</t>
        </is>
      </c>
    </row>
    <row r="193" ht="34" customHeight="1">
      <c r="A193" s="15" t="inlineStr">
        <is>
          <t xml:space="preserve">v0.4</t>
        </is>
      </c>
      <c r="B193" s="15" t="inlineStr">
        <is>
          <t xml:space="preserve">Bible_Journey_Canon_Map_v0_4_Prophets_Exile.xlsx</t>
        </is>
      </c>
      <c r="C193" s="15" t="inlineStr">
        <is>
          <t xml:space="preserve">Jeremiah Sequence</t>
        </is>
      </c>
      <c r="D193" s="15" t="inlineStr">
        <is>
          <t xml:space="preserve">Jeremiah Sequence-189</t>
        </is>
      </c>
      <c r="E193" s="15" t="inlineStr">
        <is>
          <t xml:space="preserve">597 BCE / Jeremiah 24</t>
        </is>
      </c>
      <c r="F193" s="15"/>
      <c r="G193" s="15"/>
      <c r="H193" s="15" t="inlineStr">
        <is>
          <t xml:space="preserve">High</t>
        </is>
      </c>
      <c r="I193" s="15"/>
      <c r="J193" s="15" t="inlineStr">
        <is>
          <t xml:space="preserve">S1; S5</t>
        </is>
      </c>
      <c r="K193" s="15" t="inlineStr">
        <is>
          <t xml:space="preserve">order in stream: 32 | crs id: CRS-04-032 | jeremiah block: Jeremiah 24 | anchor: 597 BCE / Jeremiah 24 | placement confidence: High | why it sits here: Jeremiah 24 is explicitly located after the deportation of Jeconiah and is a stable anchor for the early Zedekiah era. | related kings / chronicles: v0.3: 2 Kings 24:10-17; 2 Chronicles 36:9-10 | risk / caveat: High confidence due to internal narrative anchor. | source ids: S1; S5 | review state: Not reviewed</t>
        </is>
      </c>
    </row>
    <row r="194" ht="34" customHeight="1">
      <c r="A194" s="15" t="inlineStr">
        <is>
          <t xml:space="preserve">v0.4</t>
        </is>
      </c>
      <c r="B194" s="15" t="inlineStr">
        <is>
          <t xml:space="preserve">Bible_Journey_Canon_Map_v0_4_Prophets_Exile.xlsx</t>
        </is>
      </c>
      <c r="C194" s="15" t="inlineStr">
        <is>
          <t xml:space="preserve">Jeremiah Sequence</t>
        </is>
      </c>
      <c r="D194" s="15" t="inlineStr">
        <is>
          <t xml:space="preserve">Jeremiah Sequence-190</t>
        </is>
      </c>
      <c r="E194" s="15" t="inlineStr">
        <is>
          <t xml:space="preserve">International yokes / Jeremiah 27</t>
        </is>
      </c>
      <c r="F194" s="15"/>
      <c r="G194" s="15"/>
      <c r="H194" s="15" t="inlineStr">
        <is>
          <t xml:space="preserve">High</t>
        </is>
      </c>
      <c r="I194" s="15"/>
      <c r="J194" s="15" t="inlineStr">
        <is>
          <t xml:space="preserve">S1; S5</t>
        </is>
      </c>
      <c r="K194" s="15" t="inlineStr">
        <is>
          <t xml:space="preserve">order in stream: 33 | crs id: CRS-04-033 | jeremiah block: Jeremiah 27 | anchor: International yokes / Jeremiah 27 | placement confidence: High | why it sits here: Jeremiah 27 is set during Zedekiah's reign and provides a clear international crisis context. | related kings / chronicles: v0.3: 2 Kings 24:18-25:7 | risk / caveat: Keep oracle and narrative framing intact. | source ids: S1; S5 | review state: Not reviewed</t>
        </is>
      </c>
    </row>
    <row r="195" ht="34" customHeight="1">
      <c r="A195" s="15" t="inlineStr">
        <is>
          <t xml:space="preserve">v0.4</t>
        </is>
      </c>
      <c r="B195" s="15" t="inlineStr">
        <is>
          <t xml:space="preserve">Bible_Journey_Canon_Map_v0_4_Prophets_Exile.xlsx</t>
        </is>
      </c>
      <c r="C195" s="15" t="inlineStr">
        <is>
          <t xml:space="preserve">Jeremiah Sequence</t>
        </is>
      </c>
      <c r="D195" s="15" t="inlineStr">
        <is>
          <t xml:space="preserve">Jeremiah Sequence-191</t>
        </is>
      </c>
      <c r="E195" s="15" t="inlineStr">
        <is>
          <t xml:space="preserve">Jeremiah 28; 51:59</t>
        </is>
      </c>
      <c r="F195" s="15"/>
      <c r="G195" s="15"/>
      <c r="H195" s="15" t="inlineStr">
        <is>
          <t xml:space="preserve">High</t>
        </is>
      </c>
      <c r="I195" s="15"/>
      <c r="J195" s="15" t="inlineStr">
        <is>
          <t xml:space="preserve">S1; S5</t>
        </is>
      </c>
      <c r="K195" s="15" t="inlineStr">
        <is>
          <t xml:space="preserve">order in stream: 34 | crs id: CRS-04-034 | jeremiah block: Jeremiah 28 | anchor: Jeremiah 28; 51:59 | placement confidence: High | why it sits here: Jeremiah 28 is explicitly dated in Zedekiah's fourth year. The chapter is kept distinct from the wider foreign-nations collection. | related kings / chronicles: v0.3: 2 Kings 24:18-25:7 | risk / caveat: A clear dated dispute scene. | source ids: S1; S5 | review state: Not reviewed</t>
        </is>
      </c>
    </row>
    <row r="196" ht="34" customHeight="1">
      <c r="A196" s="15" t="inlineStr">
        <is>
          <t xml:space="preserve">v0.4</t>
        </is>
      </c>
      <c r="B196" s="15" t="inlineStr">
        <is>
          <t xml:space="preserve">Bible_Journey_Canon_Map_v0_4_Prophets_Exile.xlsx</t>
        </is>
      </c>
      <c r="C196" s="15" t="inlineStr">
        <is>
          <t xml:space="preserve">Jeremiah Sequence</t>
        </is>
      </c>
      <c r="D196" s="15" t="inlineStr">
        <is>
          <t xml:space="preserve">Jeremiah Sequence-192</t>
        </is>
      </c>
      <c r="E196" s="15" t="inlineStr">
        <is>
          <t xml:space="preserve">Jeremiah 29</t>
        </is>
      </c>
      <c r="F196" s="15"/>
      <c r="G196" s="15"/>
      <c r="H196" s="15" t="inlineStr">
        <is>
          <t xml:space="preserve">High</t>
        </is>
      </c>
      <c r="I196" s="15"/>
      <c r="J196" s="15" t="inlineStr">
        <is>
          <t xml:space="preserve">S1; S5</t>
        </is>
      </c>
      <c r="K196" s="15" t="inlineStr">
        <is>
          <t xml:space="preserve">order in stream: 35 | crs id: CRS-04-035 | jeremiah block: Jeremiah 29 | anchor: Jeremiah 29 | placement confidence: High | why it sits here: Jeremiah 29 is linked to the community deported with Jeconiah and belongs alongside the early Zedekiah setting. | related kings / chronicles: v0.3: 2 Kings 24:10-17 | risk / caveat: Direct narrative anchor. | source ids: S1; S5 | review state: Not reviewed</t>
        </is>
      </c>
    </row>
    <row r="197" ht="34" customHeight="1">
      <c r="A197" s="15" t="inlineStr">
        <is>
          <t xml:space="preserve">v0.4</t>
        </is>
      </c>
      <c r="B197" s="15" t="inlineStr">
        <is>
          <t xml:space="preserve">Bible_Journey_Canon_Map_v0_4_Prophets_Exile.xlsx</t>
        </is>
      </c>
      <c r="C197" s="15" t="inlineStr">
        <is>
          <t xml:space="preserve">Jeremiah Sequence</t>
        </is>
      </c>
      <c r="D197" s="15" t="inlineStr">
        <is>
          <t xml:space="preserve">Jeremiah Sequence-193</t>
        </is>
      </c>
      <c r="E197" s="15" t="inlineStr">
        <is>
          <t xml:space="preserve">Book of Consolation</t>
        </is>
      </c>
      <c r="F197" s="15"/>
      <c r="G197" s="15"/>
      <c r="H197" s="15" t="inlineStr">
        <is>
          <t xml:space="preserve">Probable</t>
        </is>
      </c>
      <c r="I197" s="15"/>
      <c r="J197" s="15" t="inlineStr">
        <is>
          <t xml:space="preserve">S5; S6; S7</t>
        </is>
      </c>
      <c r="K197" s="15" t="inlineStr">
        <is>
          <t xml:space="preserve">order in stream: 36 | crs id: CRS-04-036 | jeremiah block: Jeremiah 30-31 | anchor: Book of Consolation | placement confidence: Probable | why it sits here: Jeremiah 30-31 is presented as a literary restoration collection in the Zedekiah-era stream, marked as probable rather than date-certain. | related kings / chronicles: v0.3: 2 Kings 24-25; 2 Chronicles 36 | risk / caveat: Historical setting and editorial shaping require a visible uncertainty note. | source ids: S5; S6; S7 | review state: Not reviewed</t>
        </is>
      </c>
    </row>
    <row r="198" ht="34" customHeight="1">
      <c r="A198" s="15" t="inlineStr">
        <is>
          <t xml:space="preserve">v0.4</t>
        </is>
      </c>
      <c r="B198" s="15" t="inlineStr">
        <is>
          <t xml:space="preserve">Bible_Journey_Canon_Map_v0_4_Prophets_Exile.xlsx</t>
        </is>
      </c>
      <c r="C198" s="15" t="inlineStr">
        <is>
          <t xml:space="preserve">Jeremiah Sequence</t>
        </is>
      </c>
      <c r="D198" s="15" t="inlineStr">
        <is>
          <t xml:space="preserve">Jeremiah Sequence-194</t>
        </is>
      </c>
      <c r="E198" s="15" t="inlineStr">
        <is>
          <t xml:space="preserve">Jeremiah 32-33</t>
        </is>
      </c>
      <c r="F198" s="15"/>
      <c r="G198" s="15"/>
      <c r="H198" s="15" t="inlineStr">
        <is>
          <t xml:space="preserve">High</t>
        </is>
      </c>
      <c r="I198" s="15"/>
      <c r="J198" s="15" t="inlineStr">
        <is>
          <t xml:space="preserve">S1; S5</t>
        </is>
      </c>
      <c r="K198" s="15" t="inlineStr">
        <is>
          <t xml:space="preserve">order in stream: 37 | crs id: CRS-04-037 | jeremiah block: Jeremiah 32-33 | anchor: Jeremiah 32-33 | placement confidence: High | why it sits here: Jeremiah 32 explicitly dates the field purchase during the siege; Jeremiah 33 is linked to the same imprisonment context. | related kings / chronicles: v0.3: 2 Kings 25:1-7; 2 Chronicles 36:11-14 | risk / caveat: The two chapters remain separate within a single dated Reading Set. | source ids: S1; S5 | review state: Not reviewed</t>
        </is>
      </c>
    </row>
    <row r="199" ht="34" customHeight="1">
      <c r="A199" s="15" t="inlineStr">
        <is>
          <t xml:space="preserve">v0.4</t>
        </is>
      </c>
      <c r="B199" s="15" t="inlineStr">
        <is>
          <t xml:space="preserve">Bible_Journey_Canon_Map_v0_4_Prophets_Exile.xlsx</t>
        </is>
      </c>
      <c r="C199" s="15" t="inlineStr">
        <is>
          <t xml:space="preserve">Jeremiah Sequence</t>
        </is>
      </c>
      <c r="D199" s="15" t="inlineStr">
        <is>
          <t xml:space="preserve">Jeremiah Sequence-195</t>
        </is>
      </c>
      <c r="E199" s="15" t="inlineStr">
        <is>
          <t xml:space="preserve">Jeremiah 34</t>
        </is>
      </c>
      <c r="F199" s="15"/>
      <c r="G199" s="15"/>
      <c r="H199" s="15" t="inlineStr">
        <is>
          <t xml:space="preserve">High</t>
        </is>
      </c>
      <c r="I199" s="15"/>
      <c r="J199" s="15" t="inlineStr">
        <is>
          <t xml:space="preserve">S1; S5; S7</t>
        </is>
      </c>
      <c r="K199" s="15" t="inlineStr">
        <is>
          <t xml:space="preserve">order in stream: 38 | crs id: CRS-04-038 | jeremiah block: Jeremiah 34 | anchor: Jeremiah 34 | placement confidence: High | why it sits here: Jeremiah 34 is linked to Zedekiah and the siege, though its exact relation to all siege episodes needs modest framing. | related kings / chronicles: v0.3: 2 Kings 25:1-7 | risk / caveat: Narrative connection high; detailed sequencing modest. | source ids: S1; S5; S7 | review state: Not reviewed</t>
        </is>
      </c>
    </row>
    <row r="200" ht="34" customHeight="1">
      <c r="A200" s="15" t="inlineStr">
        <is>
          <t xml:space="preserve">v0.4</t>
        </is>
      </c>
      <c r="B200" s="15" t="inlineStr">
        <is>
          <t xml:space="preserve">Bible_Journey_Canon_Map_v0_4_Prophets_Exile.xlsx</t>
        </is>
      </c>
      <c r="C200" s="15" t="inlineStr">
        <is>
          <t xml:space="preserve">Jeremiah Sequence</t>
        </is>
      </c>
      <c r="D200" s="15" t="inlineStr">
        <is>
          <t xml:space="preserve">Jeremiah Sequence-196</t>
        </is>
      </c>
      <c r="E200" s="15" t="inlineStr">
        <is>
          <t xml:space="preserve">Jeremiah 37-39 / 2 Kings 25</t>
        </is>
      </c>
      <c r="F200" s="15"/>
      <c r="G200" s="15"/>
      <c r="H200" s="15" t="inlineStr">
        <is>
          <t xml:space="preserve">High</t>
        </is>
      </c>
      <c r="I200" s="15"/>
      <c r="J200" s="15" t="inlineStr">
        <is>
          <t xml:space="preserve">S1; S5</t>
        </is>
      </c>
      <c r="K200" s="15" t="inlineStr">
        <is>
          <t xml:space="preserve">order in stream: 39 | crs id: CRS-04-039 | jeremiah block: Jeremiah 37-39 | anchor: Jeremiah 37-39 / 2 Kings 25 | placement confidence: High | why it sits here: Jeremiah 37-39 is read alongside the final Zedekiah narrative in Kings and Chronicles, with Compare Accounts available. | related kings / chronicles: v0.3: 2 Kings 25:1-21; 2 Chronicles 36:15-21 | risk / caveat: The stream should guide users through separate accounts, not flatten them into a composite. | source ids: S1; S5 | review state: Not reviewed</t>
        </is>
      </c>
    </row>
    <row r="201" ht="34" customHeight="1">
      <c r="A201" s="15" t="inlineStr">
        <is>
          <t xml:space="preserve">v0.4</t>
        </is>
      </c>
      <c r="B201" s="15" t="inlineStr">
        <is>
          <t xml:space="preserve">Bible_Journey_Canon_Map_v0_4_Prophets_Exile.xlsx</t>
        </is>
      </c>
      <c r="C201" s="15" t="inlineStr">
        <is>
          <t xml:space="preserve">Jeremiah Sequence</t>
        </is>
      </c>
      <c r="D201" s="15" t="inlineStr">
        <is>
          <t xml:space="preserve">Jeremiah Sequence-197</t>
        </is>
      </c>
      <c r="E201" s="15" t="inlineStr">
        <is>
          <t xml:space="preserve">Gedaliah and Mizpah</t>
        </is>
      </c>
      <c r="F201" s="15"/>
      <c r="G201" s="15"/>
      <c r="H201" s="15" t="inlineStr">
        <is>
          <t xml:space="preserve">High</t>
        </is>
      </c>
      <c r="I201" s="15"/>
      <c r="J201" s="15" t="inlineStr">
        <is>
          <t xml:space="preserve">S1; S5</t>
        </is>
      </c>
      <c r="K201" s="15" t="inlineStr">
        <is>
          <t xml:space="preserve">order in stream: 40 | crs id: CRS-04-040 | jeremiah block: Jeremiah 40-41 | anchor: Gedaliah and Mizpah | placement confidence: High | why it sits here: Jeremiah 40-41 follows the fall with the Gedaliah narrative and is linked to 2 Kings 25:22-26. | related kings / chronicles: v0.3: 2 Kings 25:22-26 | risk / caveat: High confidence narrative linkage. | source ids: S1; S5 | review state: Not reviewed</t>
        </is>
      </c>
    </row>
    <row r="202" ht="34" customHeight="1">
      <c r="A202" s="15" t="inlineStr">
        <is>
          <t xml:space="preserve">v0.4</t>
        </is>
      </c>
      <c r="B202" s="15" t="inlineStr">
        <is>
          <t xml:space="preserve">Bible_Journey_Canon_Map_v0_4_Prophets_Exile.xlsx</t>
        </is>
      </c>
      <c r="C202" s="15" t="inlineStr">
        <is>
          <t xml:space="preserve">Jeremiah Sequence</t>
        </is>
      </c>
      <c r="D202" s="15" t="inlineStr">
        <is>
          <t xml:space="preserve">Jeremiah Sequence-198</t>
        </is>
      </c>
      <c r="E202" s="15" t="inlineStr">
        <is>
          <t xml:space="preserve">Flight to Egypt</t>
        </is>
      </c>
      <c r="F202" s="15"/>
      <c r="G202" s="15"/>
      <c r="H202" s="15" t="inlineStr">
        <is>
          <t xml:space="preserve">High</t>
        </is>
      </c>
      <c r="I202" s="15"/>
      <c r="J202" s="15" t="inlineStr">
        <is>
          <t xml:space="preserve">S1; S5</t>
        </is>
      </c>
      <c r="K202" s="15" t="inlineStr">
        <is>
          <t xml:space="preserve">order in stream: 41 | crs id: CRS-04-041 | jeremiah block: Jeremiah 42-44 | anchor: Flight to Egypt | placement confidence: High | why it sits here: Jeremiah 42-44 follows the decision to flee toward Egypt. It forms a distinct post-fall Reading Set. | related kings / chronicles: v0.3: 2 Kings 25:22-26 | risk / caveat: Keep the Egypt material as a complete post-fall block. | source ids: S1; S5 | review state: Not reviewed</t>
        </is>
      </c>
    </row>
    <row r="203" ht="34" customHeight="1">
      <c r="A203" s="15" t="inlineStr">
        <is>
          <t xml:space="preserve">v0.4</t>
        </is>
      </c>
      <c r="B203" s="15" t="inlineStr">
        <is>
          <t xml:space="preserve">Bible_Journey_Canon_Map_v0_4_Prophets_Exile.xlsx</t>
        </is>
      </c>
      <c r="C203" s="15" t="inlineStr">
        <is>
          <t xml:space="preserve">Jeremiah Sequence</t>
        </is>
      </c>
      <c r="D203" s="15" t="inlineStr">
        <is>
          <t xml:space="preserve">Jeremiah Sequence-199</t>
        </is>
      </c>
      <c r="E203" s="15" t="inlineStr">
        <is>
          <t xml:space="preserve">Historical appendix / 2 Kings 24-25</t>
        </is>
      </c>
      <c r="F203" s="15"/>
      <c r="G203" s="15"/>
      <c r="H203" s="15" t="inlineStr">
        <is>
          <t xml:space="preserve">High</t>
        </is>
      </c>
      <c r="I203" s="15"/>
      <c r="J203" s="15" t="inlineStr">
        <is>
          <t xml:space="preserve">S1; S5; S6</t>
        </is>
      </c>
      <c r="K203" s="15" t="inlineStr">
        <is>
          <t xml:space="preserve">order in stream: 42 | crs id: CRS-04-042 | jeremiah block: Jeremiah 52 | anchor: Historical appendix / 2 Kings 24-25 | placement confidence: High | why it sits here: Jeremiah 52 parallels the final Kings narrative and is displayed as an appendix-like parallel account, not as a separate later event. | related kings / chronicles: v0.3: 2 Kings 24:18-25:30; 2 Chronicles 36:11-23 | risk / caveat: UI label: 'Parallel historical appendix'. | source ids: S1; S5; S6 | review state: Not reviewed</t>
        </is>
      </c>
    </row>
    <row r="204" ht="34" customHeight="1">
      <c r="A204" s="15" t="inlineStr">
        <is>
          <t xml:space="preserve">v0.5</t>
        </is>
      </c>
      <c r="B204" s="15" t="inlineStr">
        <is>
          <t xml:space="preserve">Bible_Journey_Canon_Map_v0_5_Exile_Return_Persia.xlsx</t>
        </is>
      </c>
      <c r="C204" s="15" t="inlineStr">
        <is>
          <t xml:space="preserve">Cross-Map Links</t>
        </is>
      </c>
      <c r="D204" s="15" t="inlineStr">
        <is>
          <t xml:space="preserve">XMAP-05-001</t>
        </is>
      </c>
      <c r="E204" s="15"/>
      <c r="F204" s="15" t="inlineStr">
        <is>
          <t xml:space="preserve">Habakkuk</t>
        </is>
      </c>
      <c r="G204" s="15" t="inlineStr">
        <is>
          <t xml:space="preserve">Habakkuk is placed near the last decades of Judah; exact king/event linkage must remain visible as uncertain.</t>
        </is>
      </c>
      <c r="H204" s="15" t="inlineStr">
        <is>
          <t xml:space="preserve">Probable</t>
        </is>
      </c>
      <c r="I204" s="15"/>
      <c r="J204" s="15" t="inlineStr">
        <is>
          <t xml:space="preserve">SRC-01</t>
        </is>
      </c>
      <c r="K204" s="15" t="inlineStr">
        <is>
          <t xml:space="preserve">link id: XMAP-05-001 | this map set(s): CRS-05-001 | dependency map / source: v0.4 late-monarchy ledger | book / topic: Habakkuk | historical moment: Late Judah | link type: Contextual placement | confidence: Probable | implementation rule: Habakkuk is placed near the last decades of Judah; exact king/event linkage must remain visible as uncertain. | source keys: SRC-01</t>
        </is>
      </c>
    </row>
    <row r="205" ht="34" customHeight="1">
      <c r="A205" s="15" t="inlineStr">
        <is>
          <t xml:space="preserve">v0.5</t>
        </is>
      </c>
      <c r="B205" s="15" t="inlineStr">
        <is>
          <t xml:space="preserve">Bible_Journey_Canon_Map_v0_5_Exile_Return_Persia.xlsx</t>
        </is>
      </c>
      <c r="C205" s="15" t="inlineStr">
        <is>
          <t xml:space="preserve">Cross-Map Links</t>
        </is>
      </c>
      <c r="D205" s="15" t="inlineStr">
        <is>
          <t xml:space="preserve">XMAP-05-002</t>
        </is>
      </c>
      <c r="E205" s="15"/>
      <c r="F205" s="15" t="inlineStr">
        <is>
          <t xml:space="preserve">Ezekiel</t>
        </is>
      </c>
      <c r="G205" s="15" t="inlineStr">
        <is>
          <t xml:space="preserve">Ezekiel's dated exile ministry is read alongside, not merged into, the Kings/Jeremiah fall narrative.</t>
        </is>
      </c>
      <c r="H205" s="15" t="inlineStr">
        <is>
          <t xml:space="preserve">High</t>
        </is>
      </c>
      <c r="I205" s="15"/>
      <c r="J205" s="15" t="inlineStr">
        <is>
          <t xml:space="preserve">SRC-03; SRC-04</t>
        </is>
      </c>
      <c r="K205" s="15" t="inlineStr">
        <is>
          <t xml:space="preserve">link id: XMAP-05-002 | this map set(s): CRS-05-004 to CRS-05-016 | dependency map / source: v0.3 2 Kings 24-25; v0.4 Jeremiah/Lamentations | book / topic: Ezekiel | historical moment: 597/586 exile | link type: Historical frame | confidence: High | implementation rule: Ezekiel's dated exile ministry is read alongside, not merged into, the Kings/Jeremiah fall narrative. | source keys: SRC-03; SRC-04</t>
        </is>
      </c>
    </row>
    <row r="206" ht="34" customHeight="1">
      <c r="A206" s="15" t="inlineStr">
        <is>
          <t xml:space="preserve">v0.5</t>
        </is>
      </c>
      <c r="B206" s="15" t="inlineStr">
        <is>
          <t xml:space="preserve">Bible_Journey_Canon_Map_v0_5_Exile_Return_Persia.xlsx</t>
        </is>
      </c>
      <c r="C206" s="15" t="inlineStr">
        <is>
          <t xml:space="preserve">Cross-Map Links</t>
        </is>
      </c>
      <c r="D206" s="15" t="inlineStr">
        <is>
          <t xml:space="preserve">XMAP-05-003</t>
        </is>
      </c>
      <c r="E206" s="15"/>
      <c r="F206" s="15" t="inlineStr">
        <is>
          <t xml:space="preserve">Obadiah</t>
        </is>
      </c>
      <c r="G206" s="15" t="inlineStr">
        <is>
          <t xml:space="preserve">Edom oracle follows the fall context; user-facing note discloses alternate dating proposals.</t>
        </is>
      </c>
      <c r="H206" s="15" t="inlineStr">
        <is>
          <t xml:space="preserve">Probable</t>
        </is>
      </c>
      <c r="I206" s="15"/>
      <c r="J206" s="15" t="inlineStr">
        <is>
          <t xml:space="preserve">SRC-02</t>
        </is>
      </c>
      <c r="K206" s="15" t="inlineStr">
        <is>
          <t xml:space="preserve">link id: XMAP-05-003 | this map set(s): CRS-05-017 | dependency map / source: v0.3 2 Kings 25; v0.4 Lamentations | book / topic: Obadiah | historical moment: After Jerusalem's fall | link type: Prophetic context | confidence: Probable | implementation rule: Edom oracle follows the fall context; user-facing note discloses alternate dating proposals. | source keys: SRC-02</t>
        </is>
      </c>
    </row>
    <row r="207" ht="34" customHeight="1">
      <c r="A207" s="15" t="inlineStr">
        <is>
          <t xml:space="preserve">v0.5</t>
        </is>
      </c>
      <c r="B207" s="15" t="inlineStr">
        <is>
          <t xml:space="preserve">Bible_Journey_Canon_Map_v0_5_Exile_Return_Persia.xlsx</t>
        </is>
      </c>
      <c r="C207" s="15" t="inlineStr">
        <is>
          <t xml:space="preserve">Cross-Map Links</t>
        </is>
      </c>
      <c r="D207" s="15" t="inlineStr">
        <is>
          <t xml:space="preserve">XMAP-05-004</t>
        </is>
      </c>
      <c r="E207" s="15"/>
      <c r="F207" s="15" t="inlineStr">
        <is>
          <t xml:space="preserve">Ezra 1</t>
        </is>
      </c>
      <c r="G207" s="15" t="inlineStr">
        <is>
          <t xml:space="preserve">Ezra is primary reading; Chronicles and Isaiah are clearly labeled companion texts.</t>
        </is>
      </c>
      <c r="H207" s="15" t="inlineStr">
        <is>
          <t xml:space="preserve">High</t>
        </is>
      </c>
      <c r="I207" s="15"/>
      <c r="J207" s="15" t="inlineStr">
        <is>
          <t xml:space="preserve">SRC-07; SRC-08; SRC-13</t>
        </is>
      </c>
      <c r="K207" s="15" t="inlineStr">
        <is>
          <t xml:space="preserve">link id: XMAP-05-004 | this map set(s): CRS-05-022 | dependency map / source: v0.3 2 Chronicles 36:22-23; v0.4 Isaiah 44-45 | book / topic: Ezra 1 | historical moment: Cyrus decree | link type: Parallel account | confidence: High | implementation rule: Ezra is primary reading; Chronicles and Isaiah are clearly labeled companion texts. | source keys: SRC-07; SRC-08; SRC-13</t>
        </is>
      </c>
    </row>
    <row r="208" ht="34" customHeight="1">
      <c r="A208" s="15" t="inlineStr">
        <is>
          <t xml:space="preserve">v0.5</t>
        </is>
      </c>
      <c r="B208" s="15" t="inlineStr">
        <is>
          <t xml:space="preserve">Bible_Journey_Canon_Map_v0_5_Exile_Return_Persia.xlsx</t>
        </is>
      </c>
      <c r="C208" s="15" t="inlineStr">
        <is>
          <t xml:space="preserve">Cross-Map Links</t>
        </is>
      </c>
      <c r="D208" s="15" t="inlineStr">
        <is>
          <t xml:space="preserve">XMAP-05-005</t>
        </is>
      </c>
      <c r="E208" s="15"/>
      <c r="F208" s="15" t="inlineStr">
        <is>
          <t xml:space="preserve">Haggai / Zechariah</t>
        </is>
      </c>
      <c r="G208" s="15" t="inlineStr">
        <is>
          <t xml:space="preserve">Haggai and Zechariah are positioned inside the Ezra rebuilding sequence, not after Ezra as separate books.</t>
        </is>
      </c>
      <c r="H208" s="15" t="inlineStr">
        <is>
          <t xml:space="preserve">High</t>
        </is>
      </c>
      <c r="I208" s="15"/>
      <c r="J208" s="15" t="inlineStr">
        <is>
          <t xml:space="preserve">SRC-08; SRC-11</t>
        </is>
      </c>
      <c r="K208" s="15" t="inlineStr">
        <is>
          <t xml:space="preserve">link id: XMAP-05-005 | this map set(s): CRS-05-026 to CRS-05-032 | dependency map / source: Internal Ezra 4-6 | book / topic: Haggai / Zechariah | historical moment: Temple restart and completion | link type: Integrated sequence | confidence: High | implementation rule: Haggai and Zechariah are positioned inside the Ezra rebuilding sequence, not after Ezra as separate books. | source keys: SRC-08; SRC-11</t>
        </is>
      </c>
    </row>
    <row r="209" ht="34" customHeight="1">
      <c r="A209" s="15" t="inlineStr">
        <is>
          <t xml:space="preserve">v0.5</t>
        </is>
      </c>
      <c r="B209" s="15" t="inlineStr">
        <is>
          <t xml:space="preserve">Bible_Journey_Canon_Map_v0_5_Exile_Return_Persia.xlsx</t>
        </is>
      </c>
      <c r="C209" s="15" t="inlineStr">
        <is>
          <t xml:space="preserve">Cross-Map Links</t>
        </is>
      </c>
      <c r="D209" s="15" t="inlineStr">
        <is>
          <t xml:space="preserve">XMAP-05-006</t>
        </is>
      </c>
      <c r="E209" s="15"/>
      <c r="F209" s="15" t="inlineStr">
        <is>
          <t xml:space="preserve">Ezra / Nehemiah</t>
        </is>
      </c>
      <c r="G209" s="15" t="inlineStr">
        <is>
          <t xml:space="preserve">The product must expose the selected framework and note alternate dating proposals where meaningful.</t>
        </is>
      </c>
      <c r="H209" s="15" t="inlineStr">
        <is>
          <t xml:space="preserve">Debated</t>
        </is>
      </c>
      <c r="I209" s="15"/>
      <c r="J209" s="15" t="inlineStr">
        <is>
          <t xml:space="preserve">SRC-09; SRC-10; SRC-12</t>
        </is>
      </c>
      <c r="K209" s="15" t="inlineStr">
        <is>
          <t xml:space="preserve">link id: XMAP-05-006 | this map set(s): CRS-05-036 to CRS-05-045 | dependency map / source: Ezra-Nehemiah internal sequence | book / topic: Ezra / Nehemiah | historical moment: Artaxerxes period | link type: Chronology framework | confidence: Debated | implementation rule: The product must expose the selected framework and note alternate dating proposals where meaningful. | source keys: SRC-09; SRC-10; SRC-12</t>
        </is>
      </c>
    </row>
    <row r="210" ht="34" customHeight="1">
      <c r="A210" s="15" t="inlineStr">
        <is>
          <t xml:space="preserve">v0.5</t>
        </is>
      </c>
      <c r="B210" s="15" t="inlineStr">
        <is>
          <t xml:space="preserve">Bible_Journey_Canon_Map_v0_5_Exile_Return_Persia.xlsx</t>
        </is>
      </c>
      <c r="C210" s="15" t="inlineStr">
        <is>
          <t xml:space="preserve">Cross-Map Links</t>
        </is>
      </c>
      <c r="D210" s="15" t="inlineStr">
        <is>
          <t xml:space="preserve">XMAP-05-007</t>
        </is>
      </c>
      <c r="E210" s="15"/>
      <c r="F210" s="15" t="inlineStr">
        <is>
          <t xml:space="preserve">Malachi</t>
        </is>
      </c>
      <c r="G210" s="15" t="inlineStr">
        <is>
          <t xml:space="preserve">Malachi is placed after Nehemiah as a study arrangement, not a fixed historical conclusion.</t>
        </is>
      </c>
      <c r="H210" s="15" t="inlineStr">
        <is>
          <t xml:space="preserve">Debated</t>
        </is>
      </c>
      <c r="I210" s="15"/>
      <c r="J210" s="15" t="inlineStr">
        <is>
          <t xml:space="preserve">SRC-14</t>
        </is>
      </c>
      <c r="K210" s="15" t="inlineStr">
        <is>
          <t xml:space="preserve">link id: XMAP-05-007 | this map set(s): CRS-05-046 | dependency map / source: Nehemiah 13 | book / topic: Malachi | historical moment: Postexilic community | link type: Contextual relationship | confidence: Debated | implementation rule: Malachi is placed after Nehemiah as a study arrangement, not a fixed historical conclusion. | source keys: SRC-14</t>
        </is>
      </c>
    </row>
    <row r="211" ht="34" customHeight="1">
      <c r="A211" s="15" t="inlineStr">
        <is>
          <t xml:space="preserve">v0.5</t>
        </is>
      </c>
      <c r="B211" s="15" t="inlineStr">
        <is>
          <t xml:space="preserve">Bible_Journey_Canon_Map_v0_5_Exile_Return_Persia.xlsx</t>
        </is>
      </c>
      <c r="C211" s="15" t="inlineStr">
        <is>
          <t xml:space="preserve">Cross-Map Links</t>
        </is>
      </c>
      <c r="D211" s="15" t="inlineStr">
        <is>
          <t xml:space="preserve">XMAP-05-008</t>
        </is>
      </c>
      <c r="E211" s="15"/>
      <c r="F211" s="15" t="inlineStr">
        <is>
          <t xml:space="preserve">Esther</t>
        </is>
      </c>
      <c r="G211" s="15" t="inlineStr">
        <is>
          <t xml:space="preserve">Esther must be integrated before Bible Stream's Persian period can be declared complete.</t>
        </is>
      </c>
      <c r="H211" s="15" t="inlineStr">
        <is>
          <t xml:space="preserve">High</t>
        </is>
      </c>
      <c r="I211" s="15"/>
      <c r="J211" s="15" t="inlineStr">
        <is>
          <t xml:space="preserve">SRC-12</t>
        </is>
      </c>
      <c r="K211" s="15" t="inlineStr">
        <is>
          <t xml:space="preserve">link id: XMAP-05-008 | this map set(s): Out of scope | dependency map / source: Future v0.6 | book / topic: Esther | historical moment: Persian court period | link type: Scope dependency | confidence: High | implementation rule: Esther must be integrated before Bible Stream's Persian period can be declared complete. | source keys: SRC-12</t>
        </is>
      </c>
    </row>
    <row r="212" ht="34" customHeight="1">
      <c r="A212" s="15" t="inlineStr">
        <is>
          <t xml:space="preserve">v0.5</t>
        </is>
      </c>
      <c r="B212" s="15" t="inlineStr">
        <is>
          <t xml:space="preserve">Bible_Journey_Canon_Map_v0_5_Exile_Return_Persia.xlsx</t>
        </is>
      </c>
      <c r="C212" s="15" t="inlineStr">
        <is>
          <t xml:space="preserve">Integration Rules</t>
        </is>
      </c>
      <c r="D212" s="15" t="inlineStr">
        <is>
          <t xml:space="preserve">Integration Rules-208</t>
        </is>
      </c>
      <c r="E212" s="15"/>
      <c r="F212" s="15"/>
      <c r="G212" s="15" t="inlineStr">
        <is>
          <t xml:space="preserve">Never weave verses from different books into a synthetic narrative.</t>
        </is>
      </c>
      <c r="H212" s="15"/>
      <c r="I212" s="15"/>
      <c r="J212" s="15"/>
      <c r="K212" s="15" t="inlineStr">
        <is>
          <t xml:space="preserve">rule id: IR-01 | area: Text integrity | rule: Never weave verses from different books into a synthetic narrative. | surface / system: All modes | priority: Required</t>
        </is>
      </c>
    </row>
    <row r="213" ht="34" customHeight="1">
      <c r="A213" s="15" t="inlineStr">
        <is>
          <t xml:space="preserve">v0.5</t>
        </is>
      </c>
      <c r="B213" s="15" t="inlineStr">
        <is>
          <t xml:space="preserve">Bible_Journey_Canon_Map_v0_5_Exile_Return_Persia.xlsx</t>
        </is>
      </c>
      <c r="C213" s="15" t="inlineStr">
        <is>
          <t xml:space="preserve">Integration Rules</t>
        </is>
      </c>
      <c r="D213" s="15" t="inlineStr">
        <is>
          <t xml:space="preserve">Integration Rules-209</t>
        </is>
      </c>
      <c r="E213" s="15"/>
      <c r="F213" s="15"/>
      <c r="G213" s="15" t="inlineStr">
        <is>
          <t xml:space="preserve">A reading set is fully complete only when every Required block is read.</t>
        </is>
      </c>
      <c r="H213" s="15"/>
      <c r="I213" s="15"/>
      <c r="J213" s="15"/>
      <c r="K213" s="15" t="inlineStr">
        <is>
          <t xml:space="preserve">rule id: IR-02 | area: Complete Chronological Reading | rule: A reading set is fully complete only when every Required block is read. | surface / system: Progress engine | priority: Required</t>
        </is>
      </c>
    </row>
    <row r="214" ht="34" customHeight="1">
      <c r="A214" s="15" t="inlineStr">
        <is>
          <t xml:space="preserve">v0.5</t>
        </is>
      </c>
      <c r="B214" s="15" t="inlineStr">
        <is>
          <t xml:space="preserve">Bible_Journey_Canon_Map_v0_5_Exile_Return_Persia.xlsx</t>
        </is>
      </c>
      <c r="C214" s="15" t="inlineStr">
        <is>
          <t xml:space="preserve">Integration Rules</t>
        </is>
      </c>
      <c r="D214" s="15" t="inlineStr">
        <is>
          <t xml:space="preserve">Integration Rules-210</t>
        </is>
      </c>
      <c r="E214" s="15"/>
      <c r="F214" s="15"/>
      <c r="G214" s="15" t="inlineStr">
        <is>
          <t xml:space="preserve">May defer blocks marked 'No' for Narrative Flow, but must show deferred passages as pending rather than silently completed.</t>
        </is>
      </c>
      <c r="H214" s="15"/>
      <c r="I214" s="15"/>
      <c r="J214" s="15"/>
      <c r="K214" s="15" t="inlineStr">
        <is>
          <t xml:space="preserve">rule id: IR-03 | area: Narrative Flow | rule: May defer blocks marked 'No' for Narrative Flow, but must show deferred passages as pending rather than silently completed. | surface / system: Progress engine / UI | priority: Required</t>
        </is>
      </c>
    </row>
    <row r="215" ht="34" customHeight="1">
      <c r="A215" s="15" t="inlineStr">
        <is>
          <t xml:space="preserve">v0.5</t>
        </is>
      </c>
      <c r="B215" s="15" t="inlineStr">
        <is>
          <t xml:space="preserve">Bible_Journey_Canon_Map_v0_5_Exile_Return_Persia.xlsx</t>
        </is>
      </c>
      <c r="C215" s="15" t="inlineStr">
        <is>
          <t xml:space="preserve">Integration Rules</t>
        </is>
      </c>
      <c r="D215" s="15" t="inlineStr">
        <is>
          <t xml:space="preserve">Integration Rules-211</t>
        </is>
      </c>
      <c r="E215" s="15"/>
      <c r="F215" s="15"/>
      <c r="G215" s="15" t="inlineStr">
        <is>
          <t xml:space="preserve">Only show Compare Accounts when the relationship is a true parallel or clearly defined companion account; do not force comparison for unrelated texts.</t>
        </is>
      </c>
      <c r="H215" s="15"/>
      <c r="I215" s="15"/>
      <c r="J215" s="15"/>
      <c r="K215" s="15" t="inlineStr">
        <is>
          <t xml:space="preserve">rule id: IR-04 | area: Compare Accounts | rule: Only show Compare Accounts when the relationship is a true parallel or clearly defined companion account; do not force comparison for unrelated texts. | surface / system: Study mode | priority: Required</t>
        </is>
      </c>
    </row>
    <row r="216" ht="34" customHeight="1">
      <c r="A216" s="15" t="inlineStr">
        <is>
          <t xml:space="preserve">v0.5</t>
        </is>
      </c>
      <c r="B216" s="15" t="inlineStr">
        <is>
          <t xml:space="preserve">Bible_Journey_Canon_Map_v0_5_Exile_Return_Persia.xlsx</t>
        </is>
      </c>
      <c r="C216" s="15" t="inlineStr">
        <is>
          <t xml:space="preserve">Integration Rules</t>
        </is>
      </c>
      <c r="D216" s="15" t="inlineStr">
        <is>
          <t xml:space="preserve">Integration Rules-212</t>
        </is>
      </c>
      <c r="E216" s="15"/>
      <c r="F216" s="15"/>
      <c r="G216" s="15" t="inlineStr">
        <is>
          <t xml:space="preserve">When a block is moved out of canonical order, show a concise explanation and a link back to canonical navigation.</t>
        </is>
      </c>
      <c r="H216" s="15"/>
      <c r="I216" s="15"/>
      <c r="J216" s="15"/>
      <c r="K216" s="15" t="inlineStr">
        <is>
          <t xml:space="preserve">rule id: IR-05 | area: Book-order detours | rule: When a block is moved out of canonical order, show a concise explanation and a link back to canonical navigation. | surface / system: Reader / Study mode | priority: Required</t>
        </is>
      </c>
    </row>
    <row r="217" ht="34" customHeight="1">
      <c r="A217" s="15" t="inlineStr">
        <is>
          <t xml:space="preserve">v0.5</t>
        </is>
      </c>
      <c r="B217" s="15" t="inlineStr">
        <is>
          <t xml:space="preserve">Bible_Journey_Canon_Map_v0_5_Exile_Return_Persia.xlsx</t>
        </is>
      </c>
      <c r="C217" s="15" t="inlineStr">
        <is>
          <t xml:space="preserve">Integration Rules</t>
        </is>
      </c>
      <c r="D217" s="15" t="inlineStr">
        <is>
          <t xml:space="preserve">Integration Rules-213</t>
        </is>
      </c>
      <c r="E217" s="15"/>
      <c r="F217" s="15"/>
      <c r="G217" s="15" t="inlineStr">
        <is>
          <t xml:space="preserve">Show placement confidence separate from event confidence. Use High, Probable, Debated consistently.</t>
        </is>
      </c>
      <c r="H217" s="15"/>
      <c r="I217" s="15"/>
      <c r="J217" s="15"/>
      <c r="K217" s="15" t="inlineStr">
        <is>
          <t xml:space="preserve">rule id: IR-06 | area: Confidence display | rule: Show placement confidence separate from event confidence. Use High, Probable, Debated consistently. | surface / system: All surfaces | priority: Required</t>
        </is>
      </c>
    </row>
    <row r="218" ht="34" customHeight="1">
      <c r="A218" s="15" t="inlineStr">
        <is>
          <t xml:space="preserve">v0.5</t>
        </is>
      </c>
      <c r="B218" s="15" t="inlineStr">
        <is>
          <t xml:space="preserve">Bible_Journey_Canon_Map_v0_5_Exile_Return_Persia.xlsx</t>
        </is>
      </c>
      <c r="C218" s="15" t="inlineStr">
        <is>
          <t xml:space="preserve">Integration Rules</t>
        </is>
      </c>
      <c r="D218" s="15" t="inlineStr">
        <is>
          <t xml:space="preserve">Integration Rules-214</t>
        </is>
      </c>
      <c r="E218" s="15"/>
      <c r="F218" s="15"/>
      <c r="G218" s="15" t="inlineStr">
        <is>
          <t xml:space="preserve">Use 'Narrative setting' and 'Composition / scholarly context' as separate fields.</t>
        </is>
      </c>
      <c r="H218" s="15"/>
      <c r="I218" s="15"/>
      <c r="J218" s="15"/>
      <c r="K218" s="15" t="inlineStr">
        <is>
          <t xml:space="preserve">rule id: IR-07 | area: Daniel date model | rule: Use 'Narrative setting' and 'Composition / scholarly context' as separate fields. | surface / system: Reader / Study / Ezra | priority: Required</t>
        </is>
      </c>
    </row>
    <row r="219" ht="34" customHeight="1">
      <c r="A219" s="15" t="inlineStr">
        <is>
          <t xml:space="preserve">v0.5</t>
        </is>
      </c>
      <c r="B219" s="15" t="inlineStr">
        <is>
          <t xml:space="preserve">Bible_Journey_Canon_Map_v0_5_Exile_Return_Persia.xlsx</t>
        </is>
      </c>
      <c r="C219" s="15" t="inlineStr">
        <is>
          <t xml:space="preserve">Integration Rules</t>
        </is>
      </c>
      <c r="D219" s="15" t="inlineStr">
        <is>
          <t xml:space="preserve">Integration Rules-215</t>
        </is>
      </c>
      <c r="E219" s="15"/>
      <c r="F219" s="15"/>
      <c r="G219" s="15" t="inlineStr">
        <is>
          <t xml:space="preserve">Undated collections remain required for full coverage but carry a visible 'study arrangement' label.</t>
        </is>
      </c>
      <c r="H219" s="15"/>
      <c r="I219" s="15"/>
      <c r="J219" s="15"/>
      <c r="K219" s="15" t="inlineStr">
        <is>
          <t xml:space="preserve">rule id: IR-08 | area: Supplementary prophetic collections | rule: Undated collections remain required for full coverage but carry a visible 'study arrangement' label. | surface / system: Reader | priority: Required</t>
        </is>
      </c>
    </row>
    <row r="220" ht="34" customHeight="1">
      <c r="A220" s="15" t="inlineStr">
        <is>
          <t xml:space="preserve">v0.5</t>
        </is>
      </c>
      <c r="B220" s="15" t="inlineStr">
        <is>
          <t xml:space="preserve">Bible_Journey_Canon_Map_v0_5_Exile_Return_Persia.xlsx</t>
        </is>
      </c>
      <c r="C220" s="15" t="inlineStr">
        <is>
          <t xml:space="preserve">Integration Rules</t>
        </is>
      </c>
      <c r="D220" s="15" t="inlineStr">
        <is>
          <t xml:space="preserve">Integration Rules-216</t>
        </is>
      </c>
      <c r="E220" s="15"/>
      <c r="F220" s="15"/>
      <c r="G220" s="15" t="inlineStr">
        <is>
          <t xml:space="preserve">Display the biblical text fully; offer optional visual aids without replacing or abbreviating Scripture.</t>
        </is>
      </c>
      <c r="H220" s="15"/>
      <c r="I220" s="15"/>
      <c r="J220" s="15"/>
      <c r="K220" s="15" t="inlineStr">
        <is>
          <t xml:space="preserve">rule id: IR-09 | area: Lists and genealogies | rule: Display the biblical text fully; offer optional visual aids without replacing or abbreviating Scripture. | surface / system: Reader / Study | priority: Required</t>
        </is>
      </c>
    </row>
    <row r="221" ht="34" customHeight="1">
      <c r="A221" s="15" t="inlineStr">
        <is>
          <t xml:space="preserve">v0.5</t>
        </is>
      </c>
      <c r="B221" s="15" t="inlineStr">
        <is>
          <t xml:space="preserve">Bible_Journey_Canon_Map_v0_5_Exile_Return_Persia.xlsx</t>
        </is>
      </c>
      <c r="C221" s="15" t="inlineStr">
        <is>
          <t xml:space="preserve">Integration Rules</t>
        </is>
      </c>
      <c r="D221" s="15" t="inlineStr">
        <is>
          <t xml:space="preserve">Integration Rules-217</t>
        </is>
      </c>
      <c r="E221" s="15"/>
      <c r="F221" s="15"/>
      <c r="G221" s="15" t="inlineStr">
        <is>
          <t xml:space="preserve">Ezra may explain why a block appears in a set but must cite the set's source keys and confidence state; it may not invent a placement.</t>
        </is>
      </c>
      <c r="H221" s="15"/>
      <c r="I221" s="15"/>
      <c r="J221" s="15"/>
      <c r="K221" s="15" t="inlineStr">
        <is>
          <t xml:space="preserve">rule id: IR-10 | area: AI guardrail | rule: Ezra may explain why a block appears in a set but must cite the set's source keys and confidence state; it may not invent a placement. | surface / system: Ezra | priority: Required</t>
        </is>
      </c>
    </row>
    <row r="222" ht="34" customHeight="1">
      <c r="A222" s="15" t="inlineStr">
        <is>
          <t xml:space="preserve">v0.6</t>
        </is>
      </c>
      <c r="B222" s="15" t="inlineStr">
        <is>
          <t xml:space="preserve">Bible_Journey_Canon_Map_v0_6_Esther_Intertestamental_Bridge.xlsx</t>
        </is>
      </c>
      <c r="C222" s="15" t="inlineStr">
        <is>
          <t xml:space="preserve">Cross-Map Links</t>
        </is>
      </c>
      <c r="D222" s="15" t="inlineStr">
        <is>
          <t xml:space="preserve">X-06-001</t>
        </is>
      </c>
      <c r="E222" s="15" t="inlineStr">
        <is>
          <t xml:space="preserve">v0.5: Ezra 1-6, Haggai, Zechariah 1-8</t>
        </is>
      </c>
      <c r="F222" s="15" t="inlineStr">
        <is>
          <t xml:space="preserve">v0.6: Esther 1-10</t>
        </is>
      </c>
      <c r="G222" s="15" t="inlineStr">
        <is>
          <t xml:space="preserve">Persian-period contextual insertion</t>
        </is>
      </c>
      <c r="H222" s="15" t="inlineStr">
        <is>
          <t xml:space="preserve">Probable</t>
        </is>
      </c>
      <c r="I222" s="13" t="inlineStr">
        <is>
          <t xml:space="preserve">Draft</t>
        </is>
      </c>
      <c r="J222" s="15" t="inlineStr">
        <is>
          <t xml:space="preserve">SRC-06-01; SRC-06-02</t>
        </is>
      </c>
      <c r="K222" s="15" t="inlineStr">
        <is>
          <t xml:space="preserve">link id: X-06-001 | from map / content: v0.5: Ezra 1-6, Haggai, Zechariah 1-8 | to map / content: v0.6: Esther 1-10 | relationship: Persian-period contextual insertion | reader behavior: Offer Esther between the temple-rebuilding and later Ezra-Nehemiah sequence when the narrative-setting timeline is active. | confidence: Probable | source keys: SRC-06-01; SRC-06-02 | status: Draft | notes: Show a placement note; do not imply Esther's historicity/composition is settled.</t>
        </is>
      </c>
    </row>
    <row r="223" ht="34" customHeight="1">
      <c r="A223" s="15" t="inlineStr">
        <is>
          <t xml:space="preserve">v0.6</t>
        </is>
      </c>
      <c r="B223" s="15" t="inlineStr">
        <is>
          <t xml:space="preserve">Bible_Journey_Canon_Map_v0_6_Esther_Intertestamental_Bridge.xlsx</t>
        </is>
      </c>
      <c r="C223" s="15" t="inlineStr">
        <is>
          <t xml:space="preserve">Cross-Map Links</t>
        </is>
      </c>
      <c r="D223" s="15" t="inlineStr">
        <is>
          <t xml:space="preserve">X-06-002</t>
        </is>
      </c>
      <c r="E223" s="15" t="inlineStr">
        <is>
          <t xml:space="preserve">v0.6: Esther 1-10</t>
        </is>
      </c>
      <c r="F223" s="15" t="inlineStr">
        <is>
          <t xml:space="preserve">v0.5: Ezra 7-10 and Nehemiah</t>
        </is>
      </c>
      <c r="G223" s="15" t="inlineStr">
        <is>
          <t xml:space="preserve">Return to Persian-period stream</t>
        </is>
      </c>
      <c r="H223" s="15" t="inlineStr">
        <is>
          <t xml:space="preserve">Probable</t>
        </is>
      </c>
      <c r="I223" s="13" t="inlineStr">
        <is>
          <t xml:space="preserve">Draft</t>
        </is>
      </c>
      <c r="J223" s="15" t="inlineStr">
        <is>
          <t xml:space="preserve">SRC-06-01; SRC-06-02</t>
        </is>
      </c>
      <c r="K223" s="15" t="inlineStr">
        <is>
          <t xml:space="preserve">link id: X-06-002 | from map / content: v0.6: Esther 1-10 | to map / content: v0.5: Ezra 7-10 and Nehemiah | relationship: Return to Persian-period stream | reader behavior: After Esther, return to the selected v0.5 Persian-era sequence. | confidence: Probable | source keys: SRC-06-01; SRC-06-02 | status: Draft | notes: This is an editorial navigation relationship, not a claim that Esther was written before Ezra-Nehemiah.</t>
        </is>
      </c>
    </row>
    <row r="224" ht="34" customHeight="1">
      <c r="A224" s="15" t="inlineStr">
        <is>
          <t xml:space="preserve">v0.6</t>
        </is>
      </c>
      <c r="B224" s="15" t="inlineStr">
        <is>
          <t xml:space="preserve">Bible_Journey_Canon_Map_v0_6_Esther_Intertestamental_Bridge.xlsx</t>
        </is>
      </c>
      <c r="C224" s="15" t="inlineStr">
        <is>
          <t xml:space="preserve">Cross-Map Links</t>
        </is>
      </c>
      <c r="D224" s="15" t="inlineStr">
        <is>
          <t xml:space="preserve">X-06-003</t>
        </is>
      </c>
      <c r="E224" s="15" t="inlineStr">
        <is>
          <t xml:space="preserve">v0.5: Malachi / final postexilic stream</t>
        </is>
      </c>
      <c r="F224" s="15" t="inlineStr">
        <is>
          <t xml:space="preserve">v0.6: Context Bridge cards</t>
        </is>
      </c>
      <c r="G224" s="15" t="inlineStr">
        <is>
          <t xml:space="preserve">Historical bridge</t>
        </is>
      </c>
      <c r="H224" s="15" t="inlineStr">
        <is>
          <t xml:space="preserve">High</t>
        </is>
      </c>
      <c r="I224" s="13" t="inlineStr">
        <is>
          <t xml:space="preserve">Draft</t>
        </is>
      </c>
      <c r="J224" s="15" t="inlineStr">
        <is>
          <t xml:space="preserve">SRC-06-05; SRC-06-16</t>
        </is>
      </c>
      <c r="K224" s="15" t="inlineStr">
        <is>
          <t xml:space="preserve">link id: X-06-003 | from map / content: v0.5: Malachi / final postexilic stream | to map / content: v0.6: Context Bridge cards | relationship: Historical bridge | reader behavior: Display cards separately from Scripture and exclude them from canonical coverage/progress. | confidence: High | source keys: SRC-06-05; SRC-06-16 | status: Draft | notes: User can hide bridge cards, but an entry point remains in Journey/Timeline.</t>
        </is>
      </c>
    </row>
    <row r="225" ht="34" customHeight="1">
      <c r="A225" s="15" t="inlineStr">
        <is>
          <t xml:space="preserve">v0.6</t>
        </is>
      </c>
      <c r="B225" s="15" t="inlineStr">
        <is>
          <t xml:space="preserve">Bible_Journey_Canon_Map_v0_6_Esther_Intertestamental_Bridge.xlsx</t>
        </is>
      </c>
      <c r="C225" s="15" t="inlineStr">
        <is>
          <t xml:space="preserve">Cross-Map Links</t>
        </is>
      </c>
      <c r="D225" s="15" t="inlineStr">
        <is>
          <t xml:space="preserve">X-06-004</t>
        </is>
      </c>
      <c r="E225" s="15" t="inlineStr">
        <is>
          <t xml:space="preserve">v0.6: Roman Judea and Gospel World</t>
        </is>
      </c>
      <c r="F225" s="15" t="inlineStr">
        <is>
          <t xml:space="preserve">v0.7: Gospel Chronology</t>
        </is>
      </c>
      <c r="G225" s="15" t="inlineStr">
        <is>
          <t xml:space="preserve">New Testament handoff</t>
        </is>
      </c>
      <c r="H225" s="15" t="inlineStr">
        <is>
          <t xml:space="preserve">Probable</t>
        </is>
      </c>
      <c r="I225" s="13" t="inlineStr">
        <is>
          <t xml:space="preserve">Draft</t>
        </is>
      </c>
      <c r="J225" s="15" t="inlineStr">
        <is>
          <t xml:space="preserve">SRC-06-08; SRC-06-09</t>
        </is>
      </c>
      <c r="K225" s="15" t="inlineStr">
        <is>
          <t xml:space="preserve">link id: X-06-004 | from map / content: v0.6: Roman Judea and Gospel World | to map / content: v0.7: Gospel Chronology | relationship: New Testament handoff | reader behavior: Action button begins the Gospel Stream; preserve cross-map state and reader preferences. | confidence: Probable | source keys: SRC-06-08; SRC-06-09 | status: Draft | notes: Gospel harmonization methodology belongs in v0.7.</t>
        </is>
      </c>
    </row>
    <row r="226" ht="34" customHeight="1">
      <c r="A226" s="15" t="inlineStr">
        <is>
          <t xml:space="preserve">v0.6</t>
        </is>
      </c>
      <c r="B226" s="15" t="inlineStr">
        <is>
          <t xml:space="preserve">Bible_Journey_Canon_Map_v0_6_Esther_Intertestamental_Bridge.xlsx</t>
        </is>
      </c>
      <c r="C226" s="15" t="inlineStr">
        <is>
          <t xml:space="preserve">Context Bridge</t>
        </is>
      </c>
      <c r="D226" s="15" t="inlineStr">
        <is>
          <t xml:space="preserve">CTX-06-001</t>
        </is>
      </c>
      <c r="E226" s="15"/>
      <c r="F226" s="15" t="inlineStr">
        <is>
          <t xml:space="preserve">Orient users to Susa, the Persian court, diaspora life, and the narrative setting associated with Ahasuerus/Xerxes.</t>
        </is>
      </c>
      <c r="G226" s="15"/>
      <c r="H226" s="15" t="inlineStr">
        <is>
          <t xml:space="preserve">Probable</t>
        </is>
      </c>
      <c r="I226" s="15" t="inlineStr">
        <is>
          <t xml:space="preserve">Historical Context only; not Scripture</t>
        </is>
      </c>
      <c r="J226" s="15" t="inlineStr">
        <is>
          <t xml:space="preserve">SRC-06-01; SRC-06-02; SRC-06-10; SRC-06-12</t>
        </is>
      </c>
      <c r="K226" s="15" t="inlineStr">
        <is>
          <t xml:space="preserve">context id: CTX-06-001 | sequence: 1 | era / date: c. 486-465 BCE | context card title: Persian diaspora and the world of Esther | historical summary: Orient users to Susa, the Persian court, diaspora life, and the narrative setting associated with Ahasuerus/Xerxes. | reader placement: Before Esther 1 | canonical text status: Historical Context only; not Scripture | default visibility: Shown with clear label | user toggle: Show / Hide Historical Context | canonical connections: Esther 1-10; Ezra-Nehemiah (contextual link) | source keys: SRC-06-01; SRC-06-02; SRC-06-10; SRC-06-12 | confidence: Probable | editorial status: Draft | notes: Must never be styled as Bible text or counted toward canonical coverage.</t>
        </is>
      </c>
    </row>
    <row r="227" ht="34" customHeight="1">
      <c r="A227" s="15" t="inlineStr">
        <is>
          <t xml:space="preserve">v0.6</t>
        </is>
      </c>
      <c r="B227" s="15" t="inlineStr">
        <is>
          <t xml:space="preserve">Bible_Journey_Canon_Map_v0_6_Esther_Intertestamental_Bridge.xlsx</t>
        </is>
      </c>
      <c r="C227" s="15" t="inlineStr">
        <is>
          <t xml:space="preserve">Context Bridge</t>
        </is>
      </c>
      <c r="D227" s="15" t="inlineStr">
        <is>
          <t xml:space="preserve">CTX-06-002</t>
        </is>
      </c>
      <c r="E227" s="15"/>
      <c r="F227" s="15" t="inlineStr">
        <is>
          <t xml:space="preserve">Alexander's conquest introduced a new Hellenistic political and cultural setting across the eastern Mediterranean.</t>
        </is>
      </c>
      <c r="G227" s="15"/>
      <c r="H227" s="15" t="inlineStr">
        <is>
          <t xml:space="preserve">High</t>
        </is>
      </c>
      <c r="I227" s="15" t="inlineStr">
        <is>
          <t xml:space="preserve">Historical Context only; not Scripture</t>
        </is>
      </c>
      <c r="J227" s="15" t="inlineStr">
        <is>
          <t xml:space="preserve">SRC-06-05; SRC-06-06</t>
        </is>
      </c>
      <c r="K227" s="15" t="inlineStr">
        <is>
          <t xml:space="preserve">context id: CTX-06-002 | sequence: 2 | era / date: 332 BCE | context card title: Alexander's conquest and the Hellenistic transition | historical summary: Alexander's conquest introduced a new Hellenistic political and cultural setting across the eastern Mediterranean. | reader placement: After final post-exilic canonical stream / before Greek-era cards | canonical text status: Historical Context only; not Scripture | default visibility: Shown with clear label | user toggle: Show / Hide Historical Context | canonical connections: Daniel 7-12 (study connection only) | source keys: SRC-06-05; SRC-06-06 | confidence: High | editorial status: Draft | notes: No biblical passage is inserted here. This is a bridge card for historical orientation.</t>
        </is>
      </c>
    </row>
    <row r="228" ht="34" customHeight="1">
      <c r="A228" s="15" t="inlineStr">
        <is>
          <t xml:space="preserve">v0.6</t>
        </is>
      </c>
      <c r="B228" s="15" t="inlineStr">
        <is>
          <t xml:space="preserve">Bible_Journey_Canon_Map_v0_6_Esther_Intertestamental_Bridge.xlsx</t>
        </is>
      </c>
      <c r="C228" s="15" t="inlineStr">
        <is>
          <t xml:space="preserve">Context Bridge</t>
        </is>
      </c>
      <c r="D228" s="15" t="inlineStr">
        <is>
          <t xml:space="preserve">CTX-06-003</t>
        </is>
      </c>
      <c r="E228" s="15"/>
      <c r="F228" s="15" t="inlineStr">
        <is>
          <t xml:space="preserve">Judea lived under Ptolemaic control during an early Hellenistic phase before Seleucid rule.</t>
        </is>
      </c>
      <c r="G228" s="15"/>
      <c r="H228" s="15" t="inlineStr">
        <is>
          <t xml:space="preserve">Probable</t>
        </is>
      </c>
      <c r="I228" s="15" t="inlineStr">
        <is>
          <t xml:space="preserve">Historical Context only; not Scripture</t>
        </is>
      </c>
      <c r="J228" s="15" t="inlineStr">
        <is>
          <t xml:space="preserve">SRC-06-05; SRC-06-17</t>
        </is>
      </c>
      <c r="K228" s="15" t="inlineStr">
        <is>
          <t xml:space="preserve">context id: CTX-06-003 | sequence: 3 | era / date: c. 301-200 BCE | context card title: Judea under Ptolemaic rule | historical summary: Judea lived under Ptolemaic control during an early Hellenistic phase before Seleucid rule. | reader placement: After Alexander card | canonical text status: Historical Context only; not Scripture | default visibility: Shown with clear label | user toggle: Show / Hide Historical Context | canonical connections: Second Temple context | source keys: SRC-06-05; SRC-06-17 | confidence: Probable | editorial status: Draft | notes: Use broad date language in UI; exact political transitions should retain source notes.</t>
        </is>
      </c>
    </row>
    <row r="229" ht="34" customHeight="1">
      <c r="A229" s="15" t="inlineStr">
        <is>
          <t xml:space="preserve">v0.6</t>
        </is>
      </c>
      <c r="B229" s="15" t="inlineStr">
        <is>
          <t xml:space="preserve">Bible_Journey_Canon_Map_v0_6_Esther_Intertestamental_Bridge.xlsx</t>
        </is>
      </c>
      <c r="C229" s="15" t="inlineStr">
        <is>
          <t xml:space="preserve">Context Bridge</t>
        </is>
      </c>
      <c r="D229" s="15" t="inlineStr">
        <is>
          <t xml:space="preserve">CTX-06-004</t>
        </is>
      </c>
      <c r="E229" s="15"/>
      <c r="F229" s="15" t="inlineStr">
        <is>
          <t xml:space="preserve">Political authority in Judea shifted to the Seleucid sphere, setting the background for the later crisis under Antiochus IV.</t>
        </is>
      </c>
      <c r="G229" s="15"/>
      <c r="H229" s="15" t="inlineStr">
        <is>
          <t xml:space="preserve">Probable</t>
        </is>
      </c>
      <c r="I229" s="15" t="inlineStr">
        <is>
          <t xml:space="preserve">Historical Context only; not Scripture</t>
        </is>
      </c>
      <c r="J229" s="15" t="inlineStr">
        <is>
          <t xml:space="preserve">SRC-06-05; SRC-06-06</t>
        </is>
      </c>
      <c r="K229" s="15" t="inlineStr">
        <is>
          <t xml:space="preserve">context id: CTX-06-004 | sequence: 4 | era / date: 198-175 BCE | context card title: Judea under Seleucid rule | historical summary: Political authority in Judea shifted to the Seleucid sphere, setting the background for the later crisis under Antiochus IV. | reader placement: After Ptolemaic card | canonical text status: Historical Context only; not Scripture | default visibility: Shown with clear label | user toggle: Show / Hide Historical Context | canonical connections: Daniel 7-12 (study connection only) | source keys: SRC-06-05; SRC-06-06 | confidence: Probable | editorial status: Draft | notes: Do not turn Daniel into a one-to-one predictive timeline in the reader.</t>
        </is>
      </c>
    </row>
    <row r="230" ht="34" customHeight="1">
      <c r="A230" s="15" t="inlineStr">
        <is>
          <t xml:space="preserve">v0.6</t>
        </is>
      </c>
      <c r="B230" s="15" t="inlineStr">
        <is>
          <t xml:space="preserve">Bible_Journey_Canon_Map_v0_6_Esther_Intertestamental_Bridge.xlsx</t>
        </is>
      </c>
      <c r="C230" s="15" t="inlineStr">
        <is>
          <t xml:space="preserve">Context Bridge</t>
        </is>
      </c>
      <c r="D230" s="15" t="inlineStr">
        <is>
          <t xml:space="preserve">CTX-06-005</t>
        </is>
      </c>
      <c r="E230" s="15"/>
      <c r="F230" s="15" t="inlineStr">
        <is>
          <t xml:space="preserve">The crisis under Antiochus IV forms essential background to later Second Temple Jewish history and the Maccabean revolt.</t>
        </is>
      </c>
      <c r="G230" s="15"/>
      <c r="H230" s="15" t="inlineStr">
        <is>
          <t xml:space="preserve">Probable</t>
        </is>
      </c>
      <c r="I230" s="15" t="inlineStr">
        <is>
          <t xml:space="preserve">Historical Context only; not Scripture</t>
        </is>
      </c>
      <c r="J230" s="15" t="inlineStr">
        <is>
          <t xml:space="preserve">SRC-06-05; SRC-06-07; SRC-06-19</t>
        </is>
      </c>
      <c r="K230" s="15" t="inlineStr">
        <is>
          <t xml:space="preserve">context id: CTX-06-005 | sequence: 5 | era / date: 175-164 BCE | context card title: Antiochus IV and the temple crisis | historical summary: The crisis under Antiochus IV forms essential background to later Second Temple Jewish history and the Maccabean revolt. | reader placement: After Seleucid card | canonical text status: Historical Context only; not Scripture | default visibility: Shown with clear label | user toggle: Show / Hide Historical Context | canonical connections: Daniel 7-12 (study connection only); optional deuterocanonical resources by canon profile | source keys: SRC-06-05; SRC-06-07; SRC-06-19 | confidence: Probable | editorial status: Draft | notes: Any interpretation of Daniel must distinguish textual setting, later reception, and historical claims.</t>
        </is>
      </c>
    </row>
    <row r="231" ht="34" customHeight="1">
      <c r="A231" s="15" t="inlineStr">
        <is>
          <t xml:space="preserve">v0.6</t>
        </is>
      </c>
      <c r="B231" s="15" t="inlineStr">
        <is>
          <t xml:space="preserve">Bible_Journey_Canon_Map_v0_6_Esther_Intertestamental_Bridge.xlsx</t>
        </is>
      </c>
      <c r="C231" s="15" t="inlineStr">
        <is>
          <t xml:space="preserve">Context Bridge</t>
        </is>
      </c>
      <c r="D231" s="15" t="inlineStr">
        <is>
          <t xml:space="preserve">CTX-06-006</t>
        </is>
      </c>
      <c r="E231" s="15"/>
      <c r="F231" s="15" t="inlineStr">
        <is>
          <t xml:space="preserve">The Maccabean revolt led to restoration of the temple and the origin story behind Hanukkah in later Jewish memory.</t>
        </is>
      </c>
      <c r="G231" s="15"/>
      <c r="H231" s="15" t="inlineStr">
        <is>
          <t xml:space="preserve">High</t>
        </is>
      </c>
      <c r="I231" s="15" t="inlineStr">
        <is>
          <t xml:space="preserve">Historical Context only; not Scripture</t>
        </is>
      </c>
      <c r="J231" s="15" t="inlineStr">
        <is>
          <t xml:space="preserve">SRC-06-07; SRC-06-12; SRC-06-19</t>
        </is>
      </c>
      <c r="K231" s="15" t="inlineStr">
        <is>
          <t xml:space="preserve">context id: CTX-06-006 | sequence: 6 | era / date: 167-164 BCE | context card title: Maccabean revolt and temple rededication | historical summary: The Maccabean revolt led to restoration of the temple and the origin story behind Hanukkah in later Jewish memory. | reader placement: After Antiochus crisis card | canonical text status: Historical Context only; not Scripture | default visibility: Shown with clear label | user toggle: Show / Hide Historical Context | canonical connections: Optional: 1 Maccabees 1-4 / 2 Maccabees 5-10 by canon profile | source keys: SRC-06-07; SRC-06-12; SRC-06-19 | confidence: High | editorial status: Draft | notes: Optional traditional resources must remain outside initial 66-book canonical coverage unless a canon profile explicitly includes them.</t>
        </is>
      </c>
    </row>
    <row r="232" ht="34" customHeight="1">
      <c r="A232" s="15" t="inlineStr">
        <is>
          <t xml:space="preserve">v0.6</t>
        </is>
      </c>
      <c r="B232" s="15" t="inlineStr">
        <is>
          <t xml:space="preserve">Bible_Journey_Canon_Map_v0_6_Esther_Intertestamental_Bridge.xlsx</t>
        </is>
      </c>
      <c r="C232" s="15" t="inlineStr">
        <is>
          <t xml:space="preserve">Context Bridge</t>
        </is>
      </c>
      <c r="D232" s="15" t="inlineStr">
        <is>
          <t xml:space="preserve">CTX-06-007</t>
        </is>
      </c>
      <c r="E232" s="15"/>
      <c r="F232" s="15" t="inlineStr">
        <is>
          <t xml:space="preserve">The Hasmonean priestly family established a Jewish dynasty after the revolt, shaping institutions and politics of the later Second Temple period.</t>
        </is>
      </c>
      <c r="G232" s="15"/>
      <c r="H232" s="15" t="inlineStr">
        <is>
          <t xml:space="preserve">High</t>
        </is>
      </c>
      <c r="I232" s="15" t="inlineStr">
        <is>
          <t xml:space="preserve">Historical Context only; not Scripture</t>
        </is>
      </c>
      <c r="J232" s="15" t="inlineStr">
        <is>
          <t xml:space="preserve">SRC-06-07; SRC-06-16</t>
        </is>
      </c>
      <c r="K232" s="15" t="inlineStr">
        <is>
          <t xml:space="preserve">context id: CTX-06-007 | sequence: 7 | era / date: c. 142-63 BCE | context card title: Hasmonean Judea | historical summary: The Hasmonean priestly family established a Jewish dynasty after the revolt, shaping institutions and politics of the later Second Temple period. | reader placement: After Maccabean card | canonical text status: Historical Context only; not Scripture | default visibility: Shown with clear label | user toggle: Show / Hide Historical Context | canonical connections: Second Temple context | source keys: SRC-06-07; SRC-06-16 | confidence: High | editorial status: Draft | notes: This card prepares users for later sectarian and temple-political context without calling it Scripture.</t>
        </is>
      </c>
    </row>
    <row r="233" ht="34" customHeight="1">
      <c r="A233" s="15" t="inlineStr">
        <is>
          <t xml:space="preserve">v0.6</t>
        </is>
      </c>
      <c r="B233" s="15" t="inlineStr">
        <is>
          <t xml:space="preserve">Bible_Journey_Canon_Map_v0_6_Esther_Intertestamental_Bridge.xlsx</t>
        </is>
      </c>
      <c r="C233" s="15" t="inlineStr">
        <is>
          <t xml:space="preserve">Context Bridge</t>
        </is>
      </c>
      <c r="D233" s="15" t="inlineStr">
        <is>
          <t xml:space="preserve">CTX-06-008</t>
        </is>
      </c>
      <c r="E233" s="15"/>
      <c r="F233" s="15" t="inlineStr">
        <is>
          <t xml:space="preserve">Roman involvement ended Hasmonean independence and set the political horizon for the Herodian and Gospel periods.</t>
        </is>
      </c>
      <c r="G233" s="15"/>
      <c r="H233" s="15" t="inlineStr">
        <is>
          <t xml:space="preserve">Probable</t>
        </is>
      </c>
      <c r="I233" s="15" t="inlineStr">
        <is>
          <t xml:space="preserve">Historical Context only; not Scripture</t>
        </is>
      </c>
      <c r="J233" s="15" t="inlineStr">
        <is>
          <t xml:space="preserve">SRC-06-05; SRC-06-17</t>
        </is>
      </c>
      <c r="K233" s="15" t="inlineStr">
        <is>
          <t xml:space="preserve">context id: CTX-06-008 | sequence: 8 | era / date: 63 BCE | context card title: Roman intervention in Judea | historical summary: Roman involvement ended Hasmonean independence and set the political horizon for the Herodian and Gospel periods. | reader placement: After Hasmonean card | canonical text status: Historical Context only; not Scripture | default visibility: Shown with clear label | user toggle: Show / Hide Historical Context | canonical connections: Gospel background; v0.7 handoff | source keys: SRC-06-05; SRC-06-17 | confidence: Probable | editorial status: Draft | notes: Keep the historical card concise and source-aware; fuller treatment belongs in Study Mode.</t>
        </is>
      </c>
    </row>
    <row r="234" ht="34" customHeight="1">
      <c r="A234" s="15" t="inlineStr">
        <is>
          <t xml:space="preserve">v0.6</t>
        </is>
      </c>
      <c r="B234" s="15" t="inlineStr">
        <is>
          <t xml:space="preserve">Bible_Journey_Canon_Map_v0_6_Esther_Intertestamental_Bridge.xlsx</t>
        </is>
      </c>
      <c r="C234" s="15" t="inlineStr">
        <is>
          <t xml:space="preserve">Context Bridge</t>
        </is>
      </c>
      <c r="D234" s="15" t="inlineStr">
        <is>
          <t xml:space="preserve">CTX-06-009</t>
        </is>
      </c>
      <c r="E234" s="15"/>
      <c r="F234" s="15" t="inlineStr">
        <is>
          <t xml:space="preserve">Herod ruled Judea from 37 BCE until his death in 4 BCE and expanded the Jerusalem temple complex.</t>
        </is>
      </c>
      <c r="G234" s="15"/>
      <c r="H234" s="15" t="inlineStr">
        <is>
          <t xml:space="preserve">High</t>
        </is>
      </c>
      <c r="I234" s="15" t="inlineStr">
        <is>
          <t xml:space="preserve">Historical Context only; not Scripture</t>
        </is>
      </c>
      <c r="J234" s="15" t="inlineStr">
        <is>
          <t xml:space="preserve">SRC-06-08; SRC-06-09</t>
        </is>
      </c>
      <c r="K234" s="15" t="inlineStr">
        <is>
          <t xml:space="preserve">context id: CTX-06-009 | sequence: 9 | era / date: 37-4 BCE | context card title: Herod the Great and the rebuilt Second Temple | historical summary: Herod ruled Judea from 37 BCE until his death in 4 BCE and expanded the Jerusalem temple complex. | reader placement: Before Gospel-world bridge | canonical text status: Historical Context only; not Scripture | default visibility: Shown with clear label | user toggle: Show / Hide Historical Context | canonical connections: Matthew 2; Luke 1-2 (handoff only) | source keys: SRC-06-08; SRC-06-09 | confidence: High | editorial status: Draft | notes: Do not preload Gospel text here; v0.7 begins the canonical New Testament reader.</t>
        </is>
      </c>
    </row>
    <row r="235" ht="34" customHeight="1">
      <c r="A235" s="15" t="inlineStr">
        <is>
          <t xml:space="preserve">v0.6</t>
        </is>
      </c>
      <c r="B235" s="15" t="inlineStr">
        <is>
          <t xml:space="preserve">Bible_Journey_Canon_Map_v0_6_Esther_Intertestamental_Bridge.xlsx</t>
        </is>
      </c>
      <c r="C235" s="15" t="inlineStr">
        <is>
          <t xml:space="preserve">Context Bridge</t>
        </is>
      </c>
      <c r="D235" s="15" t="inlineStr">
        <is>
          <t xml:space="preserve">CTX-06-010</t>
        </is>
      </c>
      <c r="E235" s="15"/>
      <c r="F235" s="15" t="inlineStr">
        <is>
          <t xml:space="preserve">This handoff card orients users to Roman rule, Herodian territories, the Second Temple, and Jewish life before the Gospel stream begins.</t>
        </is>
      </c>
      <c r="G235" s="15"/>
      <c r="H235" s="15" t="inlineStr">
        <is>
          <t xml:space="preserve">Probable</t>
        </is>
      </c>
      <c r="I235" s="15" t="inlineStr">
        <is>
          <t xml:space="preserve">Historical Context only; not Scripture</t>
        </is>
      </c>
      <c r="J235" s="15" t="inlineStr">
        <is>
          <t xml:space="preserve">SRC-06-05; SRC-06-08; SRC-06-09; SRC-06-16</t>
        </is>
      </c>
      <c r="K235" s="15" t="inlineStr">
        <is>
          <t xml:space="preserve">context id: CTX-06-010 | sequence: 10 | era / date: 4 BCE-6 CE | context card title: Roman Judea and the world of the Gospels | historical summary: This handoff card orients users to Roman rule, Herodian territories, the Second Temple, and Jewish life before the Gospel stream begins. | reader placement: Final bridge card before v0.7 Gospel chronology | canonical text status: Historical Context only; not Scripture | default visibility: Shown with clear label | user toggle: Show / Hide Historical Context | canonical connections: Matthew 1-2; Luke 1-2; John 1 (handoff only) | source keys: SRC-06-05; SRC-06-08; SRC-06-09; SRC-06-16 | confidence: Probable | editorial status: Draft | notes: Reader action: 'Begin the Gospel Stream'. Do not count toward Bible coverage.</t>
        </is>
      </c>
    </row>
    <row r="236" ht="34" customHeight="1">
      <c r="A236" s="15" t="inlineStr">
        <is>
          <t xml:space="preserve">v0.6</t>
        </is>
      </c>
      <c r="B236" s="15" t="inlineStr">
        <is>
          <t xml:space="preserve">Bible_Journey_Canon_Map_v0_6_Esther_Intertestamental_Bridge.xlsx</t>
        </is>
      </c>
      <c r="C236" s="15" t="inlineStr">
        <is>
          <t xml:space="preserve">Integration Rules</t>
        </is>
      </c>
      <c r="D236" s="15" t="inlineStr">
        <is>
          <t xml:space="preserve">Integration Rules-232</t>
        </is>
      </c>
      <c r="E236" s="15"/>
      <c r="F236" s="15"/>
      <c r="G236" s="15" t="inlineStr">
        <is>
          <t xml:space="preserve">Never weave historical bridge narration into biblical verses or render it with Scripture typography.</t>
        </is>
      </c>
      <c r="H236" s="15"/>
      <c r="I236" s="15"/>
      <c r="J236" s="15"/>
      <c r="K236" s="15" t="inlineStr">
        <is>
          <t xml:space="preserve">rule id: IR-06-01 | area: Text integrity | rule: Never weave historical bridge narration into biblical verses or render it with Scripture typography. | surface / system: Reader / Study | priority: Required</t>
        </is>
      </c>
    </row>
    <row r="237" ht="34" customHeight="1">
      <c r="A237" s="15" t="inlineStr">
        <is>
          <t xml:space="preserve">v0.6</t>
        </is>
      </c>
      <c r="B237" s="15" t="inlineStr">
        <is>
          <t xml:space="preserve">Bible_Journey_Canon_Map_v0_6_Esther_Intertestamental_Bridge.xlsx</t>
        </is>
      </c>
      <c r="C237" s="15" t="inlineStr">
        <is>
          <t xml:space="preserve">Integration Rules</t>
        </is>
      </c>
      <c r="D237" s="15" t="inlineStr">
        <is>
          <t xml:space="preserve">Integration Rules-233</t>
        </is>
      </c>
      <c r="E237" s="15"/>
      <c r="F237" s="15"/>
      <c r="G237" s="15" t="inlineStr">
        <is>
          <t xml:space="preserve">Only canonical biblical passages count toward Bible Stream coverage and chapter completion.</t>
        </is>
      </c>
      <c r="H237" s="15"/>
      <c r="I237" s="15"/>
      <c r="J237" s="15"/>
      <c r="K237" s="15" t="inlineStr">
        <is>
          <t xml:space="preserve">rule id: IR-06-02 | area: Canonical coverage | rule: Only canonical biblical passages count toward Bible Stream coverage and chapter completion. | surface / system: Progress engine | priority: Required</t>
        </is>
      </c>
    </row>
    <row r="238" ht="34" customHeight="1">
      <c r="A238" s="15" t="inlineStr">
        <is>
          <t xml:space="preserve">v0.6</t>
        </is>
      </c>
      <c r="B238" s="15" t="inlineStr">
        <is>
          <t xml:space="preserve">Bible_Journey_Canon_Map_v0_6_Esther_Intertestamental_Bridge.xlsx</t>
        </is>
      </c>
      <c r="C238" s="15" t="inlineStr">
        <is>
          <t xml:space="preserve">Integration Rules</t>
        </is>
      </c>
      <c r="D238" s="15" t="inlineStr">
        <is>
          <t xml:space="preserve">Integration Rules-234</t>
        </is>
      </c>
      <c r="E238" s="15"/>
      <c r="F238" s="15"/>
      <c r="G238" s="15" t="inlineStr">
        <is>
          <t xml:space="preserve">Historical Context cards use a visibly separate label, style, and source drawer.</t>
        </is>
      </c>
      <c r="H238" s="15"/>
      <c r="I238" s="15"/>
      <c r="J238" s="15"/>
      <c r="K238" s="15" t="inlineStr">
        <is>
          <t xml:space="preserve">rule id: IR-06-03 | area: Context cards | rule: Historical Context cards use a visibly separate label, style, and source drawer. | surface / system: Reader / Journey | priority: Required</t>
        </is>
      </c>
    </row>
    <row r="239" ht="34" customHeight="1">
      <c r="A239" s="15" t="inlineStr">
        <is>
          <t xml:space="preserve">v0.6</t>
        </is>
      </c>
      <c r="B239" s="15" t="inlineStr">
        <is>
          <t xml:space="preserve">Bible_Journey_Canon_Map_v0_6_Esther_Intertestamental_Bridge.xlsx</t>
        </is>
      </c>
      <c r="C239" s="15" t="inlineStr">
        <is>
          <t xml:space="preserve">Integration Rules</t>
        </is>
      </c>
      <c r="D239" s="15" t="inlineStr">
        <is>
          <t xml:space="preserve">Integration Rules-235</t>
        </is>
      </c>
      <c r="E239" s="15"/>
      <c r="F239" s="15"/>
      <c r="G239" s="15" t="inlineStr">
        <is>
          <t xml:space="preserve">Store narrative setting, historical reconstruction, and composition discussion in separate metadata fields.</t>
        </is>
      </c>
      <c r="H239" s="15"/>
      <c r="I239" s="15"/>
      <c r="J239" s="15"/>
      <c r="K239" s="15" t="inlineStr">
        <is>
          <t xml:space="preserve">rule id: IR-06-04 | area: Esther chronology | rule: Store narrative setting, historical reconstruction, and composition discussion in separate metadata fields. | surface / system: Reader / Study / Ezra | priority: Required</t>
        </is>
      </c>
    </row>
    <row r="240" ht="34" customHeight="1">
      <c r="A240" s="15" t="inlineStr">
        <is>
          <t xml:space="preserve">v0.6</t>
        </is>
      </c>
      <c r="B240" s="15" t="inlineStr">
        <is>
          <t xml:space="preserve">Bible_Journey_Canon_Map_v0_6_Esther_Intertestamental_Bridge.xlsx</t>
        </is>
      </c>
      <c r="C240" s="15" t="inlineStr">
        <is>
          <t xml:space="preserve">Integration Rules</t>
        </is>
      </c>
      <c r="D240" s="15" t="inlineStr">
        <is>
          <t xml:space="preserve">Integration Rules-236</t>
        </is>
      </c>
      <c r="E240" s="15"/>
      <c r="F240" s="15"/>
      <c r="G240" s="15" t="inlineStr">
        <is>
          <t xml:space="preserve">Users may hide historical bridge cards, but Journey and Timeline retain the historical bridge as an explorable layer.</t>
        </is>
      </c>
      <c r="H240" s="15"/>
      <c r="I240" s="15"/>
      <c r="J240" s="15"/>
      <c r="K240" s="15" t="inlineStr">
        <is>
          <t xml:space="preserve">rule id: IR-06-05 | area: Context toggle | rule: Users may hide historical bridge cards, but Journey and Timeline retain the historical bridge as an explorable layer. | surface / system: Preferences / Journey | priority: Required</t>
        </is>
      </c>
    </row>
    <row r="241" ht="34" customHeight="1">
      <c r="A241" s="15" t="inlineStr">
        <is>
          <t xml:space="preserve">v0.6</t>
        </is>
      </c>
      <c r="B241" s="15" t="inlineStr">
        <is>
          <t xml:space="preserve">Bible_Journey_Canon_Map_v0_6_Esther_Intertestamental_Bridge.xlsx</t>
        </is>
      </c>
      <c r="C241" s="15" t="inlineStr">
        <is>
          <t xml:space="preserve">Integration Rules</t>
        </is>
      </c>
      <c r="D241" s="15" t="inlineStr">
        <is>
          <t xml:space="preserve">Integration Rules-237</t>
        </is>
      </c>
      <c r="E241" s="15"/>
      <c r="F241" s="15"/>
      <c r="G241" s="15" t="inlineStr">
        <is>
          <t xml:space="preserve">Apocryphal/deuterocanonical materials must be enabled only through an explicit canon profile or optional resource setting.</t>
        </is>
      </c>
      <c r="H241" s="15"/>
      <c r="I241" s="15"/>
      <c r="J241" s="15"/>
      <c r="K241" s="15" t="inlineStr">
        <is>
          <t xml:space="preserve">rule id: IR-06-06 | area: Canon profiles | rule: Apocryphal/deuterocanonical materials must be enabled only through an explicit canon profile or optional resource setting. | surface / system: Library / Legal | priority: Required</t>
        </is>
      </c>
    </row>
    <row r="242" ht="34" customHeight="1">
      <c r="A242" s="15" t="inlineStr">
        <is>
          <t xml:space="preserve">v0.6</t>
        </is>
      </c>
      <c r="B242" s="15" t="inlineStr">
        <is>
          <t xml:space="preserve">Bible_Journey_Canon_Map_v0_6_Esther_Intertestamental_Bridge.xlsx</t>
        </is>
      </c>
      <c r="C242" s="15" t="inlineStr">
        <is>
          <t xml:space="preserve">Integration Rules</t>
        </is>
      </c>
      <c r="D242" s="15" t="inlineStr">
        <is>
          <t xml:space="preserve">Integration Rules-238</t>
        </is>
      </c>
      <c r="E242" s="15"/>
      <c r="F242" s="15"/>
      <c r="G242" s="15" t="inlineStr">
        <is>
          <t xml:space="preserve">1-2 Maccabees may inform historical cards but cannot be presented as initial-core Scripture without the selected canon profile and rights review.</t>
        </is>
      </c>
      <c r="H242" s="15"/>
      <c r="I242" s="15"/>
      <c r="J242" s="15"/>
      <c r="K242" s="15" t="inlineStr">
        <is>
          <t xml:space="preserve">rule id: IR-06-07 | area: Maccabean context | rule: 1-2 Maccabees may inform historical cards but cannot be presented as initial-core Scripture without the selected canon profile and rights review. | surface / system: Reader / Context Library | priority: Required</t>
        </is>
      </c>
    </row>
    <row r="243" ht="34" customHeight="1">
      <c r="A243" s="15" t="inlineStr">
        <is>
          <t xml:space="preserve">v0.6</t>
        </is>
      </c>
      <c r="B243" s="15" t="inlineStr">
        <is>
          <t xml:space="preserve">Bible_Journey_Canon_Map_v0_6_Esther_Intertestamental_Bridge.xlsx</t>
        </is>
      </c>
      <c r="C243" s="15" t="inlineStr">
        <is>
          <t xml:space="preserve">Integration Rules</t>
        </is>
      </c>
      <c r="D243" s="15" t="inlineStr">
        <is>
          <t xml:space="preserve">Integration Rules-239</t>
        </is>
      </c>
      <c r="E243" s="15"/>
      <c r="F243" s="15"/>
      <c r="G243" s="15" t="inlineStr">
        <is>
          <t xml:space="preserve">Ezra may explain interpretive traditions around Daniel only with source-aware labeling; it may not state a single mapping as settled fact.</t>
        </is>
      </c>
      <c r="H243" s="15"/>
      <c r="I243" s="15"/>
      <c r="J243" s="15"/>
      <c r="K243" s="15" t="inlineStr">
        <is>
          <t xml:space="preserve">rule id: IR-06-08 | area: Daniel link guardrail | rule: Ezra may explain interpretive traditions around Daniel only with source-aware labeling; it may not state a single mapping as settled fact. | surface / system: Ezra | priority: Required</t>
        </is>
      </c>
    </row>
    <row r="244" ht="34" customHeight="1">
      <c r="A244" s="15" t="inlineStr">
        <is>
          <t xml:space="preserve">v0.6</t>
        </is>
      </c>
      <c r="B244" s="15" t="inlineStr">
        <is>
          <t xml:space="preserve">Bible_Journey_Canon_Map_v0_6_Esther_Intertestamental_Bridge.xlsx</t>
        </is>
      </c>
      <c r="C244" s="15" t="inlineStr">
        <is>
          <t xml:space="preserve">Integration Rules</t>
        </is>
      </c>
      <c r="D244" s="15" t="inlineStr">
        <is>
          <t xml:space="preserve">Integration Rules-240</t>
        </is>
      </c>
      <c r="E244" s="15"/>
      <c r="F244" s="15"/>
      <c r="G244" s="15" t="inlineStr">
        <is>
          <t xml:space="preserve">Historical bridge cards do not reduce or inflate canonical Bible completion percentage.</t>
        </is>
      </c>
      <c r="H244" s="15"/>
      <c r="I244" s="15"/>
      <c r="J244" s="15"/>
      <c r="K244" s="15" t="inlineStr">
        <is>
          <t xml:space="preserve">rule id: IR-06-09 | area: Intertestamental progress | rule: Historical bridge cards do not reduce or inflate canonical Bible completion percentage. | surface / system: Progress engine | priority: Required</t>
        </is>
      </c>
    </row>
    <row r="245" ht="34" customHeight="1">
      <c r="A245" s="15" t="inlineStr">
        <is>
          <t xml:space="preserve">v0.6</t>
        </is>
      </c>
      <c r="B245" s="15" t="inlineStr">
        <is>
          <t xml:space="preserve">Bible_Journey_Canon_Map_v0_6_Esther_Intertestamental_Bridge.xlsx</t>
        </is>
      </c>
      <c r="C245" s="15" t="inlineStr">
        <is>
          <t xml:space="preserve">Integration Rules</t>
        </is>
      </c>
      <c r="D245" s="15" t="inlineStr">
        <is>
          <t xml:space="preserve">Integration Rules-241</t>
        </is>
      </c>
      <c r="E245" s="15"/>
      <c r="F245" s="15"/>
      <c r="G245" s="15" t="inlineStr">
        <is>
          <t xml:space="preserve">The final bridge card must link to v0.7 without preloading Gospel text or conflating historical background with Scripture.</t>
        </is>
      </c>
      <c r="H245" s="15"/>
      <c r="I245" s="15"/>
      <c r="J245" s="15"/>
      <c r="K245" s="15" t="inlineStr">
        <is>
          <t xml:space="preserve">rule id: IR-06-10 | area: Gospel handoff | rule: The final bridge card must link to v0.7 without preloading Gospel text or conflating historical background with Scripture. | surface / system: Reader / Navigation | priority: Required</t>
        </is>
      </c>
    </row>
    <row r="246" ht="34" customHeight="1">
      <c r="A246" s="15" t="inlineStr">
        <is>
          <t xml:space="preserve">v0.7</t>
        </is>
      </c>
      <c r="B246" s="15" t="inlineStr">
        <is>
          <t xml:space="preserve">Bible_Journey_Canon_Map_v0_7_Gospel_Chronology.xlsx</t>
        </is>
      </c>
      <c r="C246" s="15" t="inlineStr">
        <is>
          <t xml:space="preserve">Cross-Map Links</t>
        </is>
      </c>
      <c r="D246" s="15" t="inlineStr">
        <is>
          <t xml:space="preserve">XMAP-07-01</t>
        </is>
      </c>
      <c r="E246" s="15" t="inlineStr">
        <is>
          <t xml:space="preserve">v0.6 Esther / Intertestamental Bridge</t>
        </is>
      </c>
      <c r="F246" s="15" t="inlineStr">
        <is>
          <t xml:space="preserve">v0.7 Gospel Chronology</t>
        </is>
      </c>
      <c r="G246" s="15" t="inlineStr">
        <is>
          <t xml:space="preserve">Historical bridge -&gt; canonical Gospel stream</t>
        </is>
      </c>
      <c r="H246" s="15"/>
      <c r="I246" s="13" t="inlineStr">
        <is>
          <t xml:space="preserve">Draft</t>
        </is>
      </c>
      <c r="J246" s="15" t="inlineStr">
        <is>
          <t xml:space="preserve">SRC-06-05; SRC-06-08; SRC-07-03</t>
        </is>
      </c>
      <c r="K246" s="15" t="inlineStr">
        <is>
          <t xml:space="preserve">link id: XMAP-07-01 | from map: v0.6 Esther / Intertestamental Bridge | from crs / context: CTX-06-010 Gospel World Handoff | to map: v0.7 Gospel Chronology | to crs / context: CRS-07-001 Luke's Prologue | relationship: Historical bridge -&gt; canonical Gospel stream | implementation note: Show context card before first Gospel reading; do not count it as Bible text. | status: Draft | source keys: SRC-06-05; SRC-06-08; SRC-07-03</t>
        </is>
      </c>
    </row>
    <row r="247" ht="34" customHeight="1">
      <c r="A247" s="15" t="inlineStr">
        <is>
          <t xml:space="preserve">v0.7</t>
        </is>
      </c>
      <c r="B247" s="15" t="inlineStr">
        <is>
          <t xml:space="preserve">Bible_Journey_Canon_Map_v0_7_Gospel_Chronology.xlsx</t>
        </is>
      </c>
      <c r="C247" s="15" t="inlineStr">
        <is>
          <t xml:space="preserve">Cross-Map Links</t>
        </is>
      </c>
      <c r="D247" s="15" t="inlineStr">
        <is>
          <t xml:space="preserve">XMAP-07-02</t>
        </is>
      </c>
      <c r="E247" s="15" t="inlineStr">
        <is>
          <t xml:space="preserve">v0.7 Gospel Chronology</t>
        </is>
      </c>
      <c r="F247" s="15" t="inlineStr">
        <is>
          <t xml:space="preserve">v0.8 Acts &amp; Letters</t>
        </is>
      </c>
      <c r="G247" s="15" t="inlineStr">
        <is>
          <t xml:space="preserve">Canonical narrative handoff</t>
        </is>
      </c>
      <c r="H247" s="15"/>
      <c r="I247" s="15" t="inlineStr">
        <is>
          <t xml:space="preserve">Planned</t>
        </is>
      </c>
      <c r="J247" s="15" t="inlineStr">
        <is>
          <t xml:space="preserve">SRC-07-03</t>
        </is>
      </c>
      <c r="K247" s="15" t="inlineStr">
        <is>
          <t xml:space="preserve">link id: XMAP-07-02 | from map: v0.7 Gospel Chronology | from crs / context: CRS-07-090 John's Epilogue | to map: v0.8 Acts &amp; Letters | to crs / context: Acts 1 opening set (future) | relationship: Canonical narrative handoff | implementation note: User finishes the Gospel Stream then continues in Acts; track independent book/stream progress. | status: Planned | source keys: SRC-07-03</t>
        </is>
      </c>
    </row>
    <row r="248" ht="34" customHeight="1">
      <c r="A248" s="15" t="inlineStr">
        <is>
          <t xml:space="preserve">v0.7</t>
        </is>
      </c>
      <c r="B248" s="15" t="inlineStr">
        <is>
          <t xml:space="preserve">Bible_Journey_Canon_Map_v0_7_Gospel_Chronology.xlsx</t>
        </is>
      </c>
      <c r="C248" s="15" t="inlineStr">
        <is>
          <t xml:space="preserve">Cross-Map Links</t>
        </is>
      </c>
      <c r="D248" s="15" t="inlineStr">
        <is>
          <t xml:space="preserve">XMAP-07-03</t>
        </is>
      </c>
      <c r="E248" s="15" t="inlineStr">
        <is>
          <t xml:space="preserve">v0.7 Gospel Chronology</t>
        </is>
      </c>
      <c r="F248" s="15" t="inlineStr">
        <is>
          <t xml:space="preserve">Journeys Layer</t>
        </is>
      </c>
      <c r="G248" s="15" t="inlineStr">
        <is>
          <t xml:space="preserve">Layered reuse</t>
        </is>
      </c>
      <c r="H248" s="15"/>
      <c r="I248" s="15" t="inlineStr">
        <is>
          <t xml:space="preserve">Required</t>
        </is>
      </c>
      <c r="J248" s="15" t="inlineStr">
        <is>
          <t xml:space="preserve">SRC-07-01</t>
        </is>
      </c>
      <c r="K248" s="15" t="inlineStr">
        <is>
          <t xml:space="preserve">link id: XMAP-07-03 | from map: v0.7 Gospel Chronology | from crs / context: All Life of Jesus CRS Sets | to map: Journeys Layer | to crs / context: Journey: The Life of Jesus | relationship: Layered reuse | implementation note: Journey chapters reference CRS IDs; no duplicated passage objects. | status: Required | source keys: SRC-07-01</t>
        </is>
      </c>
    </row>
    <row r="249" ht="34" customHeight="1">
      <c r="A249" s="15" t="inlineStr">
        <is>
          <t xml:space="preserve">v0.7</t>
        </is>
      </c>
      <c r="B249" s="15" t="inlineStr">
        <is>
          <t xml:space="preserve">Bible_Journey_Canon_Map_v0_7_Gospel_Chronology.xlsx</t>
        </is>
      </c>
      <c r="C249" s="15" t="inlineStr">
        <is>
          <t xml:space="preserve">Parallel Groups</t>
        </is>
      </c>
      <c r="D249" s="15" t="inlineStr">
        <is>
          <t xml:space="preserve">CMP-07-001</t>
        </is>
      </c>
      <c r="E249" s="15"/>
      <c r="F249" s="15" t="inlineStr">
        <is>
          <t xml:space="preserve">John's witness has distinctive structure and wording. Compare by scene, not synthetic merged text.</t>
        </is>
      </c>
      <c r="G249" s="15"/>
      <c r="H249" s="15" t="inlineStr">
        <is>
          <t xml:space="preserve">Probable</t>
        </is>
      </c>
      <c r="I249" s="15"/>
      <c r="J249" s="15" t="inlineStr">
        <is>
          <t xml:space="preserve">SRC-07-01; SRC-07-02</t>
        </is>
      </c>
      <c r="K249" s="15" t="inlineStr">
        <is>
          <t xml:space="preserve">compare group id: CMP-07-001 | event / tradition: John the Baptist and baptismal witness | match type: Related accounts | member blocks: BLK-07-009 | narrative flow default: Multiple accounts; no single default | comparison confidence: Probable | reader behaviour: Keep each account intact. Compare by account and aligned scene; never weave verses into synthetic prose. | editorial notes: John's witness has distinctive structure and wording. Compare by scene, not synthetic merged text. | source keys: SRC-07-01; SRC-07-02</t>
        </is>
      </c>
    </row>
    <row r="250" ht="34" customHeight="1">
      <c r="A250" s="15" t="inlineStr">
        <is>
          <t xml:space="preserve">v0.7</t>
        </is>
      </c>
      <c r="B250" s="15" t="inlineStr">
        <is>
          <t xml:space="preserve">Bible_Journey_Canon_Map_v0_7_Gospel_Chronology.xlsx</t>
        </is>
      </c>
      <c r="C250" s="15" t="inlineStr">
        <is>
          <t xml:space="preserve">Parallel Groups</t>
        </is>
      </c>
      <c r="D250" s="15" t="inlineStr">
        <is>
          <t xml:space="preserve">CMP-07-002</t>
        </is>
      </c>
      <c r="E250" s="15"/>
      <c r="F250" s="15" t="inlineStr">
        <is>
          <t xml:space="preserve">Mark, Matthew, and Luke are presented as parallel accounts; Luke's genealogy remains separate.</t>
        </is>
      </c>
      <c r="G250" s="15"/>
      <c r="H250" s="15" t="inlineStr">
        <is>
          <t xml:space="preserve">High confidence</t>
        </is>
      </c>
      <c r="I250" s="15"/>
      <c r="J250" s="15" t="inlineStr">
        <is>
          <t xml:space="preserve">SRC-07-01; SRC-07-02</t>
        </is>
      </c>
      <c r="K250" s="15" t="inlineStr">
        <is>
          <t xml:space="preserve">compare group id: CMP-07-002 | event / tradition: John the Baptist and Jesus's baptism | match type: Direct Synoptic parallel | member blocks: BLK-07-010; BLK-07-011; BLK-07-012 | narrative flow default: BLK-07-010 | comparison confidence: High confidence | reader behaviour: Keep each account intact. Compare by account and aligned scene; never weave verses into synthetic prose. | editorial notes: Mark, Matthew, and Luke are presented as parallel accounts; Luke's genealogy remains separate. | source keys: SRC-07-01; SRC-07-02</t>
        </is>
      </c>
    </row>
    <row r="251" ht="34" customHeight="1">
      <c r="A251" s="15" t="inlineStr">
        <is>
          <t xml:space="preserve">v0.7</t>
        </is>
      </c>
      <c r="B251" s="15" t="inlineStr">
        <is>
          <t xml:space="preserve">Bible_Journey_Canon_Map_v0_7_Gospel_Chronology.xlsx</t>
        </is>
      </c>
      <c r="C251" s="15" t="inlineStr">
        <is>
          <t xml:space="preserve">Parallel Groups</t>
        </is>
      </c>
      <c r="D251" s="15" t="inlineStr">
        <is>
          <t xml:space="preserve">CMP-07-003</t>
        </is>
      </c>
      <c r="E251" s="15"/>
      <c r="F251" s="15" t="inlineStr">
        <is>
          <t xml:space="preserve">Preserve different temptation order and wording in each account.</t>
        </is>
      </c>
      <c r="G251" s="15"/>
      <c r="H251" s="15" t="inlineStr">
        <is>
          <t xml:space="preserve">High confidence</t>
        </is>
      </c>
      <c r="I251" s="15"/>
      <c r="J251" s="15" t="inlineStr">
        <is>
          <t xml:space="preserve">SRC-07-01; SRC-07-02</t>
        </is>
      </c>
      <c r="K251" s="15" t="inlineStr">
        <is>
          <t xml:space="preserve">compare group id: CMP-07-003 | event / tradition: Temptation in the wilderness | match type: Direct Synoptic parallel | member blocks: BLK-07-014; BLK-07-015; BLK-07-016 | narrative flow default: BLK-07-014 | comparison confidence: High confidence | reader behaviour: Keep each account intact. Compare by account and aligned scene; never weave verses into synthetic prose. | editorial notes: Preserve different temptation order and wording in each account. | source keys: SRC-07-01; SRC-07-02</t>
        </is>
      </c>
    </row>
    <row r="252" ht="34" customHeight="1">
      <c r="A252" s="15" t="inlineStr">
        <is>
          <t xml:space="preserve">v0.7</t>
        </is>
      </c>
      <c r="B252" s="15" t="inlineStr">
        <is>
          <t xml:space="preserve">Bible_Journey_Canon_Map_v0_7_Gospel_Chronology.xlsx</t>
        </is>
      </c>
      <c r="C252" s="15" t="inlineStr">
        <is>
          <t xml:space="preserve">Parallel Groups</t>
        </is>
      </c>
      <c r="D252" s="15" t="inlineStr">
        <is>
          <t xml:space="preserve">CMP-07-004</t>
        </is>
      </c>
      <c r="E252" s="15"/>
      <c r="F252" s="15" t="inlineStr">
        <is>
          <t xml:space="preserve">John's placement differs from Synoptic placement. Present relationship options, sources, and a non-dogmatic note.</t>
        </is>
      </c>
      <c r="G252" s="15"/>
      <c r="H252" s="15" t="inlineStr">
        <is>
          <t xml:space="preserve">Debated</t>
        </is>
      </c>
      <c r="I252" s="15"/>
      <c r="J252" s="15" t="inlineStr">
        <is>
          <t xml:space="preserve">SRC-07-01; SRC-07-10</t>
        </is>
      </c>
      <c r="K252" s="15" t="inlineStr">
        <is>
          <t xml:space="preserve">compare group id: CMP-07-004 | event / tradition: Temple cleansing traditions | match type: Related event / placement debate | member blocks: BLK-07-019 | narrative flow default: No default merger | comparison confidence: Debated | reader behaviour: Keep each account intact. Compare by account and aligned scene; never weave verses into synthetic prose. | editorial notes: John's placement differs from Synoptic placement. Present relationship options, sources, and a non-dogmatic note. | source keys: SRC-07-01; SRC-07-10</t>
        </is>
      </c>
    </row>
    <row r="253" ht="34" customHeight="1">
      <c r="A253" s="15" t="inlineStr">
        <is>
          <t xml:space="preserve">v0.7</t>
        </is>
      </c>
      <c r="B253" s="15" t="inlineStr">
        <is>
          <t xml:space="preserve">Bible_Journey_Canon_Map_v0_7_Gospel_Chronology.xlsx</t>
        </is>
      </c>
      <c r="C253" s="15" t="inlineStr">
        <is>
          <t xml:space="preserve">Parallel Groups</t>
        </is>
      </c>
      <c r="D253" s="15" t="inlineStr">
        <is>
          <t xml:space="preserve">CMP-07-005</t>
        </is>
      </c>
      <c r="E253" s="15"/>
      <c r="F253" s="15" t="inlineStr">
        <is>
          <t xml:space="preserve">John 4:43-54 is linked by era, not declared a direct parallel.</t>
        </is>
      </c>
      <c r="G253" s="15"/>
      <c r="H253" s="15" t="inlineStr">
        <is>
          <t xml:space="preserve">High confidence</t>
        </is>
      </c>
      <c r="I253" s="15"/>
      <c r="J253" s="15" t="inlineStr">
        <is>
          <t xml:space="preserve">SRC-07-01; SRC-07-02; SRC-07-10</t>
        </is>
      </c>
      <c r="K253" s="15" t="inlineStr">
        <is>
          <t xml:space="preserve">compare group id: CMP-07-005 | event / tradition: Beginning of Galilean proclamation | match type: Direct Synoptic parallel | member blocks: BLK-07-023; BLK-07-024 | narrative flow default: BLK-07-023 | comparison confidence: High confidence | reader behaviour: Keep each account intact. Compare by account and aligned scene; never weave verses into synthetic prose. | editorial notes: John 4:43-54 is linked by era, not declared a direct parallel. | source keys: SRC-07-01; SRC-07-02; SRC-07-10</t>
        </is>
      </c>
    </row>
    <row r="254" ht="34" customHeight="1">
      <c r="A254" s="15" t="inlineStr">
        <is>
          <t xml:space="preserve">v0.7</t>
        </is>
      </c>
      <c r="B254" s="15" t="inlineStr">
        <is>
          <t xml:space="preserve">Bible_Journey_Canon_Map_v0_7_Gospel_Chronology.xlsx</t>
        </is>
      </c>
      <c r="C254" s="15" t="inlineStr">
        <is>
          <t xml:space="preserve">Parallel Groups</t>
        </is>
      </c>
      <c r="D254" s="15" t="inlineStr">
        <is>
          <t xml:space="preserve">CMP-07-006</t>
        </is>
      </c>
      <c r="E254" s="15"/>
      <c r="F254" s="15" t="inlineStr">
        <is>
          <t xml:space="preserve">Luke includes a fishing scene; comparison surfaces similarity and distinct framing.</t>
        </is>
      </c>
      <c r="G254" s="15"/>
      <c r="H254" s="15" t="inlineStr">
        <is>
          <t xml:space="preserve">Probable</t>
        </is>
      </c>
      <c r="I254" s="15"/>
      <c r="J254" s="15" t="inlineStr">
        <is>
          <t xml:space="preserve">SRC-07-01; SRC-07-02</t>
        </is>
      </c>
      <c r="K254" s="15" t="inlineStr">
        <is>
          <t xml:space="preserve">compare group id: CMP-07-006 | event / tradition: Call of Galilean disciples | match type: Direct/related Synoptic accounts | member blocks: BLK-07-027; BLK-07-028; BLK-07-029 | narrative flow default: BLK-07-027 | comparison confidence: Probable | reader behaviour: Keep each account intact. Compare by account and aligned scene; never weave verses into synthetic prose. | editorial notes: Luke includes a fishing scene; comparison surfaces similarity and distinct framing. | source keys: SRC-07-01; SRC-07-02</t>
        </is>
      </c>
    </row>
    <row r="255" ht="34" customHeight="1">
      <c r="A255" s="15" t="inlineStr">
        <is>
          <t xml:space="preserve">v0.7</t>
        </is>
      </c>
      <c r="B255" s="15" t="inlineStr">
        <is>
          <t xml:space="preserve">Bible_Journey_Canon_Map_v0_7_Gospel_Chronology.xlsx</t>
        </is>
      </c>
      <c r="C255" s="15" t="inlineStr">
        <is>
          <t xml:space="preserve">Parallel Groups</t>
        </is>
      </c>
      <c r="D255" s="15" t="inlineStr">
        <is>
          <t xml:space="preserve">CMP-07-007</t>
        </is>
      </c>
      <c r="E255" s="15"/>
      <c r="F255" s="15" t="inlineStr">
        <is>
          <t xml:space="preserve">Accounts are closely parallel; retain each text intact.</t>
        </is>
      </c>
      <c r="G255" s="15"/>
      <c r="H255" s="15" t="inlineStr">
        <is>
          <t xml:space="preserve">High confidence</t>
        </is>
      </c>
      <c r="I255" s="15"/>
      <c r="J255" s="15" t="inlineStr">
        <is>
          <t xml:space="preserve">SRC-07-01; SRC-07-02</t>
        </is>
      </c>
      <c r="K255" s="15" t="inlineStr">
        <is>
          <t xml:space="preserve">compare group id: CMP-07-007 | event / tradition: Capernaum exorcism | match type: Direct Synoptic parallel | member blocks: BLK-07-030; BLK-07-031 | narrative flow default: BLK-07-030 | comparison confidence: High confidence | reader behaviour: Keep each account intact. Compare by account and aligned scene; never weave verses into synthetic prose. | editorial notes: Accounts are closely parallel; retain each text intact. | source keys: SRC-07-01; SRC-07-02</t>
        </is>
      </c>
    </row>
    <row r="256" ht="34" customHeight="1">
      <c r="A256" s="15" t="inlineStr">
        <is>
          <t xml:space="preserve">v0.7</t>
        </is>
      </c>
      <c r="B256" s="15" t="inlineStr">
        <is>
          <t xml:space="preserve">Bible_Journey_Canon_Map_v0_7_Gospel_Chronology.xlsx</t>
        </is>
      </c>
      <c r="C256" s="15" t="inlineStr">
        <is>
          <t xml:space="preserve">Parallel Groups</t>
        </is>
      </c>
      <c r="D256" s="15" t="inlineStr">
        <is>
          <t xml:space="preserve">CMP-07-008</t>
        </is>
      </c>
      <c r="E256" s="15"/>
      <c r="F256" s="15" t="inlineStr">
        <is>
          <t xml:space="preserve">Matthew's citation framing is preserved in its own account.</t>
        </is>
      </c>
      <c r="G256" s="15"/>
      <c r="H256" s="15" t="inlineStr">
        <is>
          <t xml:space="preserve">High confidence</t>
        </is>
      </c>
      <c r="I256" s="15"/>
      <c r="J256" s="15" t="inlineStr">
        <is>
          <t xml:space="preserve">SRC-07-01; SRC-07-02</t>
        </is>
      </c>
      <c r="K256" s="15" t="inlineStr">
        <is>
          <t xml:space="preserve">compare group id: CMP-07-008 | event / tradition: Healings in Simon's house | match type: Direct Synoptic parallel | member blocks: BLK-07-032; BLK-07-033; BLK-07-034 | narrative flow default: BLK-07-032 | comparison confidence: High confidence | reader behaviour: Keep each account intact. Compare by account and aligned scene; never weave verses into synthetic prose. | editorial notes: Matthew's citation framing is preserved in its own account. | source keys: SRC-07-01; SRC-07-02</t>
        </is>
      </c>
    </row>
    <row r="257" ht="34" customHeight="1">
      <c r="A257" s="15" t="inlineStr">
        <is>
          <t xml:space="preserve">v0.7</t>
        </is>
      </c>
      <c r="B257" s="15" t="inlineStr">
        <is>
          <t xml:space="preserve">Bible_Journey_Canon_Map_v0_7_Gospel_Chronology.xlsx</t>
        </is>
      </c>
      <c r="C257" s="15" t="inlineStr">
        <is>
          <t xml:space="preserve">Parallel Groups</t>
        </is>
      </c>
      <c r="D257" s="15" t="inlineStr">
        <is>
          <t xml:space="preserve">CMP-07-009</t>
        </is>
      </c>
      <c r="E257" s="15"/>
      <c r="F257" s="15" t="inlineStr">
        <is>
          <t xml:space="preserve">Read account boundaries separately; surrounding transitions are not identical.</t>
        </is>
      </c>
      <c r="G257" s="15"/>
      <c r="H257" s="15" t="inlineStr">
        <is>
          <t xml:space="preserve">High confidence</t>
        </is>
      </c>
      <c r="I257" s="15"/>
      <c r="J257" s="15" t="inlineStr">
        <is>
          <t xml:space="preserve">SRC-07-01; SRC-07-02</t>
        </is>
      </c>
      <c r="K257" s="15" t="inlineStr">
        <is>
          <t xml:space="preserve">compare group id: CMP-07-009 | event / tradition: Cleansing of a man with leprosy | match type: Direct Synoptic parallel | member blocks: BLK-07-035; BLK-07-036; BLK-07-037 | narrative flow default: BLK-07-035 | comparison confidence: High confidence | reader behaviour: Keep each account intact. Compare by account and aligned scene; never weave verses into synthetic prose. | editorial notes: Read account boundaries separately; surrounding transitions are not identical. | source keys: SRC-07-01; SRC-07-02</t>
        </is>
      </c>
    </row>
    <row r="258" ht="34" customHeight="1">
      <c r="A258" s="15" t="inlineStr">
        <is>
          <t xml:space="preserve">v0.7</t>
        </is>
      </c>
      <c r="B258" s="15" t="inlineStr">
        <is>
          <t xml:space="preserve">Bible_Journey_Canon_Map_v0_7_Gospel_Chronology.xlsx</t>
        </is>
      </c>
      <c r="C258" s="15" t="inlineStr">
        <is>
          <t xml:space="preserve">Parallel Groups</t>
        </is>
      </c>
      <c r="D258" s="15" t="inlineStr">
        <is>
          <t xml:space="preserve">CMP-07-010</t>
        </is>
      </c>
      <c r="E258" s="15"/>
      <c r="F258" s="15" t="inlineStr">
        <is>
          <t xml:space="preserve">Compare forgiveness language and crowd response without merging verses.</t>
        </is>
      </c>
      <c r="G258" s="15"/>
      <c r="H258" s="15" t="inlineStr">
        <is>
          <t xml:space="preserve">High confidence</t>
        </is>
      </c>
      <c r="I258" s="15"/>
      <c r="J258" s="15" t="inlineStr">
        <is>
          <t xml:space="preserve">SRC-07-01; SRC-07-02</t>
        </is>
      </c>
      <c r="K258" s="15" t="inlineStr">
        <is>
          <t xml:space="preserve">compare group id: CMP-07-010 | event / tradition: Healing of the paralytic | match type: Direct Synoptic parallel | member blocks: BLK-07-039; BLK-07-040; BLK-07-041 | narrative flow default: BLK-07-039 | comparison confidence: High confidence | reader behaviour: Keep each account intact. Compare by account and aligned scene; never weave verses into synthetic prose. | editorial notes: Compare forgiveness language and crowd response without merging verses. | source keys: SRC-07-01; SRC-07-02</t>
        </is>
      </c>
    </row>
    <row r="259" ht="34" customHeight="1">
      <c r="A259" s="15" t="inlineStr">
        <is>
          <t xml:space="preserve">v0.7</t>
        </is>
      </c>
      <c r="B259" s="15" t="inlineStr">
        <is>
          <t xml:space="preserve">Bible_Journey_Canon_Map_v0_7_Gospel_Chronology.xlsx</t>
        </is>
      </c>
      <c r="C259" s="15" t="inlineStr">
        <is>
          <t xml:space="preserve">Parallel Groups</t>
        </is>
      </c>
      <c r="D259" s="15" t="inlineStr">
        <is>
          <t xml:space="preserve">CMP-07-011</t>
        </is>
      </c>
      <c r="E259" s="15"/>
      <c r="F259" s="15" t="inlineStr">
        <is>
          <t xml:space="preserve">Naming and presentation differences should be visible in comparison.</t>
        </is>
      </c>
      <c r="G259" s="15"/>
      <c r="H259" s="15" t="inlineStr">
        <is>
          <t xml:space="preserve">High confidence</t>
        </is>
      </c>
      <c r="I259" s="15"/>
      <c r="J259" s="15" t="inlineStr">
        <is>
          <t xml:space="preserve">SRC-07-01; SRC-07-02</t>
        </is>
      </c>
      <c r="K259" s="15" t="inlineStr">
        <is>
          <t xml:space="preserve">compare group id: CMP-07-011 | event / tradition: Call of Levi/Matthew | match type: Direct Synoptic parallel | member blocks: BLK-07-042; BLK-07-043; BLK-07-044 | narrative flow default: BLK-07-042 | comparison confidence: High confidence | reader behaviour: Keep each account intact. Compare by account and aligned scene; never weave verses into synthetic prose. | editorial notes: Naming and presentation differences should be visible in comparison. | source keys: SRC-07-01; SRC-07-02</t>
        </is>
      </c>
    </row>
    <row r="260" ht="34" customHeight="1">
      <c r="A260" s="15" t="inlineStr">
        <is>
          <t xml:space="preserve">v0.7</t>
        </is>
      </c>
      <c r="B260" s="15" t="inlineStr">
        <is>
          <t xml:space="preserve">Bible_Journey_Canon_Map_v0_7_Gospel_Chronology.xlsx</t>
        </is>
      </c>
      <c r="C260" s="15" t="inlineStr">
        <is>
          <t xml:space="preserve">Parallel Groups</t>
        </is>
      </c>
      <c r="D260" s="15" t="inlineStr">
        <is>
          <t xml:space="preserve">CMP-07-012</t>
        </is>
      </c>
      <c r="E260" s="15"/>
      <c r="F260" s="15" t="inlineStr">
        <is>
          <t xml:space="preserve">Keep wine imagery in each account distinct.</t>
        </is>
      </c>
      <c r="G260" s="15"/>
      <c r="H260" s="15" t="inlineStr">
        <is>
          <t xml:space="preserve">High confidence</t>
        </is>
      </c>
      <c r="I260" s="15"/>
      <c r="J260" s="15" t="inlineStr">
        <is>
          <t xml:space="preserve">SRC-07-01; SRC-07-02</t>
        </is>
      </c>
      <c r="K260" s="15" t="inlineStr">
        <is>
          <t xml:space="preserve">compare group id: CMP-07-012 | event / tradition: Question about fasting | match type: Direct Synoptic parallel | member blocks: BLK-07-045; BLK-07-046; BLK-07-047 | narrative flow default: BLK-07-045 | comparison confidence: High confidence | reader behaviour: Keep each account intact. Compare by account and aligned scene; never weave verses into synthetic prose. | editorial notes: Keep wine imagery in each account distinct. | source keys: SRC-07-01; SRC-07-02</t>
        </is>
      </c>
    </row>
    <row r="261" ht="34" customHeight="1">
      <c r="A261" s="15" t="inlineStr">
        <is>
          <t xml:space="preserve">v0.7</t>
        </is>
      </c>
      <c r="B261" s="15" t="inlineStr">
        <is>
          <t xml:space="preserve">Bible_Journey_Canon_Map_v0_7_Gospel_Chronology.xlsx</t>
        </is>
      </c>
      <c r="C261" s="15" t="inlineStr">
        <is>
          <t xml:space="preserve">Parallel Groups</t>
        </is>
      </c>
      <c r="D261" s="15" t="inlineStr">
        <is>
          <t xml:space="preserve">CMP-07-013</t>
        </is>
      </c>
      <c r="E261" s="15"/>
      <c r="F261" s="15" t="inlineStr">
        <is>
          <t xml:space="preserve">Two linked controversies compare as a unit but retain account boundaries.</t>
        </is>
      </c>
      <c r="G261" s="15"/>
      <c r="H261" s="15" t="inlineStr">
        <is>
          <t xml:space="preserve">High confidence</t>
        </is>
      </c>
      <c r="I261" s="15"/>
      <c r="J261" s="15" t="inlineStr">
        <is>
          <t xml:space="preserve">SRC-07-01; SRC-07-02</t>
        </is>
      </c>
      <c r="K261" s="15" t="inlineStr">
        <is>
          <t xml:space="preserve">compare group id: CMP-07-013 | event / tradition: Sabbath controversies | match type: Direct Synoptic parallel | member blocks: BLK-07-048; BLK-07-049; BLK-07-050 | narrative flow default: BLK-07-048 | comparison confidence: High confidence | reader behaviour: Keep each account intact. Compare by account and aligned scene; never weave verses into synthetic prose. | editorial notes: Two linked controversies compare as a unit but retain account boundaries. | source keys: SRC-07-01; SRC-07-02</t>
        </is>
      </c>
    </row>
    <row r="262" ht="34" customHeight="1">
      <c r="A262" s="15" t="inlineStr">
        <is>
          <t xml:space="preserve">v0.7</t>
        </is>
      </c>
      <c r="B262" s="15" t="inlineStr">
        <is>
          <t xml:space="preserve">Bible_Journey_Canon_Map_v0_7_Gospel_Chronology.xlsx</t>
        </is>
      </c>
      <c r="C262" s="15" t="inlineStr">
        <is>
          <t xml:space="preserve">Parallel Groups</t>
        </is>
      </c>
      <c r="D262" s="15" t="inlineStr">
        <is>
          <t xml:space="preserve">CMP-07-014</t>
        </is>
      </c>
      <c r="E262" s="15"/>
      <c r="F262" s="15" t="inlineStr">
        <is>
          <t xml:space="preserve">Comparison supports names/order/framing; do not imply every list is one uninterrupted scene.</t>
        </is>
      </c>
      <c r="G262" s="15"/>
      <c r="H262" s="15" t="inlineStr">
        <is>
          <t xml:space="preserve">High confidence</t>
        </is>
      </c>
      <c r="I262" s="15"/>
      <c r="J262" s="15" t="inlineStr">
        <is>
          <t xml:space="preserve">SRC-07-01; SRC-07-02</t>
        </is>
      </c>
      <c r="K262" s="15" t="inlineStr">
        <is>
          <t xml:space="preserve">compare group id: CMP-07-014 | event / tradition: Appointment of the Twelve | match type: Related Synoptic lists | member blocks: BLK-07-051; BLK-07-052; BLK-07-053 | narrative flow default: BLK-07-051 | comparison confidence: High confidence | reader behaviour: Keep each account intact. Compare by account and aligned scene; never weave verses into synthetic prose. | editorial notes: Comparison supports names/order/framing; do not imply every list is one uninterrupted scene. | source keys: SRC-07-01; SRC-07-02</t>
        </is>
      </c>
    </row>
    <row r="263" ht="34" customHeight="1">
      <c r="A263" s="15" t="inlineStr">
        <is>
          <t xml:space="preserve">v0.7</t>
        </is>
      </c>
      <c r="B263" s="15" t="inlineStr">
        <is>
          <t xml:space="preserve">Bible_Journey_Canon_Map_v0_7_Gospel_Chronology.xlsx</t>
        </is>
      </c>
      <c r="C263" s="15" t="inlineStr">
        <is>
          <t xml:space="preserve">Parallel Groups</t>
        </is>
      </c>
      <c r="D263" s="15" t="inlineStr">
        <is>
          <t xml:space="preserve">CMP-07-015</t>
        </is>
      </c>
      <c r="E263" s="15"/>
      <c r="F263" s="15" t="inlineStr">
        <is>
          <t xml:space="preserve">Compare shared and distinctive teaching without imposing a one-to-one scene claim.</t>
        </is>
      </c>
      <c r="G263" s="15"/>
      <c r="H263" s="15" t="inlineStr">
        <is>
          <t xml:space="preserve">Debated</t>
        </is>
      </c>
      <c r="I263" s="15"/>
      <c r="J263" s="15" t="inlineStr">
        <is>
          <t xml:space="preserve">SRC-07-01; SRC-07-02</t>
        </is>
      </c>
      <c r="K263" s="15" t="inlineStr">
        <is>
          <t xml:space="preserve">compare group id: CMP-07-015 | event / tradition: Major teaching discourse | match type: Related discourse traditions | member blocks: BLK-07-054; BLK-07-055 | narrative flow default: BLK-07-054 | comparison confidence: Debated | reader behaviour: Keep each account intact. Compare by account and aligned scene; never weave verses into synthetic prose. | editorial notes: Compare shared and distinctive teaching without imposing a one-to-one scene claim. | source keys: SRC-07-01; SRC-07-02</t>
        </is>
      </c>
    </row>
    <row r="264" ht="34" customHeight="1">
      <c r="A264" s="15" t="inlineStr">
        <is>
          <t xml:space="preserve">v0.7</t>
        </is>
      </c>
      <c r="B264" s="15" t="inlineStr">
        <is>
          <t xml:space="preserve">Bible_Journey_Canon_Map_v0_7_Gospel_Chronology.xlsx</t>
        </is>
      </c>
      <c r="C264" s="15" t="inlineStr">
        <is>
          <t xml:space="preserve">Parallel Groups</t>
        </is>
      </c>
      <c r="D264" s="15" t="inlineStr">
        <is>
          <t xml:space="preserve">CMP-07-016</t>
        </is>
      </c>
      <c r="E264" s="15"/>
      <c r="F264" s="15" t="inlineStr">
        <is>
          <t xml:space="preserve">Compare the role of envoys and dialogue ordering without conflation.</t>
        </is>
      </c>
      <c r="G264" s="15"/>
      <c r="H264" s="15" t="inlineStr">
        <is>
          <t xml:space="preserve">High confidence</t>
        </is>
      </c>
      <c r="I264" s="15"/>
      <c r="J264" s="15" t="inlineStr">
        <is>
          <t xml:space="preserve">SRC-07-01; SRC-07-02</t>
        </is>
      </c>
      <c r="K264" s="15" t="inlineStr">
        <is>
          <t xml:space="preserve">compare group id: CMP-07-016 | event / tradition: Healing of the centurion's servant | match type: Direct Synoptic parallel | member blocks: BLK-07-056; BLK-07-057 | narrative flow default: BLK-07-056 | comparison confidence: High confidence | reader behaviour: Keep each account intact. Compare by account and aligned scene; never weave verses into synthetic prose. | editorial notes: Compare the role of envoys and dialogue ordering without conflation. | source keys: SRC-07-01; SRC-07-02</t>
        </is>
      </c>
    </row>
    <row r="265" ht="34" customHeight="1">
      <c r="A265" s="15" t="inlineStr">
        <is>
          <t xml:space="preserve">v0.7</t>
        </is>
      </c>
      <c r="B265" s="15" t="inlineStr">
        <is>
          <t xml:space="preserve">Bible_Journey_Canon_Map_v0_7_Gospel_Chronology.xlsx</t>
        </is>
      </c>
      <c r="C265" s="15" t="inlineStr">
        <is>
          <t xml:space="preserve">Parallel Groups</t>
        </is>
      </c>
      <c r="D265" s="15" t="inlineStr">
        <is>
          <t xml:space="preserve">CMP-07-017</t>
        </is>
      </c>
      <c r="E265" s="15"/>
      <c r="F265" s="15" t="inlineStr">
        <is>
          <t xml:space="preserve">Matthew's material continues beyond strict shared wording; comparison shows range granularity.</t>
        </is>
      </c>
      <c r="G265" s="15"/>
      <c r="H265" s="15" t="inlineStr">
        <is>
          <t xml:space="preserve">High confidence</t>
        </is>
      </c>
      <c r="I265" s="15"/>
      <c r="J265" s="15" t="inlineStr">
        <is>
          <t xml:space="preserve">SRC-07-01; SRC-07-02</t>
        </is>
      </c>
      <c r="K265" s="15" t="inlineStr">
        <is>
          <t xml:space="preserve">compare group id: CMP-07-017 | event / tradition: John the Baptist's question | match type: Direct/related Synoptic material | member blocks: BLK-07-059; BLK-07-060 | narrative flow default: BLK-07-059 | comparison confidence: High confidence | reader behaviour: Keep each account intact. Compare by account and aligned scene; never weave verses into synthetic prose. | editorial notes: Matthew's material continues beyond strict shared wording; comparison shows range granularity. | source keys: SRC-07-01; SRC-07-02</t>
        </is>
      </c>
    </row>
    <row r="266" ht="34" customHeight="1">
      <c r="A266" s="15" t="inlineStr">
        <is>
          <t xml:space="preserve">v0.7</t>
        </is>
      </c>
      <c r="B266" s="15" t="inlineStr">
        <is>
          <t xml:space="preserve">Bible_Journey_Canon_Map_v0_7_Gospel_Chronology.xlsx</t>
        </is>
      </c>
      <c r="C266" s="15" t="inlineStr">
        <is>
          <t xml:space="preserve">Parallel Groups</t>
        </is>
      </c>
      <c r="D266" s="15" t="inlineStr">
        <is>
          <t xml:space="preserve">CMP-07-018</t>
        </is>
      </c>
      <c r="E266" s="15"/>
      <c r="F266" s="15" t="inlineStr">
        <is>
          <t xml:space="preserve">Luke locates related sayings differently. Do not depict a fixed single sequence.</t>
        </is>
      </c>
      <c r="G266" s="15"/>
      <c r="H266" s="15" t="inlineStr">
        <is>
          <t xml:space="preserve">Probable</t>
        </is>
      </c>
      <c r="I266" s="15"/>
      <c r="J266" s="15" t="inlineStr">
        <is>
          <t xml:space="preserve">SRC-07-01; SRC-07-02</t>
        </is>
      </c>
      <c r="K266" s="15" t="inlineStr">
        <is>
          <t xml:space="preserve">compare group id: CMP-07-018 | event / tradition: Family and authority-conflict traditions | match type: Related Synoptic traditions | member blocks: BLK-07-063; BLK-07-064; BLK-07-065; BLK-07-066 | narrative flow default: BLK-07-063 | comparison confidence: Probable | reader behaviour: Keep each account intact. Compare by account and aligned scene; never weave verses into synthetic prose. | editorial notes: Luke locates related sayings differently. Do not depict a fixed single sequence. | source keys: SRC-07-01; SRC-07-02</t>
        </is>
      </c>
    </row>
    <row r="267" ht="34" customHeight="1">
      <c r="A267" s="15" t="inlineStr">
        <is>
          <t xml:space="preserve">v0.7</t>
        </is>
      </c>
      <c r="B267" s="15" t="inlineStr">
        <is>
          <t xml:space="preserve">Bible_Journey_Canon_Map_v0_7_Gospel_Chronology.xlsx</t>
        </is>
      </c>
      <c r="C267" s="15" t="inlineStr">
        <is>
          <t xml:space="preserve">Parallel Groups</t>
        </is>
      </c>
      <c r="D267" s="15" t="inlineStr">
        <is>
          <t xml:space="preserve">CMP-07-019</t>
        </is>
      </c>
      <c r="E267" s="15"/>
      <c r="F267" s="15" t="inlineStr">
        <is>
          <t xml:space="preserve">Do not flatten collections into identical sequence. Compare by individual parable.</t>
        </is>
      </c>
      <c r="G267" s="15"/>
      <c r="H267" s="15" t="inlineStr">
        <is>
          <t xml:space="preserve">Probable</t>
        </is>
      </c>
      <c r="I267" s="15"/>
      <c r="J267" s="15" t="inlineStr">
        <is>
          <t xml:space="preserve">SRC-07-01; SRC-07-02</t>
        </is>
      </c>
      <c r="K267" s="15" t="inlineStr">
        <is>
          <t xml:space="preserve">compare group id: CMP-07-019 | event / tradition: Parables of the kingdom | match type: Related Synoptic collections | member blocks: BLK-07-067; BLK-07-068; BLK-07-069 | narrative flow default: BLK-07-067 | comparison confidence: Probable | reader behaviour: Keep each account intact. Compare by account and aligned scene; never weave verses into synthetic prose. | editorial notes: Do not flatten collections into identical sequence. Compare by individual parable. | source keys: SRC-07-01; SRC-07-02</t>
        </is>
      </c>
    </row>
    <row r="268" ht="34" customHeight="1">
      <c r="A268" s="15" t="inlineStr">
        <is>
          <t xml:space="preserve">v0.7</t>
        </is>
      </c>
      <c r="B268" s="15" t="inlineStr">
        <is>
          <t xml:space="preserve">Bible_Journey_Canon_Map_v0_7_Gospel_Chronology.xlsx</t>
        </is>
      </c>
      <c r="C268" s="15" t="inlineStr">
        <is>
          <t xml:space="preserve">Parallel Groups</t>
        </is>
      </c>
      <c r="D268" s="15" t="inlineStr">
        <is>
          <t xml:space="preserve">CMP-07-020</t>
        </is>
      </c>
      <c r="E268" s="15"/>
      <c r="F268" s="15" t="inlineStr">
        <is>
          <t xml:space="preserve">Scene correspondence is strong; retain wording and sequence by Gospel.</t>
        </is>
      </c>
      <c r="G268" s="15"/>
      <c r="H268" s="15" t="inlineStr">
        <is>
          <t xml:space="preserve">High confidence</t>
        </is>
      </c>
      <c r="I268" s="15"/>
      <c r="J268" s="15" t="inlineStr">
        <is>
          <t xml:space="preserve">SRC-07-01; SRC-07-02</t>
        </is>
      </c>
      <c r="K268" s="15" t="inlineStr">
        <is>
          <t xml:space="preserve">compare group id: CMP-07-020 | event / tradition: Calming the storm | match type: Direct Synoptic parallel | member blocks: BLK-07-070; BLK-07-071; BLK-07-072 | narrative flow default: BLK-07-070 | comparison confidence: High confidence | reader behaviour: Keep each account intact. Compare by account and aligned scene; never weave verses into synthetic prose. | editorial notes: Scene correspondence is strong; retain wording and sequence by Gospel. | source keys: SRC-07-01; SRC-07-02</t>
        </is>
      </c>
    </row>
    <row r="269" ht="34" customHeight="1">
      <c r="A269" s="15" t="inlineStr">
        <is>
          <t xml:space="preserve">v0.7</t>
        </is>
      </c>
      <c r="B269" s="15" t="inlineStr">
        <is>
          <t xml:space="preserve">Bible_Journey_Canon_Map_v0_7_Gospel_Chronology.xlsx</t>
        </is>
      </c>
      <c r="C269" s="15" t="inlineStr">
        <is>
          <t xml:space="preserve">Parallel Groups</t>
        </is>
      </c>
      <c r="D269" s="15" t="inlineStr">
        <is>
          <t xml:space="preserve">CMP-07-021</t>
        </is>
      </c>
      <c r="E269" s="15"/>
      <c r="F269" s="15" t="inlineStr">
        <is>
          <t xml:space="preserve">Surface geographic and number-of-figures differences as textual observations.</t>
        </is>
      </c>
      <c r="G269" s="15"/>
      <c r="H269" s="15" t="inlineStr">
        <is>
          <t xml:space="preserve">High confidence</t>
        </is>
      </c>
      <c r="I269" s="15"/>
      <c r="J269" s="15" t="inlineStr">
        <is>
          <t xml:space="preserve">SRC-07-01; SRC-07-02</t>
        </is>
      </c>
      <c r="K269" s="15" t="inlineStr">
        <is>
          <t xml:space="preserve">compare group id: CMP-07-021 | event / tradition: Gerasene/Gadarene healing | match type: Direct Synoptic parallel | member blocks: BLK-07-073; BLK-07-074; BLK-07-075 | narrative flow default: BLK-07-073 | comparison confidence: High confidence | reader behaviour: Keep each account intact. Compare by account and aligned scene; never weave verses into synthetic prose. | editorial notes: Surface geographic and number-of-figures differences as textual observations. | source keys: SRC-07-01; SRC-07-02</t>
        </is>
      </c>
    </row>
    <row r="270" ht="34" customHeight="1">
      <c r="A270" s="15" t="inlineStr">
        <is>
          <t xml:space="preserve">v0.7</t>
        </is>
      </c>
      <c r="B270" s="15" t="inlineStr">
        <is>
          <t xml:space="preserve">Bible_Journey_Canon_Map_v0_7_Gospel_Chronology.xlsx</t>
        </is>
      </c>
      <c r="C270" s="15" t="inlineStr">
        <is>
          <t xml:space="preserve">Parallel Groups</t>
        </is>
      </c>
      <c r="D270" s="15" t="inlineStr">
        <is>
          <t xml:space="preserve">CMP-07-022</t>
        </is>
      </c>
      <c r="E270" s="15"/>
      <c r="F270" s="15" t="inlineStr">
        <is>
          <t xml:space="preserve">Compare nested narrative structure without synthetic weaving.</t>
        </is>
      </c>
      <c r="G270" s="15"/>
      <c r="H270" s="15" t="inlineStr">
        <is>
          <t xml:space="preserve">High confidence</t>
        </is>
      </c>
      <c r="I270" s="15"/>
      <c r="J270" s="15" t="inlineStr">
        <is>
          <t xml:space="preserve">SRC-07-01; SRC-07-02</t>
        </is>
      </c>
      <c r="K270" s="15" t="inlineStr">
        <is>
          <t xml:space="preserve">compare group id: CMP-07-022 | event / tradition: Jairus's daughter and woman with hemorrhage | match type: Direct Synoptic parallel | member blocks: BLK-07-076; BLK-07-077; BLK-07-078 | narrative flow default: BLK-07-076 | comparison confidence: High confidence | reader behaviour: Keep each account intact. Compare by account and aligned scene; never weave verses into synthetic prose. | editorial notes: Compare nested narrative structure without synthetic weaving. | source keys: SRC-07-01; SRC-07-02</t>
        </is>
      </c>
    </row>
    <row r="271" ht="34" customHeight="1">
      <c r="A271" s="15" t="inlineStr">
        <is>
          <t xml:space="preserve">v0.7</t>
        </is>
      </c>
      <c r="B271" s="15" t="inlineStr">
        <is>
          <t xml:space="preserve">Bible_Journey_Canon_Map_v0_7_Gospel_Chronology.xlsx</t>
        </is>
      </c>
      <c r="C271" s="15" t="inlineStr">
        <is>
          <t xml:space="preserve">Parallel Groups</t>
        </is>
      </c>
      <c r="D271" s="15" t="inlineStr">
        <is>
          <t xml:space="preserve">CMP-07-023</t>
        </is>
      </c>
      <c r="E271" s="15"/>
      <c r="F271" s="15" t="inlineStr">
        <is>
          <t xml:space="preserve">Narrative Flow uses Mark's mission scene while presenting Matthew's expanded teaching.</t>
        </is>
      </c>
      <c r="G271" s="15"/>
      <c r="H271" s="15" t="inlineStr">
        <is>
          <t xml:space="preserve">High confidence</t>
        </is>
      </c>
      <c r="I271" s="15"/>
      <c r="J271" s="15" t="inlineStr">
        <is>
          <t xml:space="preserve">SRC-07-01; SRC-07-02</t>
        </is>
      </c>
      <c r="K271" s="15" t="inlineStr">
        <is>
          <t xml:space="preserve">compare group id: CMP-07-023 | event / tradition: Mission of the Twelve | match type: Direct/expanded Synoptic accounts | member blocks: BLK-07-080; BLK-07-081; BLK-07-082 | narrative flow default: BLK-07-080 | comparison confidence: High confidence | reader behaviour: Keep each account intact. Compare by account and aligned scene; never weave verses into synthetic prose. | editorial notes: Narrative Flow uses Mark's mission scene while presenting Matthew's expanded teaching. | source keys: SRC-07-01; SRC-07-02</t>
        </is>
      </c>
    </row>
    <row r="272" ht="34" customHeight="1">
      <c r="A272" s="15" t="inlineStr">
        <is>
          <t xml:space="preserve">v0.7</t>
        </is>
      </c>
      <c r="B272" s="15" t="inlineStr">
        <is>
          <t xml:space="preserve">Bible_Journey_Canon_Map_v0_7_Gospel_Chronology.xlsx</t>
        </is>
      </c>
      <c r="C272" s="15" t="inlineStr">
        <is>
          <t xml:space="preserve">Parallel Groups</t>
        </is>
      </c>
      <c r="D272" s="15" t="inlineStr">
        <is>
          <t xml:space="preserve">CMP-07-024</t>
        </is>
      </c>
      <c r="E272" s="15"/>
      <c r="F272" s="15" t="inlineStr">
        <is>
          <t xml:space="preserve">Luke provides a report rather than a full death narrative.</t>
        </is>
      </c>
      <c r="G272" s="15"/>
      <c r="H272" s="15" t="inlineStr">
        <is>
          <t xml:space="preserve">High confidence</t>
        </is>
      </c>
      <c r="I272" s="15"/>
      <c r="J272" s="15" t="inlineStr">
        <is>
          <t xml:space="preserve">SRC-07-01; SRC-07-02</t>
        </is>
      </c>
      <c r="K272" s="15" t="inlineStr">
        <is>
          <t xml:space="preserve">compare group id: CMP-07-024 | event / tradition: Death of John the Baptist | match type: Direct/related Synoptic accounts | member blocks: BLK-07-083; BLK-07-084; BLK-07-085 | narrative flow default: BLK-07-083 | comparison confidence: High confidence | reader behaviour: Keep each account intact. Compare by account and aligned scene; never weave verses into synthetic prose. | editorial notes: Luke provides a report rather than a full death narrative. | source keys: SRC-07-01; SRC-07-02</t>
        </is>
      </c>
    </row>
    <row r="273" ht="34" customHeight="1">
      <c r="A273" s="15" t="inlineStr">
        <is>
          <t xml:space="preserve">v0.7</t>
        </is>
      </c>
      <c r="B273" s="15" t="inlineStr">
        <is>
          <t xml:space="preserve">Bible_Journey_Canon_Map_v0_7_Gospel_Chronology.xlsx</t>
        </is>
      </c>
      <c r="C273" s="15" t="inlineStr">
        <is>
          <t xml:space="preserve">Parallel Groups</t>
        </is>
      </c>
      <c r="D273" s="15" t="inlineStr">
        <is>
          <t xml:space="preserve">CMP-07-025</t>
        </is>
      </c>
      <c r="E273" s="15"/>
      <c r="F273" s="15" t="inlineStr">
        <is>
          <t xml:space="preserve">Do not mark Luke 4 as duplicate completion of this set.</t>
        </is>
      </c>
      <c r="G273" s="15"/>
      <c r="H273" s="15" t="inlineStr">
        <is>
          <t xml:space="preserve">High confidence</t>
        </is>
      </c>
      <c r="I273" s="15"/>
      <c r="J273" s="15" t="inlineStr">
        <is>
          <t xml:space="preserve">SRC-07-01; SRC-07-02</t>
        </is>
      </c>
      <c r="K273" s="15" t="inlineStr">
        <is>
          <t xml:space="preserve">compare group id: CMP-07-025 | event / tradition: Nazareth rejection | match type: Direct Matthew-Mark parallel / Luke relation debated | member blocks: BLK-07-086; BLK-07-087 | narrative flow default: BLK-07-086 | comparison confidence: High confidence | reader behaviour: Keep each account intact. Compare by account and aligned scene; never weave verses into synthetic prose. | editorial notes: Do not mark Luke 4 as duplicate completion of this set. | source keys: SRC-07-01; SRC-07-02</t>
        </is>
      </c>
    </row>
    <row r="274" ht="34" customHeight="1">
      <c r="A274" s="15" t="inlineStr">
        <is>
          <t xml:space="preserve">v0.7</t>
        </is>
      </c>
      <c r="B274" s="15" t="inlineStr">
        <is>
          <t xml:space="preserve">Bible_Journey_Canon_Map_v0_7_Gospel_Chronology.xlsx</t>
        </is>
      </c>
      <c r="C274" s="15" t="inlineStr">
        <is>
          <t xml:space="preserve">Parallel Groups</t>
        </is>
      </c>
      <c r="D274" s="15" t="inlineStr">
        <is>
          <t xml:space="preserve">CMP-07-026</t>
        </is>
      </c>
      <c r="E274" s="15"/>
      <c r="F274" s="15" t="inlineStr">
        <is>
          <t xml:space="preserve">Recommended pilot for Compare Accounts; John has distinct framing and terminology.</t>
        </is>
      </c>
      <c r="G274" s="15"/>
      <c r="H274" s="15" t="inlineStr">
        <is>
          <t xml:space="preserve">High confidence</t>
        </is>
      </c>
      <c r="I274" s="15"/>
      <c r="J274" s="15" t="inlineStr">
        <is>
          <t xml:space="preserve">SRC-07-02; SRC-07-03</t>
        </is>
      </c>
      <c r="K274" s="15" t="inlineStr">
        <is>
          <t xml:space="preserve">compare group id: CMP-07-026 | event / tradition: Feeding of the five thousand | match type: Four-Gospel direct parallel | member blocks: BLK-07-088; BLK-07-089; BLK-07-090; BLK-07-091 | narrative flow default: BLK-07-088 | comparison confidence: High confidence | reader behaviour: Keep each account intact. Compare by account and aligned scene; never weave verses into synthetic prose. | editorial notes: Recommended pilot for Compare Accounts; John has distinct framing and terminology. | source keys: SRC-07-02; SRC-07-03</t>
        </is>
      </c>
    </row>
    <row r="275" ht="34" customHeight="1">
      <c r="A275" s="15" t="inlineStr">
        <is>
          <t xml:space="preserve">v0.7</t>
        </is>
      </c>
      <c r="B275" s="15" t="inlineStr">
        <is>
          <t xml:space="preserve">Bible_Journey_Canon_Map_v0_7_Gospel_Chronology.xlsx</t>
        </is>
      </c>
      <c r="C275" s="15" t="inlineStr">
        <is>
          <t xml:space="preserve">Parallel Groups</t>
        </is>
      </c>
      <c r="D275" s="15" t="inlineStr">
        <is>
          <t xml:space="preserve">CMP-07-027</t>
        </is>
      </c>
      <c r="E275" s="15"/>
      <c r="F275" s="15" t="inlineStr">
        <is>
          <t xml:space="preserve">Matthew's Peter episode is a distinct addition and remains visible.</t>
        </is>
      </c>
      <c r="G275" s="15"/>
      <c r="H275" s="15" t="inlineStr">
        <is>
          <t xml:space="preserve">High confidence</t>
        </is>
      </c>
      <c r="I275" s="15"/>
      <c r="J275" s="15" t="inlineStr">
        <is>
          <t xml:space="preserve">SRC-07-01; SRC-07-02</t>
        </is>
      </c>
      <c r="K275" s="15" t="inlineStr">
        <is>
          <t xml:space="preserve">compare group id: CMP-07-027 | event / tradition: Walking on the water | match type: Three-Gospel direct parallel | member blocks: BLK-07-092; BLK-07-093; BLK-07-094 | narrative flow default: BLK-07-092 | comparison confidence: High confidence | reader behaviour: Keep each account intact. Compare by account and aligned scene; never weave verses into synthetic prose. | editorial notes: Matthew's Peter episode is a distinct addition and remains visible. | source keys: SRC-07-01; SRC-07-02</t>
        </is>
      </c>
    </row>
    <row r="276" ht="34" customHeight="1">
      <c r="A276" s="15" t="inlineStr">
        <is>
          <t xml:space="preserve">v0.7</t>
        </is>
      </c>
      <c r="B276" s="15" t="inlineStr">
        <is>
          <t xml:space="preserve">Bible_Journey_Canon_Map_v0_7_Gospel_Chronology.xlsx</t>
        </is>
      </c>
      <c r="C276" s="15" t="inlineStr">
        <is>
          <t xml:space="preserve">Parallel Groups</t>
        </is>
      </c>
      <c r="D276" s="15" t="inlineStr">
        <is>
          <t xml:space="preserve">CMP-07-028</t>
        </is>
      </c>
      <c r="E276" s="15"/>
      <c r="F276" s="15" t="inlineStr">
        <is>
          <t xml:space="preserve">A multi-scene comparison set; preserve account boundaries.</t>
        </is>
      </c>
      <c r="G276" s="15"/>
      <c r="H276" s="15" t="inlineStr">
        <is>
          <t xml:space="preserve">High confidence</t>
        </is>
      </c>
      <c r="I276" s="15"/>
      <c r="J276" s="15" t="inlineStr">
        <is>
          <t xml:space="preserve">SRC-07-01; SRC-07-02</t>
        </is>
      </c>
      <c r="K276" s="15" t="inlineStr">
        <is>
          <t xml:space="preserve">compare group id: CMP-07-028 | event / tradition: Gennesaret healings and tradition controversy | match type: Direct Synoptic parallel | member blocks: BLK-07-096; BLK-07-097 | narrative flow default: BLK-07-096 | comparison confidence: High confidence | reader behaviour: Keep each account intact. Compare by account and aligned scene; never weave verses into synthetic prose. | editorial notes: A multi-scene comparison set; preserve account boundaries. | source keys: SRC-07-01; SRC-07-02</t>
        </is>
      </c>
    </row>
    <row r="277" ht="34" customHeight="1">
      <c r="A277" s="15" t="inlineStr">
        <is>
          <t xml:space="preserve">v0.7</t>
        </is>
      </c>
      <c r="B277" s="15" t="inlineStr">
        <is>
          <t xml:space="preserve">Bible_Journey_Canon_Map_v0_7_Gospel_Chronology.xlsx</t>
        </is>
      </c>
      <c r="C277" s="15" t="inlineStr">
        <is>
          <t xml:space="preserve">Parallel Groups</t>
        </is>
      </c>
      <c r="D277" s="15" t="inlineStr">
        <is>
          <t xml:space="preserve">CMP-07-029</t>
        </is>
      </c>
      <c r="E277" s="15"/>
      <c r="F277" s="15" t="inlineStr">
        <is>
          <t xml:space="preserve">Different ethnonyms are Gospel wording, not silently normalized.</t>
        </is>
      </c>
      <c r="G277" s="15"/>
      <c r="H277" s="15" t="inlineStr">
        <is>
          <t xml:space="preserve">High confidence</t>
        </is>
      </c>
      <c r="I277" s="15"/>
      <c r="J277" s="15" t="inlineStr">
        <is>
          <t xml:space="preserve">SRC-07-01; SRC-07-02</t>
        </is>
      </c>
      <c r="K277" s="15" t="inlineStr">
        <is>
          <t xml:space="preserve">compare group id: CMP-07-029 | event / tradition: Syrophoenician/Canaanite woman | match type: Direct/expanded Synoptic accounts | member blocks: BLK-07-098; BLK-07-099 | narrative flow default: BLK-07-098 | comparison confidence: High confidence | reader behaviour: Keep each account intact. Compare by account and aligned scene; never weave verses into synthetic prose. | editorial notes: Different ethnonyms are Gospel wording, not silently normalized. | source keys: SRC-07-01; SRC-07-02</t>
        </is>
      </c>
    </row>
    <row r="278" ht="34" customHeight="1">
      <c r="A278" s="15" t="inlineStr">
        <is>
          <t xml:space="preserve">v0.7</t>
        </is>
      </c>
      <c r="B278" s="15" t="inlineStr">
        <is>
          <t xml:space="preserve">Bible_Journey_Canon_Map_v0_7_Gospel_Chronology.xlsx</t>
        </is>
      </c>
      <c r="C278" s="15" t="inlineStr">
        <is>
          <t xml:space="preserve">Parallel Groups</t>
        </is>
      </c>
      <c r="D278" s="15" t="inlineStr">
        <is>
          <t xml:space="preserve">CMP-07-030</t>
        </is>
      </c>
      <c r="E278" s="15"/>
      <c r="F278" s="15" t="inlineStr">
        <is>
          <t xml:space="preserve">Keep this distinct from feeding of five thousand.</t>
        </is>
      </c>
      <c r="G278" s="15"/>
      <c r="H278" s="15" t="inlineStr">
        <is>
          <t xml:space="preserve">High confidence</t>
        </is>
      </c>
      <c r="I278" s="15"/>
      <c r="J278" s="15" t="inlineStr">
        <is>
          <t xml:space="preserve">SRC-07-01; SRC-07-02</t>
        </is>
      </c>
      <c r="K278" s="15" t="inlineStr">
        <is>
          <t xml:space="preserve">compare group id: CMP-07-030 | event / tradition: Feeding of the four thousand | match type: Direct Matthew-Mark parallel | member blocks: BLK-07-100; BLK-07-101 | narrative flow default: BLK-07-100 | comparison confidence: High confidence | reader behaviour: Keep each account intact. Compare by account and aligned scene; never weave verses into synthetic prose. | editorial notes: Keep this distinct from feeding of five thousand. | source keys: SRC-07-01; SRC-07-02</t>
        </is>
      </c>
    </row>
    <row r="279" ht="34" customHeight="1">
      <c r="A279" s="15" t="inlineStr">
        <is>
          <t xml:space="preserve">v0.7</t>
        </is>
      </c>
      <c r="B279" s="15" t="inlineStr">
        <is>
          <t xml:space="preserve">Bible_Journey_Canon_Map_v0_7_Gospel_Chronology.xlsx</t>
        </is>
      </c>
      <c r="C279" s="15" t="inlineStr">
        <is>
          <t xml:space="preserve">Parallel Groups</t>
        </is>
      </c>
      <c r="D279" s="15" t="inlineStr">
        <is>
          <t xml:space="preserve">CMP-07-031</t>
        </is>
      </c>
      <c r="E279" s="15"/>
      <c r="F279" s="15" t="inlineStr">
        <is>
          <t xml:space="preserve">The Bethsaida healing is not labeled as a parallel.</t>
        </is>
      </c>
      <c r="G279" s="15"/>
      <c r="H279" s="15" t="inlineStr">
        <is>
          <t xml:space="preserve">High confidence</t>
        </is>
      </c>
      <c r="I279" s="15"/>
      <c r="J279" s="15" t="inlineStr">
        <is>
          <t xml:space="preserve">SRC-07-01; SRC-07-02</t>
        </is>
      </c>
      <c r="K279" s="15" t="inlineStr">
        <is>
          <t xml:space="preserve">compare group id: CMP-07-031 | event / tradition: Sign and yeast controversy | match type: Direct Matthew-Mark parallel | member blocks: BLK-07-102; BLK-07-103 | narrative flow default: BLK-07-102 | comparison confidence: High confidence | reader behaviour: Keep each account intact. Compare by account and aligned scene; never weave verses into synthetic prose. | editorial notes: The Bethsaida healing is not labeled as a parallel. | source keys: SRC-07-01; SRC-07-02</t>
        </is>
      </c>
    </row>
    <row r="280" ht="34" customHeight="1">
      <c r="A280" s="15" t="inlineStr">
        <is>
          <t xml:space="preserve">v0.7</t>
        </is>
      </c>
      <c r="B280" s="15" t="inlineStr">
        <is>
          <t xml:space="preserve">Bible_Journey_Canon_Map_v0_7_Gospel_Chronology.xlsx</t>
        </is>
      </c>
      <c r="C280" s="15" t="inlineStr">
        <is>
          <t xml:space="preserve">Parallel Groups</t>
        </is>
      </c>
      <c r="D280" s="15" t="inlineStr">
        <is>
          <t xml:space="preserve">CMP-07-032</t>
        </is>
      </c>
      <c r="E280" s="15"/>
      <c r="F280" s="15" t="inlineStr">
        <is>
          <t xml:space="preserve">Compare confession, rebuke, and discipleship saying without conflation.</t>
        </is>
      </c>
      <c r="G280" s="15"/>
      <c r="H280" s="15" t="inlineStr">
        <is>
          <t xml:space="preserve">High confidence</t>
        </is>
      </c>
      <c r="I280" s="15"/>
      <c r="J280" s="15" t="inlineStr">
        <is>
          <t xml:space="preserve">SRC-07-01; SRC-07-02</t>
        </is>
      </c>
      <c r="K280" s="15" t="inlineStr">
        <is>
          <t xml:space="preserve">compare group id: CMP-07-032 | event / tradition: Peter's confession and first prediction | match type: Direct Synoptic parallel | member blocks: BLK-07-104; BLK-07-105; BLK-07-106 | narrative flow default: BLK-07-104 | comparison confidence: High confidence | reader behaviour: Keep each account intact. Compare by account and aligned scene; never weave verses into synthetic prose. | editorial notes: Compare confession, rebuke, and discipleship saying without conflation. | source keys: SRC-07-01; SRC-07-02</t>
        </is>
      </c>
    </row>
    <row r="281" ht="34" customHeight="1">
      <c r="A281" s="15" t="inlineStr">
        <is>
          <t xml:space="preserve">v0.7</t>
        </is>
      </c>
      <c r="B281" s="15" t="inlineStr">
        <is>
          <t xml:space="preserve">Bible_Journey_Canon_Map_v0_7_Gospel_Chronology.xlsx</t>
        </is>
      </c>
      <c r="C281" s="15" t="inlineStr">
        <is>
          <t xml:space="preserve">Parallel Groups</t>
        </is>
      </c>
      <c r="D281" s="15" t="inlineStr">
        <is>
          <t xml:space="preserve">CMP-07-033</t>
        </is>
      </c>
      <c r="E281" s="15"/>
      <c r="F281" s="15" t="inlineStr">
        <is>
          <t xml:space="preserve">Compare relative day markers and distinctive wording.</t>
        </is>
      </c>
      <c r="G281" s="15"/>
      <c r="H281" s="15" t="inlineStr">
        <is>
          <t xml:space="preserve">High confidence</t>
        </is>
      </c>
      <c r="I281" s="15"/>
      <c r="J281" s="15" t="inlineStr">
        <is>
          <t xml:space="preserve">SRC-07-01; SRC-07-02; SRC-07-06</t>
        </is>
      </c>
      <c r="K281" s="15" t="inlineStr">
        <is>
          <t xml:space="preserve">compare group id: CMP-07-033 | event / tradition: Transfiguration | match type: Direct Synoptic parallel | member blocks: BLK-07-107; BLK-07-108; BLK-07-109 | narrative flow default: BLK-07-107 | comparison confidence: High confidence | reader behaviour: Keep each account intact. Compare by account and aligned scene; never weave verses into synthetic prose. | editorial notes: Compare relative day markers and distinctive wording. | source keys: SRC-07-01; SRC-07-02; SRC-07-06</t>
        </is>
      </c>
    </row>
    <row r="282" ht="34" customHeight="1">
      <c r="A282" s="15" t="inlineStr">
        <is>
          <t xml:space="preserve">v0.7</t>
        </is>
      </c>
      <c r="B282" s="15" t="inlineStr">
        <is>
          <t xml:space="preserve">Bible_Journey_Canon_Map_v0_7_Gospel_Chronology.xlsx</t>
        </is>
      </c>
      <c r="C282" s="15" t="inlineStr">
        <is>
          <t xml:space="preserve">Parallel Groups</t>
        </is>
      </c>
      <c r="D282" s="15" t="inlineStr">
        <is>
          <t xml:space="preserve">CMP-07-034</t>
        </is>
      </c>
      <c r="E282" s="15"/>
      <c r="F282" s="15" t="inlineStr">
        <is>
          <t xml:space="preserve">A compound comparison set; allow scene tabs.</t>
        </is>
      </c>
      <c r="G282" s="15"/>
      <c r="H282" s="15" t="inlineStr">
        <is>
          <t xml:space="preserve">High confidence</t>
        </is>
      </c>
      <c r="I282" s="15"/>
      <c r="J282" s="15" t="inlineStr">
        <is>
          <t xml:space="preserve">SRC-07-01; SRC-07-02</t>
        </is>
      </c>
      <c r="K282" s="15" t="inlineStr">
        <is>
          <t xml:space="preserve">compare group id: CMP-07-034 | event / tradition: Boy's healing and second prediction | match type: Direct Synoptic parallel | member blocks: BLK-07-110; BLK-07-111; BLK-07-112 | narrative flow default: BLK-07-110 | comparison confidence: High confidence | reader behaviour: Keep each account intact. Compare by account and aligned scene; never weave verses into synthetic prose. | editorial notes: A compound comparison set; allow scene tabs. | source keys: SRC-07-01; SRC-07-02</t>
        </is>
      </c>
    </row>
    <row r="283" ht="34" customHeight="1">
      <c r="A283" s="15" t="inlineStr">
        <is>
          <t xml:space="preserve">v0.7</t>
        </is>
      </c>
      <c r="B283" s="15" t="inlineStr">
        <is>
          <t xml:space="preserve">Bible_Journey_Canon_Map_v0_7_Gospel_Chronology.xlsx</t>
        </is>
      </c>
      <c r="C283" s="15" t="inlineStr">
        <is>
          <t xml:space="preserve">Parallel Groups</t>
        </is>
      </c>
      <c r="D283" s="15" t="inlineStr">
        <is>
          <t xml:space="preserve">CMP-07-035</t>
        </is>
      </c>
      <c r="E283" s="15"/>
      <c r="F283" s="15" t="inlineStr">
        <is>
          <t xml:space="preserve">Compare topics/pericopes, not a presumed shared transcript.</t>
        </is>
      </c>
      <c r="G283" s="15"/>
      <c r="H283" s="15" t="inlineStr">
        <is>
          <t xml:space="preserve">Probable</t>
        </is>
      </c>
      <c r="I283" s="15"/>
      <c r="J283" s="15" t="inlineStr">
        <is>
          <t xml:space="preserve">SRC-07-01; SRC-07-02</t>
        </is>
      </c>
      <c r="K283" s="15" t="inlineStr">
        <is>
          <t xml:space="preserve">compare group id: CMP-07-035 | event / tradition: Community, greatness, and forgiveness teaching | match type: Related teaching collections | member blocks: BLK-07-113; BLK-07-114; BLK-07-115 | narrative flow default: BLK-07-113 | comparison confidence: Probable | reader behaviour: Keep each account intact. Compare by account and aligned scene; never weave verses into synthetic prose. | editorial notes: Compare topics/pericopes, not a presumed shared transcript. | source keys: SRC-07-01; SRC-07-02</t>
        </is>
      </c>
    </row>
    <row r="284" ht="34" customHeight="1">
      <c r="A284" s="15" t="inlineStr">
        <is>
          <t xml:space="preserve">v0.7</t>
        </is>
      </c>
      <c r="B284" s="15" t="inlineStr">
        <is>
          <t xml:space="preserve">Bible_Journey_Canon_Map_v0_7_Gospel_Chronology.xlsx</t>
        </is>
      </c>
      <c r="C284" s="15" t="inlineStr">
        <is>
          <t xml:space="preserve">Parallel Groups</t>
        </is>
      </c>
      <c r="D284" s="15" t="inlineStr">
        <is>
          <t xml:space="preserve">CMP-07-036</t>
        </is>
      </c>
      <c r="E284" s="15"/>
      <c r="F284" s="15" t="inlineStr">
        <is>
          <t xml:space="preserve">Matthew, Mark, and Luke align closely for central scenes while retaining their framing.</t>
        </is>
      </c>
      <c r="G284" s="15"/>
      <c r="H284" s="15" t="inlineStr">
        <is>
          <t xml:space="preserve">High confidence</t>
        </is>
      </c>
      <c r="I284" s="15"/>
      <c r="J284" s="15" t="inlineStr">
        <is>
          <t xml:space="preserve">SRC-07-01; SRC-07-02</t>
        </is>
      </c>
      <c r="K284" s="15" t="inlineStr">
        <is>
          <t xml:space="preserve">compare group id: CMP-07-036 | event / tradition: Children and the rich ruler | match type: Related Synoptic sequence | member blocks: BLK-07-132; BLK-07-133; BLK-07-134 | narrative flow default: BLK-07-132 | comparison confidence: High confidence | reader behaviour: Keep each account intact. Compare by account and aligned scene; never weave verses into synthetic prose. | editorial notes: Matthew, Mark, and Luke align closely for central scenes while retaining their framing. | source keys: SRC-07-01; SRC-07-02</t>
        </is>
      </c>
    </row>
    <row r="285" ht="34" customHeight="1">
      <c r="A285" s="15" t="inlineStr">
        <is>
          <t xml:space="preserve">v0.7</t>
        </is>
      </c>
      <c r="B285" s="15" t="inlineStr">
        <is>
          <t xml:space="preserve">Bible_Journey_Canon_Map_v0_7_Gospel_Chronology.xlsx</t>
        </is>
      </c>
      <c r="C285" s="15" t="inlineStr">
        <is>
          <t xml:space="preserve">Parallel Groups</t>
        </is>
      </c>
      <c r="D285" s="15" t="inlineStr">
        <is>
          <t xml:space="preserve">CMP-07-037</t>
        </is>
      </c>
      <c r="E285" s="15"/>
      <c r="F285" s="15" t="inlineStr">
        <is>
          <t xml:space="preserve">Luke retains the prediction without the request scene; comparison clarifies scope.</t>
        </is>
      </c>
      <c r="G285" s="15"/>
      <c r="H285" s="15" t="inlineStr">
        <is>
          <t xml:space="preserve">High confidence</t>
        </is>
      </c>
      <c r="I285" s="15"/>
      <c r="J285" s="15" t="inlineStr">
        <is>
          <t xml:space="preserve">SRC-07-01; SRC-07-02</t>
        </is>
      </c>
      <c r="K285" s="15" t="inlineStr">
        <is>
          <t xml:space="preserve">compare group id: CMP-07-037 | event / tradition: Third prediction and servant leadership | match type: Direct/expanded Synoptic accounts | member blocks: BLK-07-135; BLK-07-136; BLK-07-137 | narrative flow default: BLK-07-135 | comparison confidence: High confidence | reader behaviour: Keep each account intact. Compare by account and aligned scene; never weave verses into synthetic prose. | editorial notes: Luke retains the prediction without the request scene; comparison clarifies scope. | source keys: SRC-07-01; SRC-07-02</t>
        </is>
      </c>
    </row>
    <row r="286" ht="34" customHeight="1">
      <c r="A286" s="15" t="inlineStr">
        <is>
          <t xml:space="preserve">v0.7</t>
        </is>
      </c>
      <c r="B286" s="15" t="inlineStr">
        <is>
          <t xml:space="preserve">Bible_Journey_Canon_Map_v0_7_Gospel_Chronology.xlsx</t>
        </is>
      </c>
      <c r="C286" s="15" t="inlineStr">
        <is>
          <t xml:space="preserve">Parallel Groups</t>
        </is>
      </c>
      <c r="D286" s="15" t="inlineStr">
        <is>
          <t xml:space="preserve">CMP-07-038</t>
        </is>
      </c>
      <c r="E286" s="15"/>
      <c r="F286" s="15" t="inlineStr">
        <is>
          <t xml:space="preserve">Surface narrative differences rather than pre-resolving them.</t>
        </is>
      </c>
      <c r="G286" s="15"/>
      <c r="H286" s="15" t="inlineStr">
        <is>
          <t xml:space="preserve">High confidence</t>
        </is>
      </c>
      <c r="I286" s="15"/>
      <c r="J286" s="15" t="inlineStr">
        <is>
          <t xml:space="preserve">SRC-07-01; SRC-07-02</t>
        </is>
      </c>
      <c r="K286" s="15" t="inlineStr">
        <is>
          <t xml:space="preserve">compare group id: CMP-07-038 | event / tradition: Healing near Jericho | match type: Direct Synoptic parallel with details | member blocks: BLK-07-138; BLK-07-139; BLK-07-140 | narrative flow default: BLK-07-138 | comparison confidence: High confidence | reader behaviour: Keep each account intact. Compare by account and aligned scene; never weave verses into synthetic prose. | editorial notes: Surface narrative differences rather than pre-resolving them. | source keys: SRC-07-01; SRC-07-02</t>
        </is>
      </c>
    </row>
    <row r="287" ht="34" customHeight="1">
      <c r="A287" s="15" t="inlineStr">
        <is>
          <t xml:space="preserve">v0.7</t>
        </is>
      </c>
      <c r="B287" s="15" t="inlineStr">
        <is>
          <t xml:space="preserve">Bible_Journey_Canon_Map_v0_7_Gospel_Chronology.xlsx</t>
        </is>
      </c>
      <c r="C287" s="15" t="inlineStr">
        <is>
          <t xml:space="preserve">Parallel Groups</t>
        </is>
      </c>
      <c r="D287" s="15" t="inlineStr">
        <is>
          <t xml:space="preserve">CMP-07-039</t>
        </is>
      </c>
      <c r="E287" s="15"/>
      <c r="F287" s="15" t="inlineStr">
        <is>
          <t xml:space="preserve">John's timing and Synoptic placement are preserved. Do not call Luke 7 a duplicate.</t>
        </is>
      </c>
      <c r="G287" s="15"/>
      <c r="H287" s="15" t="inlineStr">
        <is>
          <t xml:space="preserve">Probable</t>
        </is>
      </c>
      <c r="I287" s="15"/>
      <c r="J287" s="15" t="inlineStr">
        <is>
          <t xml:space="preserve">SRC-07-01; SRC-07-09; SRC-07-10</t>
        </is>
      </c>
      <c r="K287" s="15" t="inlineStr">
        <is>
          <t xml:space="preserve">compare group id: CMP-07-039 | event / tradition: Anointing at Bethany | match type: Direct/related Passion accounts | member blocks: BLK-07-143; BLK-07-144; BLK-07-145 | narrative flow default: BLK-07-143 | comparison confidence: Probable | reader behaviour: Keep each account intact. Compare by account and aligned scene; never weave verses into synthetic prose. | editorial notes: John's timing and Synoptic placement are preserved. Do not call Luke 7 a duplicate. | source keys: SRC-07-01; SRC-07-09; SRC-07-10</t>
        </is>
      </c>
    </row>
    <row r="288" ht="34" customHeight="1">
      <c r="A288" s="15" t="inlineStr">
        <is>
          <t xml:space="preserve">v0.7</t>
        </is>
      </c>
      <c r="B288" s="15" t="inlineStr">
        <is>
          <t xml:space="preserve">Bible_Journey_Canon_Map_v0_7_Gospel_Chronology.xlsx</t>
        </is>
      </c>
      <c r="C288" s="15" t="inlineStr">
        <is>
          <t xml:space="preserve">Parallel Groups</t>
        </is>
      </c>
      <c r="D288" s="15" t="inlineStr">
        <is>
          <t xml:space="preserve">CMP-07-040</t>
        </is>
      </c>
      <c r="E288" s="15"/>
      <c r="F288" s="15" t="inlineStr">
        <is>
          <t xml:space="preserve">Recommended Compare Accounts set; preserve each Gospel's crowd language and framing.</t>
        </is>
      </c>
      <c r="G288" s="15"/>
      <c r="H288" s="15" t="inlineStr">
        <is>
          <t xml:space="preserve">High confidence</t>
        </is>
      </c>
      <c r="I288" s="15"/>
      <c r="J288" s="15" t="inlineStr">
        <is>
          <t xml:space="preserve">SRC-07-01; SRC-07-02; SRC-07-03</t>
        </is>
      </c>
      <c r="K288" s="15" t="inlineStr">
        <is>
          <t xml:space="preserve">compare group id: CMP-07-040 | event / tradition: Triumphal entry | match type: Four-Gospel direct parallel | member blocks: BLK-07-146; BLK-07-147; BLK-07-148; BLK-07-149 | narrative flow default: BLK-07-146 | comparison confidence: High confidence | reader behaviour: Keep each account intact. Compare by account and aligned scene; never weave verses into synthetic prose. | editorial notes: Recommended Compare Accounts set; preserve each Gospel's crowd language and framing. | source keys: SRC-07-01; SRC-07-02; SRC-07-03</t>
        </is>
      </c>
    </row>
    <row r="289" ht="34" customHeight="1">
      <c r="A289" s="15" t="inlineStr">
        <is>
          <t xml:space="preserve">v0.7</t>
        </is>
      </c>
      <c r="B289" s="15" t="inlineStr">
        <is>
          <t xml:space="preserve">Bible_Journey_Canon_Map_v0_7_Gospel_Chronology.xlsx</t>
        </is>
      </c>
      <c r="C289" s="15" t="inlineStr">
        <is>
          <t xml:space="preserve">Parallel Groups</t>
        </is>
      </c>
      <c r="D289" s="15" t="inlineStr">
        <is>
          <t xml:space="preserve">CMP-07-041</t>
        </is>
      </c>
      <c r="E289" s="15"/>
      <c r="F289" s="15" t="inlineStr">
        <is>
          <t xml:space="preserve">Reader distinguishes this from John 2 placement question.</t>
        </is>
      </c>
      <c r="G289" s="15"/>
      <c r="H289" s="15" t="inlineStr">
        <is>
          <t xml:space="preserve">High confidence</t>
        </is>
      </c>
      <c r="I289" s="15"/>
      <c r="J289" s="15" t="inlineStr">
        <is>
          <t xml:space="preserve">SRC-07-01; SRC-07-02</t>
        </is>
      </c>
      <c r="K289" s="15" t="inlineStr">
        <is>
          <t xml:space="preserve">compare group id: CMP-07-041 | event / tradition: Temple action and fig tree | match type: Direct/related Synoptic accounts | member blocks: BLK-07-150; BLK-07-151; BLK-07-152 | narrative flow default: BLK-07-150 | comparison confidence: High confidence | reader behaviour: Keep each account intact. Compare by account and aligned scene; never weave verses into synthetic prose. | editorial notes: Reader distinguishes this from John 2 placement question. | source keys: SRC-07-01; SRC-07-02</t>
        </is>
      </c>
    </row>
    <row r="290" ht="34" customHeight="1">
      <c r="A290" s="15" t="inlineStr">
        <is>
          <t xml:space="preserve">v0.7</t>
        </is>
      </c>
      <c r="B290" s="15" t="inlineStr">
        <is>
          <t xml:space="preserve">Bible_Journey_Canon_Map_v0_7_Gospel_Chronology.xlsx</t>
        </is>
      </c>
      <c r="C290" s="15" t="inlineStr">
        <is>
          <t xml:space="preserve">Parallel Groups</t>
        </is>
      </c>
      <c r="D290" s="15" t="inlineStr">
        <is>
          <t xml:space="preserve">CMP-07-042</t>
        </is>
      </c>
      <c r="E290" s="15"/>
      <c r="F290" s="15" t="inlineStr">
        <is>
          <t xml:space="preserve">Pericope-level compare only; large blocks are not identical in scope.</t>
        </is>
      </c>
      <c r="G290" s="15"/>
      <c r="H290" s="15" t="inlineStr">
        <is>
          <t xml:space="preserve">High confidence</t>
        </is>
      </c>
      <c r="I290" s="15"/>
      <c r="J290" s="15" t="inlineStr">
        <is>
          <t xml:space="preserve">SRC-07-01; SRC-07-02</t>
        </is>
      </c>
      <c r="K290" s="15" t="inlineStr">
        <is>
          <t xml:space="preserve">compare group id: CMP-07-042 | event / tradition: Temple teaching and controversies | match type: Related Synoptic collections | member blocks: BLK-07-153; BLK-07-154; BLK-07-155 | narrative flow default: BLK-07-153 | comparison confidence: High confidence | reader behaviour: Keep each account intact. Compare by account and aligned scene; never weave verses into synthetic prose. | editorial notes: Pericope-level compare only; large blocks are not identical in scope. | source keys: SRC-07-01; SRC-07-02</t>
        </is>
      </c>
    </row>
    <row r="291" ht="34" customHeight="1">
      <c r="A291" s="15" t="inlineStr">
        <is>
          <t xml:space="preserve">v0.7</t>
        </is>
      </c>
      <c r="B291" s="15" t="inlineStr">
        <is>
          <t xml:space="preserve">Bible_Journey_Canon_Map_v0_7_Gospel_Chronology.xlsx</t>
        </is>
      </c>
      <c r="C291" s="15" t="inlineStr">
        <is>
          <t xml:space="preserve">Parallel Groups</t>
        </is>
      </c>
      <c r="D291" s="15" t="inlineStr">
        <is>
          <t xml:space="preserve">CMP-07-043</t>
        </is>
      </c>
      <c r="E291" s="15"/>
      <c r="F291" s="15" t="inlineStr">
        <is>
          <t xml:space="preserve">Do not harmonize eschatological statements into fixed timeline.</t>
        </is>
      </c>
      <c r="G291" s="15"/>
      <c r="H291" s="15" t="inlineStr">
        <is>
          <t xml:space="preserve">High confidence</t>
        </is>
      </c>
      <c r="I291" s="15"/>
      <c r="J291" s="15" t="inlineStr">
        <is>
          <t xml:space="preserve">SRC-07-01; SRC-07-02</t>
        </is>
      </c>
      <c r="K291" s="15" t="inlineStr">
        <is>
          <t xml:space="preserve">compare group id: CMP-07-043 | event / tradition: Olivet discourse | match type: Related Synoptic discourse | member blocks: BLK-07-157; BLK-07-158; BLK-07-159 | narrative flow default: BLK-07-157 | comparison confidence: High confidence | reader behaviour: Keep each account intact. Compare by account and aligned scene; never weave verses into synthetic prose. | editorial notes: Do not harmonize eschatological statements into fixed timeline. | source keys: SRC-07-01; SRC-07-02</t>
        </is>
      </c>
    </row>
    <row r="292" ht="34" customHeight="1">
      <c r="A292" s="15" t="inlineStr">
        <is>
          <t xml:space="preserve">v0.7</t>
        </is>
      </c>
      <c r="B292" s="15" t="inlineStr">
        <is>
          <t xml:space="preserve">Bible_Journey_Canon_Map_v0_7_Gospel_Chronology.xlsx</t>
        </is>
      </c>
      <c r="C292" s="15" t="inlineStr">
        <is>
          <t xml:space="preserve">Parallel Groups</t>
        </is>
      </c>
      <c r="D292" s="15" t="inlineStr">
        <is>
          <t xml:space="preserve">CMP-07-044</t>
        </is>
      </c>
      <c r="E292" s="15"/>
      <c r="F292" s="15" t="inlineStr">
        <is>
          <t xml:space="preserve">Bethany anointing is read before plot as a declared book-order exception.</t>
        </is>
      </c>
      <c r="G292" s="15"/>
      <c r="H292" s="15" t="inlineStr">
        <is>
          <t xml:space="preserve">High confidence</t>
        </is>
      </c>
      <c r="I292" s="15"/>
      <c r="J292" s="15" t="inlineStr">
        <is>
          <t xml:space="preserve">SRC-07-05; SRC-07-09</t>
        </is>
      </c>
      <c r="K292" s="15" t="inlineStr">
        <is>
          <t xml:space="preserve">compare group id: CMP-07-044 | event / tradition: Plot, Judas, and Passover preparation | match type: Direct/related Synoptic accounts | member blocks: BLK-07-160; BLK-07-161; BLK-07-162 | narrative flow default: BLK-07-160 | comparison confidence: High confidence | reader behaviour: Keep each account intact. Compare by account and aligned scene; never weave verses into synthetic prose. | editorial notes: Bethany anointing is read before plot as a declared book-order exception. | source keys: SRC-07-05; SRC-07-09</t>
        </is>
      </c>
    </row>
    <row r="293" ht="34" customHeight="1">
      <c r="A293" s="15" t="inlineStr">
        <is>
          <t xml:space="preserve">v0.7</t>
        </is>
      </c>
      <c r="B293" s="15" t="inlineStr">
        <is>
          <t xml:space="preserve">Bible_Journey_Canon_Map_v0_7_Gospel_Chronology.xlsx</t>
        </is>
      </c>
      <c r="C293" s="15" t="inlineStr">
        <is>
          <t xml:space="preserve">Parallel Groups</t>
        </is>
      </c>
      <c r="D293" s="15" t="inlineStr">
        <is>
          <t xml:space="preserve">CMP-07-045</t>
        </is>
      </c>
      <c r="E293" s="15"/>
      <c r="F293" s="15" t="inlineStr">
        <is>
          <t xml:space="preserve">Use chronology questions drawer instead of asserted reconciliation.</t>
        </is>
      </c>
      <c r="G293" s="15"/>
      <c r="H293" s="15" t="inlineStr">
        <is>
          <t xml:space="preserve">High confidence</t>
        </is>
      </c>
      <c r="I293" s="15"/>
      <c r="J293" s="15" t="inlineStr">
        <is>
          <t xml:space="preserve">SRC-07-05</t>
        </is>
      </c>
      <c r="K293" s="15" t="inlineStr">
        <is>
          <t xml:space="preserve">compare group id: CMP-07-045 | event / tradition: Last Supper | match type: Direct Synoptic parallel | member blocks: BLK-07-163; BLK-07-164; BLK-07-165 | narrative flow default: BLK-07-163 | comparison confidence: High confidence | reader behaviour: Keep each account intact. Compare by account and aligned scene; never weave verses into synthetic prose. | editorial notes: Use chronology questions drawer instead of asserted reconciliation. | source keys: SRC-07-05</t>
        </is>
      </c>
    </row>
    <row r="294" ht="34" customHeight="1">
      <c r="A294" s="15" t="inlineStr">
        <is>
          <t xml:space="preserve">v0.7</t>
        </is>
      </c>
      <c r="B294" s="15" t="inlineStr">
        <is>
          <t xml:space="preserve">Bible_Journey_Canon_Map_v0_7_Gospel_Chronology.xlsx</t>
        </is>
      </c>
      <c r="C294" s="15" t="inlineStr">
        <is>
          <t xml:space="preserve">Parallel Groups</t>
        </is>
      </c>
      <c r="D294" s="15" t="inlineStr">
        <is>
          <t xml:space="preserve">CMP-07-046</t>
        </is>
      </c>
      <c r="E294" s="15"/>
      <c r="F294" s="15" t="inlineStr">
        <is>
          <t xml:space="preserve">John's arrest sequence compares by scene; prayer material remains distinctive in Synoptics.</t>
        </is>
      </c>
      <c r="G294" s="15"/>
      <c r="H294" s="15" t="inlineStr">
        <is>
          <t xml:space="preserve">High confidence</t>
        </is>
      </c>
      <c r="I294" s="15"/>
      <c r="J294" s="15" t="inlineStr">
        <is>
          <t xml:space="preserve">SRC-07-05; SRC-07-09; SRC-07-10</t>
        </is>
      </c>
      <c r="K294" s="15" t="inlineStr">
        <is>
          <t xml:space="preserve">compare group id: CMP-07-046 | event / tradition: Gethsemane and arrest | match type: Four-Gospel related accounts | member blocks: BLK-07-167; BLK-07-168; BLK-07-169; BLK-07-170 | narrative flow default: BLK-07-167 | comparison confidence: High confidence | reader behaviour: Keep each account intact. Compare by account and aligned scene; never weave verses into synthetic prose. | editorial notes: John's arrest sequence compares by scene; prayer material remains distinctive in Synoptics. | source keys: SRC-07-05; SRC-07-09; SRC-07-10</t>
        </is>
      </c>
    </row>
    <row r="295" ht="34" customHeight="1">
      <c r="A295" s="15" t="inlineStr">
        <is>
          <t xml:space="preserve">v0.7</t>
        </is>
      </c>
      <c r="B295" s="15" t="inlineStr">
        <is>
          <t xml:space="preserve">Bible_Journey_Canon_Map_v0_7_Gospel_Chronology.xlsx</t>
        </is>
      </c>
      <c r="C295" s="15" t="inlineStr">
        <is>
          <t xml:space="preserve">Parallel Groups</t>
        </is>
      </c>
      <c r="D295" s="15" t="inlineStr">
        <is>
          <t xml:space="preserve">CMP-07-047</t>
        </is>
      </c>
      <c r="E295" s="15"/>
      <c r="F295" s="15" t="inlineStr">
        <is>
          <t xml:space="preserve">Respect differing narrative sequence; no synthetic hearing transcript.</t>
        </is>
      </c>
      <c r="G295" s="15"/>
      <c r="H295" s="15" t="inlineStr">
        <is>
          <t xml:space="preserve">High confidence</t>
        </is>
      </c>
      <c r="I295" s="15"/>
      <c r="J295" s="15" t="inlineStr">
        <is>
          <t xml:space="preserve">SRC-07-05; SRC-07-08; SRC-07-10</t>
        </is>
      </c>
      <c r="K295" s="15" t="inlineStr">
        <is>
          <t xml:space="preserve">compare group id: CMP-07-047 | event / tradition: Jewish hearings and Peter's denials | match type: Four-Gospel related accounts | member blocks: BLK-07-171; BLK-07-172; BLK-07-173; BLK-07-174 | narrative flow default: BLK-07-171 | comparison confidence: High confidence | reader behaviour: Keep each account intact. Compare by account and aligned scene; never weave verses into synthetic prose. | editorial notes: Respect differing narrative sequence; no synthetic hearing transcript. | source keys: SRC-07-05; SRC-07-08; SRC-07-10</t>
        </is>
      </c>
    </row>
    <row r="296" ht="34" customHeight="1">
      <c r="A296" s="15" t="inlineStr">
        <is>
          <t xml:space="preserve">v0.7</t>
        </is>
      </c>
      <c r="B296" s="15" t="inlineStr">
        <is>
          <t xml:space="preserve">Bible_Journey_Canon_Map_v0_7_Gospel_Chronology.xlsx</t>
        </is>
      </c>
      <c r="C296" s="15" t="inlineStr">
        <is>
          <t xml:space="preserve">Parallel Groups</t>
        </is>
      </c>
      <c r="D296" s="15" t="inlineStr">
        <is>
          <t xml:space="preserve">CMP-07-048</t>
        </is>
      </c>
      <c r="E296" s="15"/>
      <c r="F296" s="15" t="inlineStr">
        <is>
          <t xml:space="preserve">Luke's Herod scene and John's extended dialogue remain distinctive.</t>
        </is>
      </c>
      <c r="G296" s="15"/>
      <c r="H296" s="15" t="inlineStr">
        <is>
          <t xml:space="preserve">High confidence</t>
        </is>
      </c>
      <c r="I296" s="15"/>
      <c r="J296" s="15" t="inlineStr">
        <is>
          <t xml:space="preserve">SRC-07-03; SRC-07-05; SRC-07-08; SRC-07-10</t>
        </is>
      </c>
      <c r="K296" s="15" t="inlineStr">
        <is>
          <t xml:space="preserve">compare group id: CMP-07-048 | event / tradition: Roman trial | match type: Four-Gospel related accounts | member blocks: BLK-07-175; BLK-07-176; BLK-07-177; BLK-07-178 | narrative flow default: BLK-07-175 | comparison confidence: High confidence | reader behaviour: Keep each account intact. Compare by account and aligned scene; never weave verses into synthetic prose. | editorial notes: Luke's Herod scene and John's extended dialogue remain distinctive. | source keys: SRC-07-03; SRC-07-05; SRC-07-08; SRC-07-10</t>
        </is>
      </c>
    </row>
    <row r="297" ht="34" customHeight="1">
      <c r="A297" s="15" t="inlineStr">
        <is>
          <t xml:space="preserve">v0.7</t>
        </is>
      </c>
      <c r="B297" s="15" t="inlineStr">
        <is>
          <t xml:space="preserve">Bible_Journey_Canon_Map_v0_7_Gospel_Chronology.xlsx</t>
        </is>
      </c>
      <c r="C297" s="15" t="inlineStr">
        <is>
          <t xml:space="preserve">Parallel Groups</t>
        </is>
      </c>
      <c r="D297" s="15" t="inlineStr">
        <is>
          <t xml:space="preserve">CMP-07-049</t>
        </is>
      </c>
      <c r="E297" s="15"/>
      <c r="F297" s="15" t="inlineStr">
        <is>
          <t xml:space="preserve">Compare scenes/sayings by Gospel; never create a composite speech.</t>
        </is>
      </c>
      <c r="G297" s="15"/>
      <c r="H297" s="15" t="inlineStr">
        <is>
          <t xml:space="preserve">High confidence</t>
        </is>
      </c>
      <c r="I297" s="15"/>
      <c r="J297" s="15" t="inlineStr">
        <is>
          <t xml:space="preserve">SRC-07-03; SRC-07-05; SRC-07-10</t>
        </is>
      </c>
      <c r="K297" s="15" t="inlineStr">
        <is>
          <t xml:space="preserve">compare group id: CMP-07-049 | event / tradition: Crucifixion | match type: Four-Gospel direct/related accounts | member blocks: BLK-07-179; BLK-07-180; BLK-07-181; BLK-07-182 | narrative flow default: BLK-07-179 | comparison confidence: High confidence | reader behaviour: Keep each account intact. Compare by account and aligned scene; never weave verses into synthetic prose. | editorial notes: Compare scenes/sayings by Gospel; never create a composite speech. | source keys: SRC-07-03; SRC-07-05; SRC-07-10</t>
        </is>
      </c>
    </row>
    <row r="298" ht="34" customHeight="1">
      <c r="A298" s="15" t="inlineStr">
        <is>
          <t xml:space="preserve">v0.7</t>
        </is>
      </c>
      <c r="B298" s="15" t="inlineStr">
        <is>
          <t xml:space="preserve">Bible_Journey_Canon_Map_v0_7_Gospel_Chronology.xlsx</t>
        </is>
      </c>
      <c r="C298" s="15" t="inlineStr">
        <is>
          <t xml:space="preserve">Parallel Groups</t>
        </is>
      </c>
      <c r="D298" s="15" t="inlineStr">
        <is>
          <t xml:space="preserve">CMP-07-050</t>
        </is>
      </c>
      <c r="E298" s="15"/>
      <c r="F298" s="15" t="inlineStr">
        <is>
          <t xml:space="preserve">Matthew's guard material is a distinct feature.</t>
        </is>
      </c>
      <c r="G298" s="15"/>
      <c r="H298" s="15" t="inlineStr">
        <is>
          <t xml:space="preserve">High confidence</t>
        </is>
      </c>
      <c r="I298" s="15"/>
      <c r="J298" s="15" t="inlineStr">
        <is>
          <t xml:space="preserve">SRC-07-05; SRC-07-10</t>
        </is>
      </c>
      <c r="K298" s="15" t="inlineStr">
        <is>
          <t xml:space="preserve">compare group id: CMP-07-050 | event / tradition: Burial | match type: Four-Gospel direct/related accounts | member blocks: BLK-07-183; BLK-07-184; BLK-07-185; BLK-07-186 | narrative flow default: BLK-07-183 | comparison confidence: High confidence | reader behaviour: Keep each account intact. Compare by account and aligned scene; never weave verses into synthetic prose. | editorial notes: Matthew's guard material is a distinct feature. | source keys: SRC-07-05; SRC-07-10</t>
        </is>
      </c>
    </row>
    <row r="299" ht="34" customHeight="1">
      <c r="A299" s="15" t="inlineStr">
        <is>
          <t xml:space="preserve">v0.7</t>
        </is>
      </c>
      <c r="B299" s="15" t="inlineStr">
        <is>
          <t xml:space="preserve">Bible_Journey_Canon_Map_v0_7_Gospel_Chronology.xlsx</t>
        </is>
      </c>
      <c r="C299" s="15" t="inlineStr">
        <is>
          <t xml:space="preserve">Parallel Groups</t>
        </is>
      </c>
      <c r="D299" s="15" t="inlineStr">
        <is>
          <t xml:space="preserve">CMP-07-051</t>
        </is>
      </c>
      <c r="E299" s="15"/>
      <c r="F299" s="15" t="inlineStr">
        <is>
          <t xml:space="preserve">Scene identity is central; exact sequence/location details remain source-aware and non-synthetic.</t>
        </is>
      </c>
      <c r="G299" s="15"/>
      <c r="H299" s="15" t="inlineStr">
        <is>
          <t xml:space="preserve">High confidence</t>
        </is>
      </c>
      <c r="I299" s="15"/>
      <c r="J299" s="15" t="inlineStr">
        <is>
          <t xml:space="preserve">SRC-07-03; SRC-07-05; SRC-07-10</t>
        </is>
      </c>
      <c r="K299" s="15" t="inlineStr">
        <is>
          <t xml:space="preserve">compare group id: CMP-07-051 | event / tradition: Resurrection morning | match type: Four-Gospel related accounts | member blocks: BLK-07-187; BLK-07-188; BLK-07-189; BLK-07-190 | narrative flow default: BLK-07-187 | comparison confidence: High confidence | reader behaviour: Keep each account intact. Compare by account and aligned scene; never weave verses into synthetic prose. | editorial notes: Scene identity is central; exact sequence/location details remain source-aware and non-synthetic. | source keys: SRC-07-03; SRC-07-05; SRC-07-10</t>
        </is>
      </c>
    </row>
    <row r="300" ht="34" customHeight="1">
      <c r="A300" s="15" t="inlineStr">
        <is>
          <t xml:space="preserve">v0.7</t>
        </is>
      </c>
      <c r="B300" s="15" t="inlineStr">
        <is>
          <t xml:space="preserve">Bible_Journey_Canon_Map_v0_7_Gospel_Chronology.xlsx</t>
        </is>
      </c>
      <c r="C300" s="15" t="inlineStr">
        <is>
          <t xml:space="preserve">Parallel Groups</t>
        </is>
      </c>
      <c r="D300" s="15" t="inlineStr">
        <is>
          <t xml:space="preserve">CMP-07-052</t>
        </is>
      </c>
      <c r="E300" s="15"/>
      <c r="F300" s="15" t="inlineStr">
        <is>
          <t xml:space="preserve">Separate Jerusalem/Galilee appearances and Mark 16 note in Study Mode.</t>
        </is>
      </c>
      <c r="G300" s="15"/>
      <c r="H300" s="15" t="inlineStr">
        <is>
          <t xml:space="preserve">Debated</t>
        </is>
      </c>
      <c r="I300" s="15"/>
      <c r="J300" s="15" t="inlineStr">
        <is>
          <t xml:space="preserve">SRC-07-03; SRC-07-05; SRC-07-07; SRC-07-10</t>
        </is>
      </c>
      <c r="K300" s="15" t="inlineStr">
        <is>
          <t xml:space="preserve">compare group id: CMP-07-052 | event / tradition: Resurrection appearances and commission | match type: Related four-Gospel traditions | member blocks: BLK-07-191; BLK-07-192; BLK-07-193; BLK-07-194 | narrative flow default: BLK-07-191 | comparison confidence: Debated | reader behaviour: Keep each account intact. Compare by account and aligned scene; never weave verses into synthetic prose. | editorial notes: Separate Jerusalem/Galilee appearances and Mark 16 note in Study Mode. | source keys: SRC-07-03; SRC-07-05; SRC-07-07; SRC-07-10</t>
        </is>
      </c>
    </row>
    <row r="301" ht="34" customHeight="1">
      <c r="A301" s="15" t="inlineStr">
        <is>
          <t xml:space="preserve">v0.7</t>
        </is>
      </c>
      <c r="B301" s="15" t="inlineStr">
        <is>
          <t xml:space="preserve">Bible_Journey_Canon_Map_v0_7_Gospel_Chronology.xlsx</t>
        </is>
      </c>
      <c r="C301" s="15" t="inlineStr">
        <is>
          <t xml:space="preserve">Harmony Policies</t>
        </is>
      </c>
      <c r="D301" s="15" t="inlineStr">
        <is>
          <t xml:space="preserve">Harmony Policies-297</t>
        </is>
      </c>
      <c r="E301" s="15"/>
      <c r="F301" s="15"/>
      <c r="G301" s="15" t="inlineStr">
        <is>
          <t xml:space="preserve">Never weave Gospel verses from more than one book into synthetic prose.</t>
        </is>
      </c>
      <c r="H301" s="15"/>
      <c r="I301" s="15"/>
      <c r="J301" s="15"/>
      <c r="K301" s="15" t="inlineStr">
        <is>
          <t xml:space="preserve">rule id: IR-07-01 | area: Text integrity | rule: Never weave Gospel verses from more than one book into synthetic prose. | surface / system: Reader / Compare Accounts | priority: Required</t>
        </is>
      </c>
    </row>
    <row r="302" ht="34" customHeight="1">
      <c r="A302" s="15" t="inlineStr">
        <is>
          <t xml:space="preserve">v0.7</t>
        </is>
      </c>
      <c r="B302" s="15" t="inlineStr">
        <is>
          <t xml:space="preserve">Bible_Journey_Canon_Map_v0_7_Gospel_Chronology.xlsx</t>
        </is>
      </c>
      <c r="C302" s="15" t="inlineStr">
        <is>
          <t xml:space="preserve">Harmony Policies</t>
        </is>
      </c>
      <c r="D302" s="15" t="inlineStr">
        <is>
          <t xml:space="preserve">Harmony Policies-298</t>
        </is>
      </c>
      <c r="E302" s="15"/>
      <c r="F302" s="15"/>
      <c r="G302" s="15" t="inlineStr">
        <is>
          <t xml:space="preserve">Mark is a Narrative Flow anchor for many shared Synoptic sequences; this is editorial ordering, not a historical-priority claim.</t>
        </is>
      </c>
      <c r="H302" s="15"/>
      <c r="I302" s="15"/>
      <c r="J302" s="15"/>
      <c r="K302" s="15" t="inlineStr">
        <is>
          <t xml:space="preserve">rule id: IR-07-02 | area: Chronology method | rule: Mark is a Narrative Flow anchor for many shared Synoptic sequences; this is editorial ordering, not a historical-priority claim. | surface / system: CRS engine / Reader | priority: Required</t>
        </is>
      </c>
    </row>
    <row r="303" ht="34" customHeight="1">
      <c r="A303" s="15" t="inlineStr">
        <is>
          <t xml:space="preserve">v0.7</t>
        </is>
      </c>
      <c r="B303" s="15" t="inlineStr">
        <is>
          <t xml:space="preserve">Bible_Journey_Canon_Map_v0_7_Gospel_Chronology.xlsx</t>
        </is>
      </c>
      <c r="C303" s="15" t="inlineStr">
        <is>
          <t xml:space="preserve">Harmony Policies</t>
        </is>
      </c>
      <c r="D303" s="15" t="inlineStr">
        <is>
          <t xml:space="preserve">Harmony Policies-299</t>
        </is>
      </c>
      <c r="E303" s="15"/>
      <c r="F303" s="15"/>
      <c r="G303" s="15" t="inlineStr">
        <is>
          <t xml:space="preserve">John's chronology, festivals, and distinctive material must remain separately identified and never be flattened into Synoptic order.</t>
        </is>
      </c>
      <c r="H303" s="15"/>
      <c r="I303" s="15"/>
      <c r="J303" s="15"/>
      <c r="K303" s="15" t="inlineStr">
        <is>
          <t xml:space="preserve">rule id: IR-07-03 | area: John's distinctiveness | rule: John's chronology, festivals, and distinctive material must remain separately identified and never be flattened into Synoptic order. | surface / system: Reader / Study / Ezra | priority: Required</t>
        </is>
      </c>
    </row>
    <row r="304" ht="34" customHeight="1">
      <c r="A304" s="15" t="inlineStr">
        <is>
          <t xml:space="preserve">v0.7</t>
        </is>
      </c>
      <c r="B304" s="15" t="inlineStr">
        <is>
          <t xml:space="preserve">Bible_Journey_Canon_Map_v0_7_Gospel_Chronology.xlsx</t>
        </is>
      </c>
      <c r="C304" s="15" t="inlineStr">
        <is>
          <t xml:space="preserve">Harmony Policies</t>
        </is>
      </c>
      <c r="D304" s="15" t="inlineStr">
        <is>
          <t xml:space="preserve">Harmony Policies-300</t>
        </is>
      </c>
      <c r="E304" s="15"/>
      <c r="F304" s="15"/>
      <c r="G304" s="15" t="inlineStr">
        <is>
          <t xml:space="preserve">Luke 9:51-19:27 is a guided placement layer with visible placement confidence, not a guaranteed day-by-day itinerary.</t>
        </is>
      </c>
      <c r="H304" s="15"/>
      <c r="I304" s="15"/>
      <c r="J304" s="15"/>
      <c r="K304" s="15" t="inlineStr">
        <is>
          <t xml:space="preserve">rule id: IR-07-04 | area: Luke travel narrative | rule: Luke 9:51-19:27 is a guided placement layer with visible placement confidence, not a guaranteed day-by-day itinerary. | surface / system: Reader / Journey | priority: Required</t>
        </is>
      </c>
    </row>
    <row r="305" ht="34" customHeight="1">
      <c r="A305" s="15" t="inlineStr">
        <is>
          <t xml:space="preserve">v0.7</t>
        </is>
      </c>
      <c r="B305" s="15" t="inlineStr">
        <is>
          <t xml:space="preserve">Bible_Journey_Canon_Map_v0_7_Gospel_Chronology.xlsx</t>
        </is>
      </c>
      <c r="C305" s="15" t="inlineStr">
        <is>
          <t xml:space="preserve">Harmony Policies</t>
        </is>
      </c>
      <c r="D305" s="15" t="inlineStr">
        <is>
          <t xml:space="preserve">Harmony Policies-301</t>
        </is>
      </c>
      <c r="E305" s="15"/>
      <c r="F305" s="15"/>
      <c r="G305" s="15" t="inlineStr">
        <is>
          <t xml:space="preserve">Narrative Flow must not count an un-opened parallel account as read.</t>
        </is>
      </c>
      <c r="H305" s="15"/>
      <c r="I305" s="15"/>
      <c r="J305" s="15"/>
      <c r="K305" s="15" t="inlineStr">
        <is>
          <t xml:space="preserve">rule id: IR-07-05 | area: Parallel completion | rule: Narrative Flow must not count an un-opened parallel account as read. | surface / system: Progress engine | priority: Required</t>
        </is>
      </c>
    </row>
    <row r="306" ht="34" customHeight="1">
      <c r="A306" s="15" t="inlineStr">
        <is>
          <t xml:space="preserve">v0.7</t>
        </is>
      </c>
      <c r="B306" s="15" t="inlineStr">
        <is>
          <t xml:space="preserve">Bible_Journey_Canon_Map_v0_7_Gospel_Chronology.xlsx</t>
        </is>
      </c>
      <c r="C306" s="15" t="inlineStr">
        <is>
          <t xml:space="preserve">Harmony Policies</t>
        </is>
      </c>
      <c r="D306" s="15" t="inlineStr">
        <is>
          <t xml:space="preserve">Harmony Policies-302</t>
        </is>
      </c>
      <c r="E306" s="15"/>
      <c r="F306" s="15"/>
      <c r="G306" s="15" t="inlineStr">
        <is>
          <t xml:space="preserve">Compare Accounts aligns scenes/pericopes and preserves each Gospel tab; no artificial fifth Gospel is created.</t>
        </is>
      </c>
      <c r="H306" s="15"/>
      <c r="I306" s="15"/>
      <c r="J306" s="15"/>
      <c r="K306" s="15" t="inlineStr">
        <is>
          <t xml:space="preserve">rule id: IR-07-06 | area: Compare behavior | rule: Compare Accounts aligns scenes/pericopes and preserves each Gospel tab; no artificial fifth Gospel is created. | surface / system: Compare Accounts | priority: Required</t>
        </is>
      </c>
    </row>
    <row r="307" ht="34" customHeight="1">
      <c r="A307" s="15" t="inlineStr">
        <is>
          <t xml:space="preserve">v0.7</t>
        </is>
      </c>
      <c r="B307" s="15" t="inlineStr">
        <is>
          <t xml:space="preserve">Bible_Journey_Canon_Map_v0_7_Gospel_Chronology.xlsx</t>
        </is>
      </c>
      <c r="C307" s="15" t="inlineStr">
        <is>
          <t xml:space="preserve">Harmony Policies</t>
        </is>
      </c>
      <c r="D307" s="15" t="inlineStr">
        <is>
          <t xml:space="preserve">Harmony Policies-303</t>
        </is>
      </c>
      <c r="E307" s="15"/>
      <c r="F307" s="15"/>
      <c r="G307" s="15" t="inlineStr">
        <is>
          <t xml:space="preserve">John 7:53-8:11 and Mark 16:9-20 follow the selected licensed translation's presentation with transparent notes.</t>
        </is>
      </c>
      <c r="H307" s="15"/>
      <c r="I307" s="15"/>
      <c r="J307" s="15"/>
      <c r="K307" s="15" t="inlineStr">
        <is>
          <t xml:space="preserve">rule id: IR-07-07 | area: Textual variants | rule: John 7:53-8:11 and Mark 16:9-20 follow the selected licensed translation's presentation with transparent notes. | surface / system: Reader / Translation system | priority: Required</t>
        </is>
      </c>
    </row>
    <row r="308" ht="34" customHeight="1">
      <c r="A308" s="15" t="inlineStr">
        <is>
          <t xml:space="preserve">v0.7</t>
        </is>
      </c>
      <c r="B308" s="15" t="inlineStr">
        <is>
          <t xml:space="preserve">Bible_Journey_Canon_Map_v0_7_Gospel_Chronology.xlsx</t>
        </is>
      </c>
      <c r="C308" s="15" t="inlineStr">
        <is>
          <t xml:space="preserve">Harmony Policies</t>
        </is>
      </c>
      <c r="D308" s="15" t="inlineStr">
        <is>
          <t xml:space="preserve">Harmony Policies-304</t>
        </is>
      </c>
      <c r="E308" s="15"/>
      <c r="F308" s="15"/>
      <c r="G308" s="15" t="inlineStr">
        <is>
          <t xml:space="preserve">Event identity, placement in stream, and comparison relationship are separate fields and may not be collapsed into one badge.</t>
        </is>
      </c>
      <c r="H308" s="15"/>
      <c r="I308" s="15"/>
      <c r="J308" s="15"/>
      <c r="K308" s="15" t="inlineStr">
        <is>
          <t xml:space="preserve">rule id: IR-07-08 | area: Confidence display | rule: Event identity, placement in stream, and comparison relationship are separate fields and may not be collapsed into one badge. | surface / system: Study / Ezra | priority: Required</t>
        </is>
      </c>
    </row>
    <row r="309" ht="34" customHeight="1">
      <c r="A309" s="15" t="inlineStr">
        <is>
          <t xml:space="preserve">v0.7</t>
        </is>
      </c>
      <c r="B309" s="15" t="inlineStr">
        <is>
          <t xml:space="preserve">Bible_Journey_Canon_Map_v0_7_Gospel_Chronology.xlsx</t>
        </is>
      </c>
      <c r="C309" s="15" t="inlineStr">
        <is>
          <t xml:space="preserve">Harmony Policies</t>
        </is>
      </c>
      <c r="D309" s="15" t="inlineStr">
        <is>
          <t xml:space="preserve">Harmony Policies-305</t>
        </is>
      </c>
      <c r="E309" s="15"/>
      <c r="F309" s="15"/>
      <c r="G309" s="15" t="inlineStr">
        <is>
          <t xml:space="preserve">Life of Jesus Journeys link to CRS Sets; they never become a second copy of the canonical text.</t>
        </is>
      </c>
      <c r="H309" s="15"/>
      <c r="I309" s="15"/>
      <c r="J309" s="15"/>
      <c r="K309" s="15" t="inlineStr">
        <is>
          <t xml:space="preserve">rule id: IR-07-09 | area: Journey layer | rule: Life of Jesus Journeys link to CRS Sets; they never become a second copy of the canonical text. | surface / system: Journey engine | priority: Required</t>
        </is>
      </c>
    </row>
    <row r="310" ht="34" customHeight="1">
      <c r="A310" s="15" t="inlineStr">
        <is>
          <t xml:space="preserve">v0.7</t>
        </is>
      </c>
      <c r="B310" s="15" t="inlineStr">
        <is>
          <t xml:space="preserve">Bible_Journey_Canon_Map_v0_7_Gospel_Chronology.xlsx</t>
        </is>
      </c>
      <c r="C310" s="15" t="inlineStr">
        <is>
          <t xml:space="preserve">Harmony Policies</t>
        </is>
      </c>
      <c r="D310" s="15" t="inlineStr">
        <is>
          <t xml:space="preserve">Harmony Policies-306</t>
        </is>
      </c>
      <c r="E310" s="15"/>
      <c r="F310" s="15"/>
      <c r="G310" s="15" t="inlineStr">
        <is>
          <t xml:space="preserve">Ezra may explain documented alternatives but must not present an unresolved harmony as settled fact.</t>
        </is>
      </c>
      <c r="H310" s="15"/>
      <c r="I310" s="15"/>
      <c r="J310" s="15"/>
      <c r="K310" s="15" t="inlineStr">
        <is>
          <t xml:space="preserve">rule id: IR-07-10 | area: AI limits | rule: Ezra may explain documented alternatives but must not present an unresolved harmony as settled fact. | surface / system: Ezra | priority: Required</t>
        </is>
      </c>
    </row>
    <row r="311" ht="34" customHeight="1">
      <c r="A311" s="15" t="inlineStr">
        <is>
          <t xml:space="preserve">v0.7</t>
        </is>
      </c>
      <c r="B311" s="15" t="inlineStr">
        <is>
          <t xml:space="preserve">Bible_Journey_Canon_Map_v0_7_Gospel_Chronology.xlsx</t>
        </is>
      </c>
      <c r="C311" s="15" t="inlineStr">
        <is>
          <t xml:space="preserve">Harmony Policies</t>
        </is>
      </c>
      <c r="D311" s="15" t="inlineStr">
        <is>
          <t xml:space="preserve">Harmony Policies-307</t>
        </is>
      </c>
      <c r="E311" s="15"/>
      <c r="F311" s="15"/>
      <c r="G311" s="15" t="inlineStr">
        <is>
          <t xml:space="preserve">Translation selection and copyright notices are handled per licensed text source; map metadata does not grant text rights.</t>
        </is>
      </c>
      <c r="H311" s="15"/>
      <c r="I311" s="15"/>
      <c r="J311" s="15"/>
      <c r="K311" s="15" t="inlineStr">
        <is>
          <t xml:space="preserve">rule id: IR-07-11 | area: Licensing | rule: Translation selection and copyright notices are handled per licensed text source; map metadata does not grant text rights. | surface / system: Library / Legal | priority: Required</t>
        </is>
      </c>
    </row>
    <row r="312" ht="34" customHeight="1">
      <c r="A312" s="15" t="inlineStr">
        <is>
          <t xml:space="preserve">v0.7</t>
        </is>
      </c>
      <c r="B312" s="15" t="inlineStr">
        <is>
          <t xml:space="preserve">Bible_Journey_Canon_Map_v0_7_Gospel_Chronology.xlsx</t>
        </is>
      </c>
      <c r="C312" s="15" t="inlineStr">
        <is>
          <t xml:space="preserve">Harmony Policies</t>
        </is>
      </c>
      <c r="D312" s="15" t="inlineStr">
        <is>
          <t xml:space="preserve">Harmony Policies-308</t>
        </is>
      </c>
      <c r="E312" s="15"/>
      <c r="F312" s="15"/>
      <c r="G312" s="15" t="inlineStr">
        <is>
          <t xml:space="preserve">No public claim of 'complete Gospel chronology' until verse-level continuity, review, and source traceability are signed off.</t>
        </is>
      </c>
      <c r="H312" s="15"/>
      <c r="I312" s="15"/>
      <c r="J312" s="15"/>
      <c r="K312" s="15" t="inlineStr">
        <is>
          <t xml:space="preserve">rule id: IR-07-12 | area: Launch gate | rule: No public claim of 'complete Gospel chronology' until verse-level continuity, review, and source traceability are signed off. | surface / system: Release management | priority: Required</t>
        </is>
      </c>
    </row>
    <row r="313" ht="34" customHeight="1">
      <c r="A313" s="15" t="inlineStr">
        <is>
          <t xml:space="preserve">v0.8</t>
        </is>
      </c>
      <c r="B313" s="15" t="inlineStr">
        <is>
          <t xml:space="preserve">Bible_Journey_Canon_Map_v0_8_Acts_Pauline_Letters.xlsx</t>
        </is>
      </c>
      <c r="C313" s="15" t="inlineStr">
        <is>
          <t xml:space="preserve">Acts-Epistles Links</t>
        </is>
      </c>
      <c r="D313" s="15" t="inlineStr">
        <is>
          <t xml:space="preserve">LNK-001</t>
        </is>
      </c>
      <c r="E313" s="15" t="inlineStr">
        <is>
          <t xml:space="preserve">Acts 11–15</t>
        </is>
      </c>
      <c r="F313" s="15" t="inlineStr">
        <is>
          <t xml:space="preserve">No direct text-level parallel. UI must show competing reconstructions.</t>
        </is>
      </c>
      <c r="G313" s="15" t="inlineStr">
        <is>
          <t xml:space="preserve">Contextual / contested correspondence</t>
        </is>
      </c>
      <c r="H313" s="15" t="inlineStr">
        <is>
          <t xml:space="preserve">Debated</t>
        </is>
      </c>
      <c r="I313" s="15"/>
      <c r="J313" s="15" t="inlineStr">
        <is>
          <t xml:space="preserve">S02; S03</t>
        </is>
      </c>
      <c r="K313" s="15" t="inlineStr">
        <is>
          <t xml:space="preserve">link id: LNK-001 | letter: Galatians | acts anchor: Acts 11–15 | relationship type: Contextual / contested correspondence | default placement: After Acts 14, before Acts 15 | alternative placement(s): After Acts 15, or another Galatia profile | confidence: Debated | reading mode behavior: Complete: read in selected profile; Flow: show link card; Compare: show chronology dossier, never verse merge | compare group: CMP-GAL-ACTS | source key(s): S02; S03 | editorial guardrail: No direct text-level parallel. UI must show competing reconstructions.</t>
        </is>
      </c>
    </row>
    <row r="314" ht="34" customHeight="1">
      <c r="A314" s="15" t="inlineStr">
        <is>
          <t xml:space="preserve">v0.8</t>
        </is>
      </c>
      <c r="B314" s="15" t="inlineStr">
        <is>
          <t xml:space="preserve">Bible_Journey_Canon_Map_v0_8_Acts_Pauline_Letters.xlsx</t>
        </is>
      </c>
      <c r="C314" s="15" t="inlineStr">
        <is>
          <t xml:space="preserve">Acts-Epistles Links</t>
        </is>
      </c>
      <c r="D314" s="15" t="inlineStr">
        <is>
          <t xml:space="preserve">LNK-002</t>
        </is>
      </c>
      <c r="E314" s="15" t="inlineStr">
        <is>
          <t xml:space="preserve">Acts 17:1–18:17</t>
        </is>
      </c>
      <c r="F314" s="15" t="inlineStr">
        <is>
          <t xml:space="preserve">Acts gives Thessalonica and Corinth settings; letter supplies community concerns.</t>
        </is>
      </c>
      <c r="G314" s="15" t="inlineStr">
        <is>
          <t xml:space="preserve">Mission context</t>
        </is>
      </c>
      <c r="H314" s="15" t="inlineStr">
        <is>
          <t xml:space="preserve">Probable</t>
        </is>
      </c>
      <c r="I314" s="15"/>
      <c r="J314" s="15" t="inlineStr">
        <is>
          <t xml:space="preserve">S02; S05</t>
        </is>
      </c>
      <c r="K314" s="15" t="inlineStr">
        <is>
          <t xml:space="preserve">link id: LNK-002 | letter: 1 Thessalonians | acts anchor: Acts 17:1–18:17 | relationship type: Mission context | default placement: After Corinthian ministry begins | alternative placement(s): Same broad mission phase; exact dating not explicit in Acts | confidence: Probable | reading mode behavior: Complete: required; Flow: letter card after Acts 18; Compare: context timeline only | compare group: CMP-THESS | source key(s): S02; S05 | editorial guardrail: Acts gives Thessalonica and Corinth settings; letter supplies community concerns.</t>
        </is>
      </c>
    </row>
    <row r="315" ht="34" customHeight="1">
      <c r="A315" s="15" t="inlineStr">
        <is>
          <t xml:space="preserve">v0.8</t>
        </is>
      </c>
      <c r="B315" s="15" t="inlineStr">
        <is>
          <t xml:space="preserve">Bible_Journey_Canon_Map_v0_8_Acts_Pauline_Letters.xlsx</t>
        </is>
      </c>
      <c r="C315" s="15" t="inlineStr">
        <is>
          <t xml:space="preserve">Acts-Epistles Links</t>
        </is>
      </c>
      <c r="D315" s="15" t="inlineStr">
        <is>
          <t xml:space="preserve">LNK-003</t>
        </is>
      </c>
      <c r="E315" s="15" t="inlineStr">
        <is>
          <t xml:space="preserve">Acts 17:1–18:17</t>
        </is>
      </c>
      <c r="F315" s="15" t="inlineStr">
        <is>
          <t xml:space="preserve">Do not present immediate sequencing as certain.</t>
        </is>
      </c>
      <c r="G315" s="15" t="inlineStr">
        <is>
          <t xml:space="preserve">Mission context</t>
        </is>
      </c>
      <c r="H315" s="15" t="inlineStr">
        <is>
          <t xml:space="preserve">Debated</t>
        </is>
      </c>
      <c r="I315" s="15"/>
      <c r="J315" s="15" t="inlineStr">
        <is>
          <t xml:space="preserve">S02; S06</t>
        </is>
      </c>
      <c r="K315" s="15" t="inlineStr">
        <is>
          <t xml:space="preserve">link id: LNK-003 | letter: 2 Thessalonians | acts anchor: Acts 17:1–18:17 | relationship type: Mission context | default placement: After 1 Thessalonians | alternative placement(s): Order, date, and authorship debated | confidence: Debated | reading mode behavior: Complete: required in profile; Flow: optional clarification; Compare: letter relationship dossier | compare group: CMP-THESS | source key(s): S02; S06 | editorial guardrail: Do not present immediate sequencing as certain.</t>
        </is>
      </c>
    </row>
    <row r="316" ht="34" customHeight="1">
      <c r="A316" s="15" t="inlineStr">
        <is>
          <t xml:space="preserve">v0.8</t>
        </is>
      </c>
      <c r="B316" s="15" t="inlineStr">
        <is>
          <t xml:space="preserve">Bible_Journey_Canon_Map_v0_8_Acts_Pauline_Letters.xlsx</t>
        </is>
      </c>
      <c r="C316" s="15" t="inlineStr">
        <is>
          <t xml:space="preserve">Acts-Epistles Links</t>
        </is>
      </c>
      <c r="D316" s="15" t="inlineStr">
        <is>
          <t xml:space="preserve">LNK-004</t>
        </is>
      </c>
      <c r="E316" s="15" t="inlineStr">
        <is>
          <t xml:space="preserve">Acts 18:23–19:20</t>
        </is>
      </c>
      <c r="F316" s="15" t="inlineStr">
        <is>
          <t xml:space="preserve">The app should distinguish Acts' narrative from the letter's internal travel clues.</t>
        </is>
      </c>
      <c r="G316" s="15" t="inlineStr">
        <is>
          <t xml:space="preserve">Ephesus context</t>
        </is>
      </c>
      <c r="H316" s="15" t="inlineStr">
        <is>
          <t xml:space="preserve">Probable</t>
        </is>
      </c>
      <c r="I316" s="15"/>
      <c r="J316" s="15" t="inlineStr">
        <is>
          <t xml:space="preserve">S04; S01</t>
        </is>
      </c>
      <c r="K316" s="15" t="inlineStr">
        <is>
          <t xml:space="preserve">link id: LNK-004 | letter: 1 Corinthians | acts anchor: Acts 18:23–19:20 | relationship type: Ephesus context | default placement: During Ephesus phase | alternative placement(s): No exact Acts composition scene | confidence: Probable | reading mode behavior: Complete: required; Flow: insert after Ephesus unit; Compare: city/context card | compare group: CMP-COR-Ephesus | source key(s): S04; S01 | editorial guardrail: The app should distinguish Acts' narrative from the letter's internal travel clues.</t>
        </is>
      </c>
    </row>
    <row r="317" ht="34" customHeight="1">
      <c r="A317" s="15" t="inlineStr">
        <is>
          <t xml:space="preserve">v0.8</t>
        </is>
      </c>
      <c r="B317" s="15" t="inlineStr">
        <is>
          <t xml:space="preserve">Bible_Journey_Canon_Map_v0_8_Acts_Pauline_Letters.xlsx</t>
        </is>
      </c>
      <c r="C317" s="15" t="inlineStr">
        <is>
          <t xml:space="preserve">Acts-Epistles Links</t>
        </is>
      </c>
      <c r="D317" s="15" t="inlineStr">
        <is>
          <t xml:space="preserve">LNK-005</t>
        </is>
      </c>
      <c r="E317" s="15" t="inlineStr">
        <is>
          <t xml:space="preserve">Acts 19:21–20:3</t>
        </is>
      </c>
      <c r="F317" s="15" t="inlineStr">
        <is>
          <t xml:space="preserve">Acts omits some movements implied by correspondence.</t>
        </is>
      </c>
      <c r="G317" s="15" t="inlineStr">
        <is>
          <t xml:space="preserve">Macedonian context</t>
        </is>
      </c>
      <c r="H317" s="15" t="inlineStr">
        <is>
          <t xml:space="preserve">Probable</t>
        </is>
      </c>
      <c r="I317" s="15"/>
      <c r="J317" s="15" t="inlineStr">
        <is>
          <t xml:space="preserve">S02; S01</t>
        </is>
      </c>
      <c r="K317" s="15" t="inlineStr">
        <is>
          <t xml:space="preserve">link id: LNK-005 | letter: 2 Corinthians | acts anchor: Acts 19:21–20:3 | relationship type: Macedonian context | default placement: After departure from Ephesus | alternative placement(s): Multiple-letter / multiple-visit reconstructions vary | confidence: Probable | reading mode behavior: Complete: required; Flow: insert after Macedonia departure; Compare: relationship dossier | compare group: CMP-2COR | source key(s): S02; S01 | editorial guardrail: Acts omits some movements implied by correspondence.</t>
        </is>
      </c>
    </row>
    <row r="318" ht="34" customHeight="1">
      <c r="A318" s="15" t="inlineStr">
        <is>
          <t xml:space="preserve">v0.8</t>
        </is>
      </c>
      <c r="B318" s="15" t="inlineStr">
        <is>
          <t xml:space="preserve">Bible_Journey_Canon_Map_v0_8_Acts_Pauline_Letters.xlsx</t>
        </is>
      </c>
      <c r="C318" s="15" t="inlineStr">
        <is>
          <t xml:space="preserve">Acts-Epistles Links</t>
        </is>
      </c>
      <c r="D318" s="15" t="inlineStr">
        <is>
          <t xml:space="preserve">LNK-006</t>
        </is>
      </c>
      <c r="E318" s="15" t="inlineStr">
        <is>
          <t xml:space="preserve">Acts 20:3–6</t>
        </is>
      </c>
      <c r="F318" s="15" t="inlineStr">
        <is>
          <t xml:space="preserve">Place before Acts 20:7 in default stream.</t>
        </is>
      </c>
      <c r="G318" s="15" t="inlineStr">
        <is>
          <t xml:space="preserve">Achaian / Greece context</t>
        </is>
      </c>
      <c r="H318" s="15" t="inlineStr">
        <is>
          <t xml:space="preserve">Probable</t>
        </is>
      </c>
      <c r="I318" s="15"/>
      <c r="J318" s="15" t="inlineStr">
        <is>
          <t xml:space="preserve">S02</t>
        </is>
      </c>
      <c r="K318" s="15" t="inlineStr">
        <is>
          <t xml:space="preserve">link id: LNK-006 | letter: Romans | acts anchor: Acts 20:3–6 | relationship type: Achaian / Greece context | default placement: During the Greece/Achaia period before Jerusalem | alternative placement(s): Exact locale details depend on reconstruction | confidence: Probable | reading mode behavior: Complete: required; Flow: insert before Troas; Compare: travel and collection context | compare group: CMP-ROM | source key(s): S02 | editorial guardrail: Place before Acts 20:7 in default stream.</t>
        </is>
      </c>
    </row>
    <row r="319" ht="34" customHeight="1">
      <c r="A319" s="15" t="inlineStr">
        <is>
          <t xml:space="preserve">v0.8</t>
        </is>
      </c>
      <c r="B319" s="15" t="inlineStr">
        <is>
          <t xml:space="preserve">Bible_Journey_Canon_Map_v0_8_Acts_Pauline_Letters.xlsx</t>
        </is>
      </c>
      <c r="C319" s="15" t="inlineStr">
        <is>
          <t xml:space="preserve">Acts-Epistles Links</t>
        </is>
      </c>
      <c r="D319" s="15" t="inlineStr">
        <is>
          <t xml:space="preserve">LNK-007</t>
        </is>
      </c>
      <c r="E319" s="15" t="inlineStr">
        <is>
          <t xml:space="preserve">Acts 24–28</t>
        </is>
      </c>
      <c r="F319" s="15" t="inlineStr">
        <is>
          <t xml:space="preserve">Not a parallel account of Acts.</t>
        </is>
      </c>
      <c r="G319" s="15" t="inlineStr">
        <is>
          <t xml:space="preserve">Imprisonment dossier</t>
        </is>
      </c>
      <c r="H319" s="15" t="inlineStr">
        <is>
          <t xml:space="preserve">Probable</t>
        </is>
      </c>
      <c r="I319" s="15"/>
      <c r="J319" s="15" t="inlineStr">
        <is>
          <t xml:space="preserve">S02; S06</t>
        </is>
      </c>
      <c r="K319" s="15" t="inlineStr">
        <is>
          <t xml:space="preserve">link id: LNK-007 | letter: Philemon | acts anchor: Acts 24–28 | relationship type: Imprisonment dossier | default placement: Roman detention dossier after Acts 28 | alternative placement(s): Caesarea and Ephesus are alternate proposals | confidence: Probable | reading mode behavior: Complete: required; Flow: grouped letter dossier; Compare: imprisonment-location options | compare group: CMP-PRISON | source key(s): S02; S06 | editorial guardrail: Not a parallel account of Acts.</t>
        </is>
      </c>
    </row>
    <row r="320" ht="34" customHeight="1">
      <c r="A320" s="15" t="inlineStr">
        <is>
          <t xml:space="preserve">v0.8</t>
        </is>
      </c>
      <c r="B320" s="15" t="inlineStr">
        <is>
          <t xml:space="preserve">Bible_Journey_Canon_Map_v0_8_Acts_Pauline_Letters.xlsx</t>
        </is>
      </c>
      <c r="C320" s="15" t="inlineStr">
        <is>
          <t xml:space="preserve">Acts-Epistles Links</t>
        </is>
      </c>
      <c r="D320" s="15" t="inlineStr">
        <is>
          <t xml:space="preserve">LNK-008</t>
        </is>
      </c>
      <c r="E320" s="15" t="inlineStr">
        <is>
          <t xml:space="preserve">Acts 24–28</t>
        </is>
      </c>
      <c r="F320" s="15" t="inlineStr">
        <is>
          <t xml:space="preserve">No claim that Acts 28 directly narrates composition.</t>
        </is>
      </c>
      <c r="G320" s="15" t="inlineStr">
        <is>
          <t xml:space="preserve">Imprisonment dossier</t>
        </is>
      </c>
      <c r="H320" s="15" t="inlineStr">
        <is>
          <t xml:space="preserve">Debated</t>
        </is>
      </c>
      <c r="I320" s="15"/>
      <c r="J320" s="15" t="inlineStr">
        <is>
          <t xml:space="preserve">S06</t>
        </is>
      </c>
      <c r="K320" s="15" t="inlineStr">
        <is>
          <t xml:space="preserve">link id: LNK-008 | letter: Colossians | acts anchor: Acts 24–28 | relationship type: Imprisonment dossier | default placement: Roman detention dossier after Acts 28 | alternative placement(s): Authorship and location debated | confidence: Debated | reading mode behavior: Complete: required; Flow: grouped letter dossier; Compare: authorship/location disclosure | compare group: CMP-PRISON | source key(s): S06 | editorial guardrail: No claim that Acts 28 directly narrates composition.</t>
        </is>
      </c>
    </row>
    <row r="321" ht="34" customHeight="1">
      <c r="A321" s="15" t="inlineStr">
        <is>
          <t xml:space="preserve">v0.8</t>
        </is>
      </c>
      <c r="B321" s="15" t="inlineStr">
        <is>
          <t xml:space="preserve">Bible_Journey_Canon_Map_v0_8_Acts_Pauline_Letters.xlsx</t>
        </is>
      </c>
      <c r="C321" s="15" t="inlineStr">
        <is>
          <t xml:space="preserve">Acts-Epistles Links</t>
        </is>
      </c>
      <c r="D321" s="15" t="inlineStr">
        <is>
          <t xml:space="preserve">LNK-009</t>
        </is>
      </c>
      <c r="E321" s="15" t="inlineStr">
        <is>
          <t xml:space="preserve">Acts 24–28</t>
        </is>
      </c>
      <c r="F321" s="15" t="inlineStr">
        <is>
          <t xml:space="preserve">Needs clear UI language.</t>
        </is>
      </c>
      <c r="G321" s="15" t="inlineStr">
        <is>
          <t xml:space="preserve">Imprisonment dossier</t>
        </is>
      </c>
      <c r="H321" s="15" t="inlineStr">
        <is>
          <t xml:space="preserve">Debated</t>
        </is>
      </c>
      <c r="I321" s="15"/>
      <c r="J321" s="15" t="inlineStr">
        <is>
          <t xml:space="preserve">S06</t>
        </is>
      </c>
      <c r="K321" s="15" t="inlineStr">
        <is>
          <t xml:space="preserve">link id: LNK-009 | letter: Ephesians | acts anchor: Acts 24–28 | relationship type: Imprisonment dossier | default placement: Roman detention dossier after Acts 28 | alternative placement(s): Authorship/location debated | confidence: Debated | reading mode behavior: Complete: required; Flow: grouped letter dossier; Compare: authorship/location disclosure | compare group: CMP-PRISON | source key(s): S06 | editorial guardrail: Needs clear UI language.</t>
        </is>
      </c>
    </row>
    <row r="322" ht="34" customHeight="1">
      <c r="A322" s="15" t="inlineStr">
        <is>
          <t xml:space="preserve">v0.8</t>
        </is>
      </c>
      <c r="B322" s="15" t="inlineStr">
        <is>
          <t xml:space="preserve">Bible_Journey_Canon_Map_v0_8_Acts_Pauline_Letters.xlsx</t>
        </is>
      </c>
      <c r="C322" s="15" t="inlineStr">
        <is>
          <t xml:space="preserve">Acts-Epistles Links</t>
        </is>
      </c>
      <c r="D322" s="15" t="inlineStr">
        <is>
          <t xml:space="preserve">LNK-010</t>
        </is>
      </c>
      <c r="E322" s="15" t="inlineStr">
        <is>
          <t xml:space="preserve">Acts 24–28</t>
        </is>
      </c>
      <c r="F322" s="15" t="inlineStr">
        <is>
          <t xml:space="preserve">Avoid fixed city claim in user-facing header.</t>
        </is>
      </c>
      <c r="G322" s="15" t="inlineStr">
        <is>
          <t xml:space="preserve">Imprisonment dossier</t>
        </is>
      </c>
      <c r="H322" s="15" t="inlineStr">
        <is>
          <t xml:space="preserve">Probable</t>
        </is>
      </c>
      <c r="I322" s="15"/>
      <c r="J322" s="15" t="inlineStr">
        <is>
          <t xml:space="preserve">S02; S06</t>
        </is>
      </c>
      <c r="K322" s="15" t="inlineStr">
        <is>
          <t xml:space="preserve">link id: LNK-010 | letter: Philippians | acts anchor: Acts 24–28 | relationship type: Imprisonment dossier | default placement: Roman detention dossier after Acts 28 | alternative placement(s): Ephesus/Caesarea/Rome proposals | confidence: Probable | reading mode behavior: Complete: required; Flow: grouped letter dossier; Compare: placement options | compare group: CMP-PRISON | source key(s): S02; S06 | editorial guardrail: Avoid fixed city claim in user-facing header.</t>
        </is>
      </c>
    </row>
    <row r="323" ht="34" customHeight="1">
      <c r="A323" s="15" t="inlineStr">
        <is>
          <t xml:space="preserve">v0.8</t>
        </is>
      </c>
      <c r="B323" s="15" t="inlineStr">
        <is>
          <t xml:space="preserve">Bible_Journey_Canon_Map_v0_8_Acts_Pauline_Letters.xlsx</t>
        </is>
      </c>
      <c r="C323" s="15" t="inlineStr">
        <is>
          <t xml:space="preserve">Acts-Epistles Links</t>
        </is>
      </c>
      <c r="D323" s="15" t="inlineStr">
        <is>
          <t xml:space="preserve">LNK-011</t>
        </is>
      </c>
      <c r="E323" s="15" t="inlineStr">
        <is>
          <t xml:space="preserve">Post-Acts</t>
        </is>
      </c>
      <c r="F323" s="15" t="inlineStr">
        <is>
          <t xml:space="preserve">Must not imply Acts supplies direct setting.</t>
        </is>
      </c>
      <c r="G323" s="15" t="inlineStr">
        <is>
          <t xml:space="preserve">Traditional post-Acts extension</t>
        </is>
      </c>
      <c r="H323" s="15" t="inlineStr">
        <is>
          <t xml:space="preserve">Debated</t>
        </is>
      </c>
      <c r="I323" s="15"/>
      <c r="J323" s="15" t="inlineStr">
        <is>
          <t xml:space="preserve">S06</t>
        </is>
      </c>
      <c r="K323" s="15" t="inlineStr">
        <is>
          <t xml:space="preserve">link id: LNK-011 | letter: 1 Timothy | acts anchor: Post-Acts | relationship type: Traditional post-Acts extension | default placement: After Acts 28 / traditional profile | alternative placement(s): Authorship and chronology debated | confidence: Debated | reading mode behavior: Complete: required in canonical stream; Flow: label as post-Acts tradition; Compare: profile disclosures | compare group: CMP-PASTORALS | source key(s): S06 | editorial guardrail: Must not imply Acts supplies direct setting.</t>
        </is>
      </c>
    </row>
    <row r="324" ht="34" customHeight="1">
      <c r="A324" s="15" t="inlineStr">
        <is>
          <t xml:space="preserve">v0.8</t>
        </is>
      </c>
      <c r="B324" s="15" t="inlineStr">
        <is>
          <t xml:space="preserve">Bible_Journey_Canon_Map_v0_8_Acts_Pauline_Letters.xlsx</t>
        </is>
      </c>
      <c r="C324" s="15" t="inlineStr">
        <is>
          <t xml:space="preserve">Acts-Epistles Links</t>
        </is>
      </c>
      <c r="D324" s="15" t="inlineStr">
        <is>
          <t xml:space="preserve">LNK-012</t>
        </is>
      </c>
      <c r="E324" s="15" t="inlineStr">
        <is>
          <t xml:space="preserve">Post-Acts</t>
        </is>
      </c>
      <c r="F324" s="15" t="inlineStr">
        <is>
          <t xml:space="preserve">Must not imply Acts supplies direct setting.</t>
        </is>
      </c>
      <c r="G324" s="15" t="inlineStr">
        <is>
          <t xml:space="preserve">Traditional post-Acts extension</t>
        </is>
      </c>
      <c r="H324" s="15" t="inlineStr">
        <is>
          <t xml:space="preserve">Debated</t>
        </is>
      </c>
      <c r="I324" s="15"/>
      <c r="J324" s="15" t="inlineStr">
        <is>
          <t xml:space="preserve">S06</t>
        </is>
      </c>
      <c r="K324" s="15" t="inlineStr">
        <is>
          <t xml:space="preserve">link id: LNK-012 | letter: Titus | acts anchor: Post-Acts | relationship type: Traditional post-Acts extension | default placement: After Acts 28 / traditional profile | alternative placement(s): Authorship and chronology debated | confidence: Debated | reading mode behavior: Complete: required in canonical stream; Flow: label as post-Acts tradition; Compare: profile disclosures | compare group: CMP-PASTORALS | source key(s): S06 | editorial guardrail: Must not imply Acts supplies direct setting.</t>
        </is>
      </c>
    </row>
    <row r="325" ht="34" customHeight="1">
      <c r="A325" s="15" t="inlineStr">
        <is>
          <t xml:space="preserve">v0.8</t>
        </is>
      </c>
      <c r="B325" s="15" t="inlineStr">
        <is>
          <t xml:space="preserve">Bible_Journey_Canon_Map_v0_8_Acts_Pauline_Letters.xlsx</t>
        </is>
      </c>
      <c r="C325" s="15" t="inlineStr">
        <is>
          <t xml:space="preserve">Acts-Epistles Links</t>
        </is>
      </c>
      <c r="D325" s="15" t="inlineStr">
        <is>
          <t xml:space="preserve">LNK-013</t>
        </is>
      </c>
      <c r="E325" s="15" t="inlineStr">
        <is>
          <t xml:space="preserve">Post-Acts</t>
        </is>
      </c>
      <c r="F325" s="15" t="inlineStr">
        <is>
          <t xml:space="preserve">No exact date claim.</t>
        </is>
      </c>
      <c r="G325" s="15" t="inlineStr">
        <is>
          <t xml:space="preserve">Traditional final-imprisonment extension</t>
        </is>
      </c>
      <c r="H325" s="15" t="inlineStr">
        <is>
          <t xml:space="preserve">Debated</t>
        </is>
      </c>
      <c r="I325" s="15"/>
      <c r="J325" s="15" t="inlineStr">
        <is>
          <t xml:space="preserve">S06</t>
        </is>
      </c>
      <c r="K325" s="15" t="inlineStr">
        <is>
          <t xml:space="preserve">link id: LNK-013 | letter: 2 Timothy | acts anchor: Post-Acts | relationship type: Traditional final-imprisonment extension | default placement: After 1 Timothy and Titus under traditional profile | alternative placement(s): Authorship and chronology debated | confidence: Debated | reading mode behavior: Complete: required in canonical stream; Flow: label as traditional final-imprisonment arrangement; Compare: profile disclosures | compare group: CMP-PASTORALS | source key(s): S06 | editorial guardrail: No exact date claim.</t>
        </is>
      </c>
    </row>
    <row r="326" ht="34" customHeight="1">
      <c r="A326" s="15" t="inlineStr">
        <is>
          <t xml:space="preserve">v0.9</t>
        </is>
      </c>
      <c r="B326" s="15" t="inlineStr">
        <is>
          <t xml:space="preserve">Bible_Journey_Canon_Map_v0_9_General_Letters_Revelation.xlsx</t>
        </is>
      </c>
      <c r="C326" s="15" t="inlineStr">
        <is>
          <t xml:space="preserve">Context Bridges</t>
        </is>
      </c>
      <c r="D326" s="15" t="inlineStr">
        <is>
          <t xml:space="preserve">CTX-001</t>
        </is>
      </c>
      <c r="E326" s="15" t="inlineStr">
        <is>
          <t xml:space="preserve">Hebrews 1–13</t>
        </is>
      </c>
      <c r="F326" s="15" t="inlineStr">
        <is>
          <t xml:space="preserve">Genesis; Exodus; Leviticus; Psalms; Jeremiah</t>
        </is>
      </c>
      <c r="G326" s="15" t="inlineStr">
        <is>
          <t xml:space="preserve">Intertextual study map</t>
        </is>
      </c>
      <c r="H326" s="15" t="inlineStr">
        <is>
          <t xml:space="preserve">High</t>
        </is>
      </c>
      <c r="I326" s="15"/>
      <c r="J326" s="15" t="inlineStr">
        <is>
          <t xml:space="preserve">S01; S02</t>
        </is>
      </c>
      <c r="K326" s="15" t="inlineStr">
        <is>
          <t xml:space="preserve">context id: CTX-001 | title: Hebrews ↔ Israel Scriptures | anchor reading: Hebrews 1–13 | related sources: Genesis; Exodus; Leviticus; Psalms; Jeremiah | bridge type: Intertextual study map | confidence: High | user-facing rule: Show citation pathways and topic cards. Do not splice quotations and source passages into a synthetic text. | compare group: CMP-HEB-OT | source key(s): S01; S02</t>
        </is>
      </c>
    </row>
    <row r="327" ht="34" customHeight="1">
      <c r="A327" s="15" t="inlineStr">
        <is>
          <t xml:space="preserve">v0.9</t>
        </is>
      </c>
      <c r="B327" s="15" t="inlineStr">
        <is>
          <t xml:space="preserve">Bible_Journey_Canon_Map_v0_9_General_Letters_Revelation.xlsx</t>
        </is>
      </c>
      <c r="C327" s="15" t="inlineStr">
        <is>
          <t xml:space="preserve">Context Bridges</t>
        </is>
      </c>
      <c r="D327" s="15" t="inlineStr">
        <is>
          <t xml:space="preserve">CTX-002</t>
        </is>
      </c>
      <c r="E327" s="15" t="inlineStr">
        <is>
          <t xml:space="preserve">James 1–5</t>
        </is>
      </c>
      <c r="F327" s="15" t="inlineStr">
        <is>
          <t xml:space="preserve">Acts 12; Acts 15; Galatians 1–2</t>
        </is>
      </c>
      <c r="G327" s="15" t="inlineStr">
        <is>
          <t xml:space="preserve">Historical / thematic context</t>
        </is>
      </c>
      <c r="H327" s="15" t="inlineStr">
        <is>
          <t xml:space="preserve">Debated</t>
        </is>
      </c>
      <c r="I327" s="15"/>
      <c r="J327" s="15" t="inlineStr">
        <is>
          <t xml:space="preserve">S03; S04</t>
        </is>
      </c>
      <c r="K327" s="15" t="inlineStr">
        <is>
          <t xml:space="preserve">context id: CTX-002 | title: James ↔ Jerusalem movement | anchor reading: James 1–5 | related sources: Acts 12; Acts 15; Galatians 1–2 | bridge type: Historical / thematic context | confidence: Debated | user-facing rule: Show that James is a major early-Christian figure in multiple sources; do not claim the letter itself was written at a dated Acts scene. | compare group: CMP-JAMES-PAUL | source key(s): S03; S04</t>
        </is>
      </c>
    </row>
    <row r="328" ht="34" customHeight="1">
      <c r="A328" s="15" t="inlineStr">
        <is>
          <t xml:space="preserve">v0.9</t>
        </is>
      </c>
      <c r="B328" s="15" t="inlineStr">
        <is>
          <t xml:space="preserve">Bible_Journey_Canon_Map_v0_9_General_Letters_Revelation.xlsx</t>
        </is>
      </c>
      <c r="C328" s="15" t="inlineStr">
        <is>
          <t xml:space="preserve">Context Bridges</t>
        </is>
      </c>
      <c r="D328" s="15" t="inlineStr">
        <is>
          <t xml:space="preserve">CTX-003</t>
        </is>
      </c>
      <c r="E328" s="15" t="inlineStr">
        <is>
          <t xml:space="preserve">James 2</t>
        </is>
      </c>
      <c r="F328" s="15" t="inlineStr">
        <is>
          <t xml:space="preserve">Romans 3–4; Galatians 2–3</t>
        </is>
      </c>
      <c r="G328" s="15" t="inlineStr">
        <is>
          <t xml:space="preserve">Thematic comparison</t>
        </is>
      </c>
      <c r="H328" s="15" t="inlineStr">
        <is>
          <t xml:space="preserve">Debated</t>
        </is>
      </c>
      <c r="I328" s="15"/>
      <c r="J328" s="15" t="inlineStr">
        <is>
          <t xml:space="preserve">S03; S04</t>
        </is>
      </c>
      <c r="K328" s="15" t="inlineStr">
        <is>
          <t xml:space="preserve">context id: CTX-003 | title: James ↔ Paul | anchor reading: James 2 | related sources: Romans 3–4; Galatians 2–3 | bridge type: Thematic comparison | confidence: Debated | user-facing rule: Offer a compare-themes tool with sources. Never present as a direct chronological debate or personal exchange. | compare group: CMP-JAMES-PAUL | source key(s): S03; S04</t>
        </is>
      </c>
    </row>
    <row r="329" ht="34" customHeight="1">
      <c r="A329" s="15" t="inlineStr">
        <is>
          <t xml:space="preserve">v0.9</t>
        </is>
      </c>
      <c r="B329" s="15" t="inlineStr">
        <is>
          <t xml:space="preserve">Bible_Journey_Canon_Map_v0_9_General_Letters_Revelation.xlsx</t>
        </is>
      </c>
      <c r="C329" s="15" t="inlineStr">
        <is>
          <t xml:space="preserve">Context Bridges</t>
        </is>
      </c>
      <c r="D329" s="15" t="inlineStr">
        <is>
          <t xml:space="preserve">CTX-004</t>
        </is>
      </c>
      <c r="E329" s="15" t="inlineStr">
        <is>
          <t xml:space="preserve">1 Peter 1–5</t>
        </is>
      </c>
      <c r="F329" s="15" t="inlineStr">
        <is>
          <t xml:space="preserve">Asia Minor geography; Acts mission map</t>
        </is>
      </c>
      <c r="G329" s="15" t="inlineStr">
        <is>
          <t xml:space="preserve">Regional context</t>
        </is>
      </c>
      <c r="H329" s="15" t="inlineStr">
        <is>
          <t xml:space="preserve">Probable</t>
        </is>
      </c>
      <c r="I329" s="15"/>
      <c r="J329" s="15" t="inlineStr">
        <is>
          <t xml:space="preserve">S05; S06</t>
        </is>
      </c>
      <c r="K329" s="15" t="inlineStr">
        <is>
          <t xml:space="preserve">context id: CTX-004 | title: Petrine diaspora | anchor reading: 1 Peter 1–5 | related sources: Asia Minor geography; Acts mission map | bridge type: Regional context | confidence: Probable | user-facing rule: Show regional map and diaspora language as study context. Do not claim an exact Acts timeline placement. | compare group: CMP-PETRINE-DIASPORA | source key(s): S05; S06</t>
        </is>
      </c>
    </row>
    <row r="330" ht="34" customHeight="1">
      <c r="A330" s="15" t="inlineStr">
        <is>
          <t xml:space="preserve">v0.9</t>
        </is>
      </c>
      <c r="B330" s="15" t="inlineStr">
        <is>
          <t xml:space="preserve">Bible_Journey_Canon_Map_v0_9_General_Letters_Revelation.xlsx</t>
        </is>
      </c>
      <c r="C330" s="15" t="inlineStr">
        <is>
          <t xml:space="preserve">Context Bridges</t>
        </is>
      </c>
      <c r="D330" s="15" t="inlineStr">
        <is>
          <t xml:space="preserve">CTX-005</t>
        </is>
      </c>
      <c r="E330" s="15" t="inlineStr">
        <is>
          <t xml:space="preserve">Jude; 2 Peter 2–3</t>
        </is>
      </c>
      <c r="F330" s="15" t="inlineStr">
        <is>
          <t xml:space="preserve">Jude; 2 Peter 2–3</t>
        </is>
      </c>
      <c r="G330" s="15" t="inlineStr">
        <is>
          <t xml:space="preserve">Textual relationship dossier</t>
        </is>
      </c>
      <c r="H330" s="15" t="inlineStr">
        <is>
          <t xml:space="preserve">Debated</t>
        </is>
      </c>
      <c r="I330" s="15"/>
      <c r="J330" s="15" t="inlineStr">
        <is>
          <t xml:space="preserve">S08; S11</t>
        </is>
      </c>
      <c r="K330" s="15" t="inlineStr">
        <is>
          <t xml:space="preserve">context id: CTX-005 | title: Jude ↔ 2 Peter | anchor reading: Jude; 2 Peter 2–3 | related sources: Jude; 2 Peter 2–3 | bridge type: Textual relationship dossier | confidence: Debated | user-facing rule: Display overlapping themes and candidate relationship models. Keep both canonical letters distinct. | compare group: CMP-JUDE-2PET | source key(s): S08; S11</t>
        </is>
      </c>
    </row>
    <row r="331" ht="34" customHeight="1">
      <c r="A331" s="15" t="inlineStr">
        <is>
          <t xml:space="preserve">v0.9</t>
        </is>
      </c>
      <c r="B331" s="15" t="inlineStr">
        <is>
          <t xml:space="preserve">Bible_Journey_Canon_Map_v0_9_General_Letters_Revelation.xlsx</t>
        </is>
      </c>
      <c r="C331" s="15" t="inlineStr">
        <is>
          <t xml:space="preserve">Context Bridges</t>
        </is>
      </c>
      <c r="D331" s="15" t="inlineStr">
        <is>
          <t xml:space="preserve">CTX-006</t>
        </is>
      </c>
      <c r="E331" s="15" t="inlineStr">
        <is>
          <t xml:space="preserve">1 John; 2 John; 3 John</t>
        </is>
      </c>
      <c r="F331" s="15" t="inlineStr">
        <is>
          <t xml:space="preserve">Gospel of John</t>
        </is>
      </c>
      <c r="G331" s="15" t="inlineStr">
        <is>
          <t xml:space="preserve">Literary/community dossier</t>
        </is>
      </c>
      <c r="H331" s="15" t="inlineStr">
        <is>
          <t xml:space="preserve">Debated</t>
        </is>
      </c>
      <c r="I331" s="15"/>
      <c r="J331" s="15" t="inlineStr">
        <is>
          <t xml:space="preserve">S09; S10</t>
        </is>
      </c>
      <c r="K331" s="15" t="inlineStr">
        <is>
          <t xml:space="preserve">context id: CTX-006 | title: Johannine correspondence | anchor reading: 1 John; 2 John; 3 John | related sources: Gospel of John | bridge type: Literary/community dossier | confidence: Debated | user-facing rule: Show parallels and distinctions with source labels. Do not label a community chronology as settled fact. | compare group: CMP-JOHANNINE | source key(s): S09; S10</t>
        </is>
      </c>
    </row>
    <row r="332" ht="34" customHeight="1">
      <c r="A332" s="15" t="inlineStr">
        <is>
          <t xml:space="preserve">v0.9</t>
        </is>
      </c>
      <c r="B332" s="15" t="inlineStr">
        <is>
          <t xml:space="preserve">Bible_Journey_Canon_Map_v0_9_General_Letters_Revelation.xlsx</t>
        </is>
      </c>
      <c r="C332" s="15" t="inlineStr">
        <is>
          <t xml:space="preserve">Context Bridges</t>
        </is>
      </c>
      <c r="D332" s="15" t="inlineStr">
        <is>
          <t xml:space="preserve">CTX-007</t>
        </is>
      </c>
      <c r="E332" s="15" t="inlineStr">
        <is>
          <t xml:space="preserve">Revelation 2–3</t>
        </is>
      </c>
      <c r="F332" s="15" t="inlineStr">
        <is>
          <t xml:space="preserve">Ephesus; Smyrna; Pergamum; Thyatira; Sardis; Philadelphia; Laodicea</t>
        </is>
      </c>
      <c r="G332" s="15" t="inlineStr">
        <is>
          <t xml:space="preserve">Historical geography</t>
        </is>
      </c>
      <c r="H332" s="15" t="inlineStr">
        <is>
          <t xml:space="preserve">High</t>
        </is>
      </c>
      <c r="I332" s="15"/>
      <c r="J332" s="15" t="inlineStr">
        <is>
          <t xml:space="preserve">S13; S14</t>
        </is>
      </c>
      <c r="K332" s="15" t="inlineStr">
        <is>
          <t xml:space="preserve">context id: CTX-007 | title: Seven cities of Revelation | anchor reading: Revelation 2–3 | related sources: Ephesus; Smyrna; Pergamum; Thyatira; Sardis; Philadelphia; Laodicea | bridge type: Historical geography | confidence: High | user-facing rule: Use map cards and local context. This does not establish a global prophecy chronology. | compare group: CMP-REV-SEVEN-CITIES | source key(s): S13; S14</t>
        </is>
      </c>
    </row>
    <row r="333" ht="34" customHeight="1">
      <c r="A333" s="15" t="inlineStr">
        <is>
          <t xml:space="preserve">v0.9</t>
        </is>
      </c>
      <c r="B333" s="15" t="inlineStr">
        <is>
          <t xml:space="preserve">Bible_Journey_Canon_Map_v0_9_General_Letters_Revelation.xlsx</t>
        </is>
      </c>
      <c r="C333" s="15" t="inlineStr">
        <is>
          <t xml:space="preserve">Context Bridges</t>
        </is>
      </c>
      <c r="D333" s="15" t="inlineStr">
        <is>
          <t xml:space="preserve">CTX-008</t>
        </is>
      </c>
      <c r="E333" s="15" t="inlineStr">
        <is>
          <t xml:space="preserve">Revelation 1–22</t>
        </is>
      </c>
      <c r="F333" s="15" t="inlineStr">
        <is>
          <t xml:space="preserve">Daniel; Ezekiel; Exodus; Isaiah; Zechariah; Psalms</t>
        </is>
      </c>
      <c r="G333" s="15" t="inlineStr">
        <is>
          <t xml:space="preserve">Intertextual study map</t>
        </is>
      </c>
      <c r="H333" s="15" t="inlineStr">
        <is>
          <t xml:space="preserve">High</t>
        </is>
      </c>
      <c r="I333" s="15"/>
      <c r="J333" s="15" t="inlineStr">
        <is>
          <t xml:space="preserve">S12; S13</t>
        </is>
      </c>
      <c r="K333" s="15" t="inlineStr">
        <is>
          <t xml:space="preserve">context id: CTX-008 | title: Revelation ↔ Hebrew Bible imagery | anchor reading: Revelation 1–22 | related sources: Daniel; Ezekiel; Exodus; Isaiah; Zechariah; Psalms | bridge type: Intertextual study map | confidence: High | user-facing rule: Show literary echoes and quotations/reuse as linked references, not as a combined narrative. | compare group: CMP-REV-OT | source key(s): S12; S13</t>
        </is>
      </c>
    </row>
    <row r="334" ht="34" customHeight="1">
      <c r="A334" s="15" t="inlineStr">
        <is>
          <t xml:space="preserve">v0.9</t>
        </is>
      </c>
      <c r="B334" s="15" t="inlineStr">
        <is>
          <t xml:space="preserve">Bible_Journey_Canon_Map_v0_9_General_Letters_Revelation.xlsx</t>
        </is>
      </c>
      <c r="C334" s="15" t="inlineStr">
        <is>
          <t xml:space="preserve">Context Bridges</t>
        </is>
      </c>
      <c r="D334" s="15" t="inlineStr">
        <is>
          <t xml:space="preserve">CTX-009</t>
        </is>
      </c>
      <c r="E334" s="15" t="inlineStr">
        <is>
          <t xml:space="preserve">Revelation 1–22</t>
        </is>
      </c>
      <c r="F334" s="15" t="inlineStr">
        <is>
          <t xml:space="preserve">No single supporting passage</t>
        </is>
      </c>
      <c r="G334" s="15" t="inlineStr">
        <is>
          <t xml:space="preserve">Interpretive framework disclosure</t>
        </is>
      </c>
      <c r="H334" s="15" t="inlineStr">
        <is>
          <t xml:space="preserve">Debated</t>
        </is>
      </c>
      <c r="I334" s="15"/>
      <c r="J334" s="15" t="inlineStr">
        <is>
          <t xml:space="preserve">S12; S15</t>
        </is>
      </c>
      <c r="K334" s="15" t="inlineStr">
        <is>
          <t xml:space="preserve">context id: CTX-009 | title: Revelation interpretive lenses | anchor reading: Revelation 1–22 | related sources: No single supporting passage | bridge type: Interpretive framework disclosure | confidence: Debated | user-facing rule: Default reader stays literary. Historicist, futurist, preterist, idealist, and other frameworks may be optional, sourced study lenses after review. | compare group: CMP-REV-LENSES | source key(s): S12; S15</t>
        </is>
      </c>
    </row>
    <row r="335" ht="34" customHeight="1">
      <c r="A335" s="15" t="inlineStr">
        <is>
          <t xml:space="preserve">v0.9</t>
        </is>
      </c>
      <c r="B335" s="15" t="inlineStr">
        <is>
          <t xml:space="preserve">Bible_Journey_Canon_Map_v0_9_General_Letters_Revelation.xlsx</t>
        </is>
      </c>
      <c r="C335" s="15" t="inlineStr">
        <is>
          <t xml:space="preserve">Revelation Policy</t>
        </is>
      </c>
      <c r="D335" s="15" t="inlineStr">
        <is>
          <t xml:space="preserve">RP-001</t>
        </is>
      </c>
      <c r="E335" s="15"/>
      <c r="F335" s="15"/>
      <c r="G335" s="15" t="inlineStr">
        <is>
          <t xml:space="preserve">Literary unit first</t>
        </is>
      </c>
      <c r="H335" s="15"/>
      <c r="I335" s="15" t="inlineStr">
        <is>
          <t xml:space="preserve">Required</t>
        </is>
      </c>
      <c r="J335" s="15"/>
      <c r="K335" s="15" t="inlineStr">
        <is>
          <t xml:space="preserve">policy id: RP-001 | principle: Literary unit first | implementation rule: Read Revelation in the sequence of its own visions and literary movements. | product surface: Default Reader | release gate: Required</t>
        </is>
      </c>
    </row>
    <row r="336" ht="34" customHeight="1">
      <c r="A336" s="15" t="inlineStr">
        <is>
          <t xml:space="preserve">v0.9</t>
        </is>
      </c>
      <c r="B336" s="15" t="inlineStr">
        <is>
          <t xml:space="preserve">Bible_Journey_Canon_Map_v0_9_General_Letters_Revelation.xlsx</t>
        </is>
      </c>
      <c r="C336" s="15" t="inlineStr">
        <is>
          <t xml:space="preserve">Revelation Policy</t>
        </is>
      </c>
      <c r="D336" s="15" t="inlineStr">
        <is>
          <t xml:space="preserve">RP-002</t>
        </is>
      </c>
      <c r="E336" s="15"/>
      <c r="F336" s="15"/>
      <c r="G336" s="15" t="inlineStr">
        <is>
          <t xml:space="preserve">No synthetic prophecy timeline</t>
        </is>
      </c>
      <c r="H336" s="15"/>
      <c r="I336" s="15" t="inlineStr">
        <is>
          <t xml:space="preserve">Required</t>
        </is>
      </c>
      <c r="J336" s="15"/>
      <c r="K336" s="15" t="inlineStr">
        <is>
          <t xml:space="preserve">policy id: RP-002 | principle: No synthetic prophecy timeline | implementation rule: Do not convert seals, trumpets, bowls, beasts, Babylon, or millennium into a default world-event timeline. | product surface: Default Reader + Ezra | release gate: Required</t>
        </is>
      </c>
    </row>
    <row r="337" ht="34" customHeight="1">
      <c r="A337" s="15" t="inlineStr">
        <is>
          <t xml:space="preserve">v0.9</t>
        </is>
      </c>
      <c r="B337" s="15" t="inlineStr">
        <is>
          <t xml:space="preserve">Bible_Journey_Canon_Map_v0_9_General_Letters_Revelation.xlsx</t>
        </is>
      </c>
      <c r="C337" s="15" t="inlineStr">
        <is>
          <t xml:space="preserve">Revelation Policy</t>
        </is>
      </c>
      <c r="D337" s="15" t="inlineStr">
        <is>
          <t xml:space="preserve">RP-003</t>
        </is>
      </c>
      <c r="E337" s="15"/>
      <c r="F337" s="15"/>
      <c r="G337" s="15" t="inlineStr">
        <is>
          <t xml:space="preserve">Intertexts are linked, not merged</t>
        </is>
      </c>
      <c r="H337" s="15"/>
      <c r="I337" s="15" t="inlineStr">
        <is>
          <t xml:space="preserve">Required</t>
        </is>
      </c>
      <c r="J337" s="15"/>
      <c r="K337" s="15" t="inlineStr">
        <is>
          <t xml:space="preserve">policy id: RP-003 | principle: Intertexts are linked, not merged | implementation rule: Show Daniel, Ezekiel, Exodus, Isaiah, Zechariah, and Psalms as source links / study cards only. | product surface: Study Mode | release gate: Required</t>
        </is>
      </c>
    </row>
    <row r="338" ht="34" customHeight="1">
      <c r="A338" s="15" t="inlineStr">
        <is>
          <t xml:space="preserve">v0.9</t>
        </is>
      </c>
      <c r="B338" s="15" t="inlineStr">
        <is>
          <t xml:space="preserve">Bible_Journey_Canon_Map_v0_9_General_Letters_Revelation.xlsx</t>
        </is>
      </c>
      <c r="C338" s="15" t="inlineStr">
        <is>
          <t xml:space="preserve">Revelation Policy</t>
        </is>
      </c>
      <c r="D338" s="15" t="inlineStr">
        <is>
          <t xml:space="preserve">RP-004</t>
        </is>
      </c>
      <c r="E338" s="15"/>
      <c r="F338" s="15"/>
      <c r="G338" s="15" t="inlineStr">
        <is>
          <t xml:space="preserve">Interpretive lenses are opt-in</t>
        </is>
      </c>
      <c r="H338" s="15"/>
      <c r="I338" s="12" t="inlineStr">
        <is>
          <t xml:space="preserve">Blocked pending review</t>
        </is>
      </c>
      <c r="J338" s="15"/>
      <c r="K338" s="15" t="inlineStr">
        <is>
          <t xml:space="preserve">policy id: RP-004 | principle: Interpretive lenses are opt-in | implementation rule: Any historicist, futurist, preterist, idealist, or other framework must be labeled, sourced, and selectable. | product surface: Study Mode | release gate: Blocked pending review</t>
        </is>
      </c>
    </row>
    <row r="339" ht="34" customHeight="1">
      <c r="A339" s="15" t="inlineStr">
        <is>
          <t xml:space="preserve">v0.9</t>
        </is>
      </c>
      <c r="B339" s="15" t="inlineStr">
        <is>
          <t xml:space="preserve">Bible_Journey_Canon_Map_v0_9_General_Letters_Revelation.xlsx</t>
        </is>
      </c>
      <c r="C339" s="15" t="inlineStr">
        <is>
          <t xml:space="preserve">Revelation Policy</t>
        </is>
      </c>
      <c r="D339" s="15" t="inlineStr">
        <is>
          <t xml:space="preserve">RP-005</t>
        </is>
      </c>
      <c r="E339" s="15"/>
      <c r="F339" s="15"/>
      <c r="G339" s="15" t="inlineStr">
        <is>
          <t xml:space="preserve">Context is not fulfillment claim</t>
        </is>
      </c>
      <c r="H339" s="15"/>
      <c r="I339" s="15" t="inlineStr">
        <is>
          <t xml:space="preserve">Required</t>
        </is>
      </c>
      <c r="J339" s="15"/>
      <c r="K339" s="15" t="inlineStr">
        <is>
          <t xml:space="preserve">policy id: RP-005 | principle: Context is not fulfillment claim | implementation rule: Roman Asia Minor and seven-city context may be explained without asserting that it exhausts or determines all meaning. | product surface: Context Cards | release gate: Required</t>
        </is>
      </c>
    </row>
    <row r="340" ht="34" customHeight="1">
      <c r="A340" s="15" t="inlineStr">
        <is>
          <t xml:space="preserve">v0.9</t>
        </is>
      </c>
      <c r="B340" s="15" t="inlineStr">
        <is>
          <t xml:space="preserve">Bible_Journey_Canon_Map_v0_9_General_Letters_Revelation.xlsx</t>
        </is>
      </c>
      <c r="C340" s="15" t="inlineStr">
        <is>
          <t xml:space="preserve">Revelation Policy</t>
        </is>
      </c>
      <c r="D340" s="15" t="inlineStr">
        <is>
          <t xml:space="preserve">RP-006</t>
        </is>
      </c>
      <c r="E340" s="15"/>
      <c r="F340" s="15"/>
      <c r="G340" s="15" t="inlineStr">
        <is>
          <t xml:space="preserve">Ezra must classify claims</t>
        </is>
      </c>
      <c r="H340" s="15"/>
      <c r="I340" s="15" t="inlineStr">
        <is>
          <t xml:space="preserve">Required</t>
        </is>
      </c>
      <c r="J340" s="15"/>
      <c r="K340" s="15" t="inlineStr">
        <is>
          <t xml:space="preserve">policy id: RP-006 | principle: Ezra must classify claims | implementation rule: Responses distinguish: direct text; historical context; literary observation; interpretation; application. | product surface: Ezra | release gate: Required</t>
        </is>
      </c>
    </row>
    <row r="341" ht="34" customHeight="1">
      <c r="A341" s="15" t="inlineStr">
        <is>
          <t xml:space="preserve">v0.9</t>
        </is>
      </c>
      <c r="B341" s="15" t="inlineStr">
        <is>
          <t xml:space="preserve">Bible_Journey_Canon_Map_v0_9_General_Letters_Revelation.xlsx</t>
        </is>
      </c>
      <c r="C341" s="15" t="inlineStr">
        <is>
          <t xml:space="preserve">Split Chapter Ledger</t>
        </is>
      </c>
      <c r="D341" s="15" t="inlineStr">
        <is>
          <t xml:space="preserve">SPL-001</t>
        </is>
      </c>
      <c r="E341" s="15" t="inlineStr">
        <is>
          <t xml:space="preserve">Revelation 6–8:1</t>
        </is>
      </c>
      <c r="F341" s="15" t="inlineStr">
        <is>
          <t xml:space="preserve">Revelation 8:2–11</t>
        </is>
      </c>
      <c r="G341" s="15" t="inlineStr">
        <is>
          <t xml:space="preserve">Canon Coverage maps Rev 8 once to CRS-REV-004; verse-level split is preserved here.</t>
        </is>
      </c>
      <c r="H341" s="15"/>
      <c r="I341" s="15"/>
      <c r="J341" s="15"/>
      <c r="K341" s="15" t="inlineStr">
        <is>
          <t xml:space="preserve">split id: SPL-001 | book: Revelation | chapter: 8 | first reading block: BLK-019 | first reference: Revelation 6–8:1 | second reading block: BLK-020 | second reference: Revelation 8:2–11 | audit mapping rule: Canon Coverage maps Rev 8 once to CRS-REV-004; verse-level split is preserved here. | user-facing behavior: At Rev 8:1, Reader shows 'Continue this vision sequence' and opens Rev 8:2 without treating it as a new historical event. | editorial note: No verses are duplicated, omitted, or merged. This is a technical audit exception, not an editorial fusion.</t>
        </is>
      </c>
    </row>
  </sheetData>
  <autoFilter ref="A4:K341"/>
  <mergeCells count="2">
    <mergeCell ref="A1:K1"/>
    <mergeCell ref="A2:K2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L96"/>
  <sheetViews>
    <sheetView workbookViewId="0">
      <pane ySplit="4" topLeftCell="A5" activePane="bottomLeft" state="frozen"/>
      <selection pane="bottomLeft" activeCell="A5" sqref="A5"/>
    </sheetView>
  </sheetViews>
  <cols>
    <col min="1" max="1" width="12" customWidth="1"/>
    <col min="2" max="2" width="50" customWidth="1"/>
    <col min="3" max="3" width="20" customWidth="1"/>
    <col min="4" max="4" width="34" customWidth="1"/>
    <col min="5" max="5" width="60" customWidth="1"/>
    <col min="6" max="6" width="60" customWidth="1"/>
    <col min="7" max="7" width="60" customWidth="1"/>
    <col min="8" max="8" width="22" customWidth="1"/>
    <col min="9" max="9" width="24" customWidth="1"/>
    <col min="10" max="10" width="20" customWidth="1"/>
    <col min="11" max="11" width="24" customWidth="1"/>
    <col min="12" max="12" width="120" customWidth="1"/>
  </cols>
  <sheetData>
    <row r="1" ht="30" customHeight="1">
      <c r="A1" s="1" t="inlineStr">
        <is>
          <t xml:space="preserve">OPEN DECISIONS MASTER</t>
        </is>
      </c>
    </row>
    <row r="2" ht="30" customHeight="1">
      <c r="A2" s="2" t="inlineStr">
        <is>
          <t xml:space="preserve">Unified editorial risk and governance queue. Uncertainty must remain structured, owned, and visible in user-facing disclosure rules.</t>
        </is>
      </c>
    </row>
    <row r="4">
      <c r="A4" s="3" t="inlineStr">
        <is>
          <t xml:space="preserve">Map Version</t>
        </is>
      </c>
      <c r="B4" s="3" t="inlineStr">
        <is>
          <t xml:space="preserve">Source Workbook</t>
        </is>
      </c>
      <c r="C4" s="3" t="inlineStr">
        <is>
          <t xml:space="preserve">Local Decision ID</t>
        </is>
      </c>
      <c r="D4" s="3" t="inlineStr">
        <is>
          <t xml:space="preserve">Topic / Scope</t>
        </is>
      </c>
      <c r="E4" s="3" t="inlineStr">
        <is>
          <t xml:space="preserve">Why It Is Open / Issue</t>
        </is>
      </c>
      <c r="F4" s="3" t="inlineStr">
        <is>
          <t xml:space="preserve">Current Treatment / Interim Policy</t>
        </is>
      </c>
      <c r="G4" s="3" t="inlineStr">
        <is>
          <t xml:space="preserve">Required Next Action / Product Impact</t>
        </is>
      </c>
      <c r="H4" s="3" t="inlineStr">
        <is>
          <t xml:space="preserve">Confidence / Risk</t>
        </is>
      </c>
      <c r="I4" s="3" t="inlineStr">
        <is>
          <t xml:space="preserve">Owner</t>
        </is>
      </c>
      <c r="J4" s="3" t="inlineStr">
        <is>
          <t xml:space="preserve">Status</t>
        </is>
      </c>
      <c r="K4" s="3" t="inlineStr">
        <is>
          <t xml:space="preserve">Source Key(s)</t>
        </is>
      </c>
      <c r="L4" s="3" t="inlineStr">
        <is>
          <t xml:space="preserve">Raw Source Summary</t>
        </is>
      </c>
    </row>
    <row r="5" ht="42" customHeight="1">
      <c r="A5" s="15" t="inlineStr">
        <is>
          <t xml:space="preserve">v0.1</t>
        </is>
      </c>
      <c r="B5" s="15" t="inlineStr">
        <is>
          <t xml:space="preserve">Bible_Journey_Canon_Map_v0_1_Genesis_to_2Samuel.xlsx</t>
        </is>
      </c>
      <c r="C5" s="15" t="inlineStr">
        <is>
          <t xml:space="preserve">DEC-001</t>
        </is>
      </c>
      <c r="D5" s="15" t="inlineStr">
        <is>
          <t xml:space="preserve">Genesis 2 boundary</t>
        </is>
      </c>
      <c r="E5" s="15" t="inlineStr">
        <is>
          <t xml:space="preserve">Genesis 2:1-3 concludes creation; 2:4 begins the garden account.</t>
        </is>
      </c>
      <c r="F5" s="15" t="inlineStr">
        <is>
          <t xml:space="preserve">Chapter-level v0.1 keeps Genesis 1-3 together.</t>
        </is>
      </c>
      <c r="G5" s="15" t="inlineStr">
        <is>
          <t xml:space="preserve">Future verse-level split into Creation and Eden sets.</t>
        </is>
      </c>
      <c r="H5" s="15" t="inlineStr">
        <is>
          <t xml:space="preserve">High</t>
        </is>
      </c>
      <c r="I5" s="15" t="inlineStr">
        <is>
          <t xml:space="preserve">Editorial</t>
        </is>
      </c>
      <c r="J5" s="11" t="inlineStr">
        <is>
          <t xml:space="preserve">Open</t>
        </is>
      </c>
      <c r="K5" s="15"/>
      <c r="L5" s="15" t="inlineStr">
        <is>
          <t xml:space="preserve">decision id: DEC-001 | topic: Genesis 2 boundary | why it is open: Genesis 2:1-3 concludes creation; 2:4 begins the garden account. | current v0.1 treatment: Chapter-level v0.1 keeps Genesis 1-3 together. | required next action: Future verse-level split into Creation and Eden sets. | confidence: High | owner: Editorial | status: Open | product risk / notes: Needed before public fine-grained Reader Mode.</t>
        </is>
      </c>
    </row>
    <row r="6" ht="42" customHeight="1">
      <c r="A6" s="15" t="inlineStr">
        <is>
          <t xml:space="preserve">v0.1</t>
        </is>
      </c>
      <c r="B6" s="15" t="inlineStr">
        <is>
          <t xml:space="preserve">Bible_Journey_Canon_Map_v0_1_Genesis_to_2Samuel.xlsx</t>
        </is>
      </c>
      <c r="C6" s="15" t="inlineStr">
        <is>
          <t xml:space="preserve">DEC-002</t>
        </is>
      </c>
      <c r="D6" s="15" t="inlineStr">
        <is>
          <t xml:space="preserve">Judges 17-21 placement</t>
        </is>
      </c>
      <c r="E6" s="15" t="inlineStr">
        <is>
          <t xml:space="preserve">The final Judges narratives are not explicitly placed in strict historical sequence by the book.</t>
        </is>
      </c>
      <c r="F6" s="15" t="inlineStr">
        <is>
          <t xml:space="preserve">Keep canonical order with a probable placement label.</t>
        </is>
      </c>
      <c r="G6" s="15" t="inlineStr">
        <is>
          <t xml:space="preserve">Research alternate editorial placement and source basis.</t>
        </is>
      </c>
      <c r="H6" s="15" t="inlineStr">
        <is>
          <t xml:space="preserve">Probable</t>
        </is>
      </c>
      <c r="I6" s="15" t="inlineStr">
        <is>
          <t xml:space="preserve">Editorial</t>
        </is>
      </c>
      <c r="J6" s="11" t="inlineStr">
        <is>
          <t xml:space="preserve">Needs Research</t>
        </is>
      </c>
      <c r="K6" s="15"/>
      <c r="L6" s="15" t="inlineStr">
        <is>
          <t xml:space="preserve">decision id: DEC-002 | topic: Judges 17-21 placement | why it is open: The final Judges narratives are not explicitly placed in strict historical sequence by the book. | current v0.1 treatment: Keep canonical order with a probable placement label. | required next action: Research alternate editorial placement and source basis. | confidence: Probable | owner: Editorial | status: Needs Research | product risk / notes: Do not market as settled chronology.</t>
        </is>
      </c>
    </row>
    <row r="7" ht="42" customHeight="1">
      <c r="A7" s="15" t="inlineStr">
        <is>
          <t xml:space="preserve">v0.1</t>
        </is>
      </c>
      <c r="B7" s="15" t="inlineStr">
        <is>
          <t xml:space="preserve">Bible_Journey_Canon_Map_v0_1_Genesis_to_2Samuel.xlsx</t>
        </is>
      </c>
      <c r="C7" s="15" t="inlineStr">
        <is>
          <t xml:space="preserve">DEC-003</t>
        </is>
      </c>
      <c r="D7" s="15" t="inlineStr">
        <is>
          <t xml:space="preserve">Ruth placement</t>
        </is>
      </c>
      <c r="E7" s="15" t="inlineStr">
        <is>
          <t xml:space="preserve">Ruth is set in the days of the judges, but its exact location within that period is unstated.</t>
        </is>
      </c>
      <c r="F7" s="15" t="inlineStr">
        <is>
          <t xml:space="preserve">Place after Judges in v0.1, with a contextual note.</t>
        </is>
      </c>
      <c r="G7" s="15" t="inlineStr">
        <is>
          <t xml:space="preserve">Assess whether a later era-specific placement is defensible.</t>
        </is>
      </c>
      <c r="H7" s="15" t="inlineStr">
        <is>
          <t xml:space="preserve">Probable</t>
        </is>
      </c>
      <c r="I7" s="15" t="inlineStr">
        <is>
          <t xml:space="preserve">Editorial</t>
        </is>
      </c>
      <c r="J7" s="11" t="inlineStr">
        <is>
          <t xml:space="preserve">Open</t>
        </is>
      </c>
      <c r="K7" s="15"/>
      <c r="L7" s="15" t="inlineStr">
        <is>
          <t xml:space="preserve">decision id: DEC-003 | topic: Ruth placement | why it is open: Ruth is set in the days of the judges, but its exact location within that period is unstated. | current v0.1 treatment: Place after Judges in v0.1, with a contextual note. | required next action: Assess whether a later era-specific placement is defensible. | confidence: Probable | owner: Editorial | status: Open | product risk / notes: Journey placement can remain flexible.</t>
        </is>
      </c>
    </row>
    <row r="8" ht="42" customHeight="1">
      <c r="A8" s="15" t="inlineStr">
        <is>
          <t xml:space="preserve">v0.1</t>
        </is>
      </c>
      <c r="B8" s="15" t="inlineStr">
        <is>
          <t xml:space="preserve">Bible_Journey_Canon_Map_v0_1_Genesis_to_2Samuel.xlsx</t>
        </is>
      </c>
      <c r="C8" s="15" t="inlineStr">
        <is>
          <t xml:space="preserve">DEC-004</t>
        </is>
      </c>
      <c r="D8" s="15" t="inlineStr">
        <is>
          <t xml:space="preserve">1 Samuel 3 boundary</t>
        </is>
      </c>
      <c r="E8" s="15" t="inlineStr">
        <is>
          <t xml:space="preserve">Judges cycle introduction and early judge episodes occur within chapter 3.</t>
        </is>
      </c>
      <c r="F8" s="15" t="inlineStr">
        <is>
          <t xml:space="preserve">V0.1 groups Judges 1-3 as one opening set.</t>
        </is>
      </c>
      <c r="G8" s="15" t="inlineStr">
        <is>
          <t xml:space="preserve">Split Judges 3 by verse in v0.2.</t>
        </is>
      </c>
      <c r="H8" s="15" t="inlineStr">
        <is>
          <t xml:space="preserve">High</t>
        </is>
      </c>
      <c r="I8" s="15" t="inlineStr">
        <is>
          <t xml:space="preserve">Editorial</t>
        </is>
      </c>
      <c r="J8" s="11" t="inlineStr">
        <is>
          <t xml:space="preserve">Open</t>
        </is>
      </c>
      <c r="K8" s="15"/>
      <c r="L8" s="15" t="inlineStr">
        <is>
          <t xml:space="preserve">decision id: DEC-004 | topic: 1 Samuel 3 boundary | why it is open: Judges cycle introduction and early judge episodes occur within chapter 3. | current v0.1 treatment: V0.1 groups Judges 1-3 as one opening set. | required next action: Split Judges 3 by verse in v0.2. | confidence: High | owner: Editorial | status: Open | product risk / notes: Needed for precision, not for current coverage.</t>
        </is>
      </c>
    </row>
    <row r="9" ht="42" customHeight="1">
      <c r="A9" s="15" t="inlineStr">
        <is>
          <t xml:space="preserve">v0.1</t>
        </is>
      </c>
      <c r="B9" s="15" t="inlineStr">
        <is>
          <t xml:space="preserve">Bible_Journey_Canon_Map_v0_1_Genesis_to_2Samuel.xlsx</t>
        </is>
      </c>
      <c r="C9" s="15" t="inlineStr">
        <is>
          <t xml:space="preserve">DEC-005</t>
        </is>
      </c>
      <c r="D9" s="15" t="inlineStr">
        <is>
          <t xml:space="preserve">David's early court chronology</t>
        </is>
      </c>
      <c r="E9" s="15" t="inlineStr">
        <is>
          <t xml:space="preserve">1 Samuel 16-18 has long-standing literary/source-critical questions around David's early appearance at court and the Goliath narrative.</t>
        </is>
      </c>
      <c r="F9" s="15" t="inlineStr">
        <is>
          <t xml:space="preserve">Follow canonical sequence; mark early placement probable.</t>
        </is>
      </c>
      <c r="G9" s="15" t="inlineStr">
        <is>
          <t xml:space="preserve">Develop transparent note and specialist review.</t>
        </is>
      </c>
      <c r="H9" s="15" t="inlineStr">
        <is>
          <t xml:space="preserve">Probable</t>
        </is>
      </c>
      <c r="I9" s="15" t="inlineStr">
        <is>
          <t xml:space="preserve">Editorial + Theology</t>
        </is>
      </c>
      <c r="J9" s="11" t="inlineStr">
        <is>
          <t xml:space="preserve">Needs Research</t>
        </is>
      </c>
      <c r="K9" s="15"/>
      <c r="L9" s="15" t="inlineStr">
        <is>
          <t xml:space="preserve">decision id: DEC-005 | topic: David's early court chronology | why it is open: 1 Samuel 16-18 has long-standing literary/source-critical questions around David's early appearance at court and the Goliath narrative. | current v0.1 treatment: Follow canonical sequence; mark early placement probable. | required next action: Develop transparent note and specialist review. | confidence: Probable | owner: Editorial + Theology | status: Needs Research | product risk / notes: Avoid exposing technical source criticism by default.</t>
        </is>
      </c>
    </row>
    <row r="10" ht="42" customHeight="1">
      <c r="A10" s="15" t="inlineStr">
        <is>
          <t xml:space="preserve">v0.1</t>
        </is>
      </c>
      <c r="B10" s="15" t="inlineStr">
        <is>
          <t xml:space="preserve">Bible_Journey_Canon_Map_v0_1_Genesis_to_2Samuel.xlsx</t>
        </is>
      </c>
      <c r="C10" s="15" t="inlineStr">
        <is>
          <t xml:space="preserve">DEC-006</t>
        </is>
      </c>
      <c r="D10" s="15" t="inlineStr">
        <is>
          <t xml:space="preserve">Davidic Psalm links</t>
        </is>
      </c>
      <c r="E10" s="15" t="inlineStr">
        <is>
          <t xml:space="preserve">Psalm superscriptions can point to narrative episodes, but exact episode mapping or historical dating is not always certain.</t>
        </is>
      </c>
      <c r="F10" s="15" t="inlineStr">
        <is>
          <t xml:space="preserve">Include only selected superscription-linked Psalms and label cave links debated.</t>
        </is>
      </c>
      <c r="G10" s="15" t="inlineStr">
        <is>
          <t xml:space="preserve">Build full Psalms placement matrix with relationship evidence.</t>
        </is>
      </c>
      <c r="H10" s="15" t="inlineStr">
        <is>
          <t xml:space="preserve">Probable / Debated</t>
        </is>
      </c>
      <c r="I10" s="15" t="inlineStr">
        <is>
          <t xml:space="preserve">Editorial + Psalms Specialist</t>
        </is>
      </c>
      <c r="J10" s="11" t="inlineStr">
        <is>
          <t xml:space="preserve">Open</t>
        </is>
      </c>
      <c r="K10" s="15"/>
      <c r="L10" s="15" t="inlineStr">
        <is>
          <t xml:space="preserve">decision id: DEC-006 | topic: Davidic Psalm links | why it is open: Psalm superscriptions can point to narrative episodes, but exact episode mapping or historical dating is not always certain. | current v0.1 treatment: Include only selected superscription-linked Psalms and label cave links debated. | required next action: Build full Psalms placement matrix with relationship evidence. | confidence: Probable / Debated | owner: Editorial + Psalms Specialist | status: Open | product risk / notes: Do not claim every Psalm was written at a known event.</t>
        </is>
      </c>
    </row>
    <row r="11" ht="42" customHeight="1">
      <c r="A11" s="15" t="inlineStr">
        <is>
          <t xml:space="preserve">v0.1</t>
        </is>
      </c>
      <c r="B11" s="15" t="inlineStr">
        <is>
          <t xml:space="preserve">Bible_Journey_Canon_Map_v0_1_Genesis_to_2Samuel.xlsx</t>
        </is>
      </c>
      <c r="C11" s="15" t="inlineStr">
        <is>
          <t xml:space="preserve">DEC-007</t>
        </is>
      </c>
      <c r="D11" s="15" t="inlineStr">
        <is>
          <t xml:space="preserve">2 Samuel 5 / 1 Chronicles 14 overlap</t>
        </is>
      </c>
      <c r="E11" s="15" t="inlineStr">
        <is>
          <t xml:space="preserve">1 Chronicles 14 overlaps the latter part of 2 Samuel 5, but chapter-level mapping cannot prevent duplicate text handling.</t>
        </is>
      </c>
      <c r="F11" s="15" t="inlineStr">
        <is>
          <t xml:space="preserve">Record 1 Chronicles 14 as related external block.</t>
        </is>
      </c>
      <c r="G11" s="15" t="inlineStr">
        <is>
          <t xml:space="preserve">Create verse-level reading blocks and completion logic.</t>
        </is>
      </c>
      <c r="H11" s="15" t="inlineStr">
        <is>
          <t xml:space="preserve">High</t>
        </is>
      </c>
      <c r="I11" s="15" t="inlineStr">
        <is>
          <t xml:space="preserve">Editorial + Engineering</t>
        </is>
      </c>
      <c r="J11" s="11" t="inlineStr">
        <is>
          <t xml:space="preserve">Open</t>
        </is>
      </c>
      <c r="K11" s="15"/>
      <c r="L11" s="15" t="inlineStr">
        <is>
          <t xml:space="preserve">decision id: DEC-007 | topic: 2 Samuel 5 / 1 Chronicles 14 overlap | why it is open: 1 Chronicles 14 overlaps the latter part of 2 Samuel 5, but chapter-level mapping cannot prevent duplicate text handling. | current v0.1 treatment: Record 1 Chronicles 14 as related external block. | required next action: Create verse-level reading blocks and completion logic. | confidence: High | owner: Editorial + Engineering | status: Open | product risk / notes: Critical for future Complete Mode.</t>
        </is>
      </c>
    </row>
    <row r="12" ht="42" customHeight="1">
      <c r="A12" s="15" t="inlineStr">
        <is>
          <t xml:space="preserve">v0.1</t>
        </is>
      </c>
      <c r="B12" s="15" t="inlineStr">
        <is>
          <t xml:space="preserve">Bible_Journey_Canon_Map_v0_1_Genesis_to_2Samuel.xlsx</t>
        </is>
      </c>
      <c r="C12" s="15" t="inlineStr">
        <is>
          <t xml:space="preserve">DEC-008</t>
        </is>
      </c>
      <c r="D12" s="15" t="inlineStr">
        <is>
          <t xml:space="preserve">2 Samuel 6 / 1 Chronicles 13,15-16</t>
        </is>
      </c>
      <c r="E12" s="15" t="inlineStr">
        <is>
          <t xml:space="preserve">Samuel combines failed and successful ark movements; Chronicles separates related material differently.</t>
        </is>
      </c>
      <c r="F12" s="15" t="inlineStr">
        <is>
          <t xml:space="preserve">Keep chapter-level main spine and linked Chronicles accounts.</t>
        </is>
      </c>
      <c r="G12" s="15" t="inlineStr">
        <is>
          <t xml:space="preserve">Split 2 Samuel 6 by scene/verse and define completion rules.</t>
        </is>
      </c>
      <c r="H12" s="15" t="inlineStr">
        <is>
          <t xml:space="preserve">High</t>
        </is>
      </c>
      <c r="I12" s="15" t="inlineStr">
        <is>
          <t xml:space="preserve">Editorial + Engineering</t>
        </is>
      </c>
      <c r="J12" s="11" t="inlineStr">
        <is>
          <t xml:space="preserve">Open</t>
        </is>
      </c>
      <c r="K12" s="15"/>
      <c r="L12" s="15" t="inlineStr">
        <is>
          <t xml:space="preserve">decision id: DEC-008 | topic: 2 Samuel 6 / 1 Chronicles 13,15-16 | why it is open: Samuel combines failed and successful ark movements; Chronicles separates related material differently. | current v0.1 treatment: Keep chapter-level main spine and linked Chronicles accounts. | required next action: Split 2 Samuel 6 by scene/verse and define completion rules. | confidence: High | owner: Editorial + Engineering | status: Open | product risk / notes: Critical for Compare Accounts.</t>
        </is>
      </c>
    </row>
    <row r="13" ht="42" customHeight="1">
      <c r="A13" s="15" t="inlineStr">
        <is>
          <t xml:space="preserve">v0.1</t>
        </is>
      </c>
      <c r="B13" s="15" t="inlineStr">
        <is>
          <t xml:space="preserve">Bible_Journey_Canon_Map_v0_1_Genesis_to_2Samuel.xlsx</t>
        </is>
      </c>
      <c r="C13" s="15" t="inlineStr">
        <is>
          <t xml:space="preserve">DEC-009</t>
        </is>
      </c>
      <c r="D13" s="15" t="inlineStr">
        <is>
          <t xml:space="preserve">2 Samuel 21-24 appendix</t>
        </is>
      </c>
      <c r="E13" s="15" t="inlineStr">
        <is>
          <t xml:space="preserve">The final chapters are commonly treated as a literary appendix rather than a simple sequential close of David's reign.</t>
        </is>
      </c>
      <c r="F13" s="15" t="inlineStr">
        <is>
          <t xml:space="preserve">Mark each set as debated placement.</t>
        </is>
      </c>
      <c r="G13" s="15" t="inlineStr">
        <is>
          <t xml:space="preserve">Create alternate-order capability and user-facing note.</t>
        </is>
      </c>
      <c r="H13" s="15" t="inlineStr">
        <is>
          <t xml:space="preserve">Debated</t>
        </is>
      </c>
      <c r="I13" s="15" t="inlineStr">
        <is>
          <t xml:space="preserve">Editorial + Theology</t>
        </is>
      </c>
      <c r="J13" s="11" t="inlineStr">
        <is>
          <t xml:space="preserve">Open</t>
        </is>
      </c>
      <c r="K13" s="15"/>
      <c r="L13" s="15" t="inlineStr">
        <is>
          <t xml:space="preserve">decision id: DEC-009 | topic: 2 Samuel 21-24 appendix | why it is open: The final chapters are commonly treated as a literary appendix rather than a simple sequential close of David's reign. | current v0.1 treatment: Mark each set as debated placement. | required next action: Create alternate-order capability and user-facing note. | confidence: Debated | owner: Editorial + Theology | status: Open | product risk / notes: High impact on chronology claims.</t>
        </is>
      </c>
    </row>
    <row r="14" ht="42" customHeight="1">
      <c r="A14" s="15" t="inlineStr">
        <is>
          <t xml:space="preserve">v0.1</t>
        </is>
      </c>
      <c r="B14" s="15" t="inlineStr">
        <is>
          <t xml:space="preserve">Bible_Journey_Canon_Map_v0_1_Genesis_to_2Samuel.xlsx</t>
        </is>
      </c>
      <c r="C14" s="15" t="inlineStr">
        <is>
          <t xml:space="preserve">DEC-010</t>
        </is>
      </c>
      <c r="D14" s="15" t="inlineStr">
        <is>
          <t xml:space="preserve">Job and Psalms full placement</t>
        </is>
      </c>
      <c r="E14" s="15" t="inlineStr">
        <is>
          <t xml:space="preserve">Job and the complete Psalter are outside the canonical main-spine scope of this file but are needed for a full chronological Bible.</t>
        </is>
      </c>
      <c r="F14" s="15" t="inlineStr">
        <is>
          <t xml:space="preserve">Track selected links only.</t>
        </is>
      </c>
      <c r="G14" s="15" t="inlineStr">
        <is>
          <t xml:space="preserve">Create Canon Map v0.2 for Job, Psalms, 1 Chronicles, and 1 Kings.</t>
        </is>
      </c>
      <c r="H14" s="15" t="inlineStr">
        <is>
          <t xml:space="preserve">Not Assessed</t>
        </is>
      </c>
      <c r="I14" s="15" t="inlineStr">
        <is>
          <t xml:space="preserve">Program Management</t>
        </is>
      </c>
      <c r="J14" s="11" t="inlineStr">
        <is>
          <t xml:space="preserve">Open</t>
        </is>
      </c>
      <c r="K14" s="15"/>
      <c r="L14" s="15" t="inlineStr">
        <is>
          <t xml:space="preserve">decision id: DEC-010 | topic: Job and Psalms full placement | why it is open: Job and the complete Psalter are outside the canonical main-spine scope of this file but are needed for a full chronological Bible. | current v0.1 treatment: Track selected links only. | required next action: Create Canon Map v0.2 for Job, Psalms, 1 Chronicles, and 1 Kings. | confidence: Not Assessed | owner: Program Management | status: Open | product risk / notes: Dependency for full-Bible release.</t>
        </is>
      </c>
    </row>
    <row r="15" ht="42" customHeight="1">
      <c r="A15" s="15" t="inlineStr">
        <is>
          <t xml:space="preserve">v0.1</t>
        </is>
      </c>
      <c r="B15" s="15" t="inlineStr">
        <is>
          <t xml:space="preserve">Bible_Journey_Canon_Map_v0_1_Genesis_to_2Samuel.xlsx</t>
        </is>
      </c>
      <c r="C15" s="15" t="inlineStr">
        <is>
          <t xml:space="preserve">DEC-011</t>
        </is>
      </c>
      <c r="D15" s="15" t="inlineStr">
        <is>
          <t xml:space="preserve">Chronological dating display</t>
        </is>
      </c>
      <c r="E15" s="15" t="inlineStr">
        <is>
          <t xml:space="preserve">Exact BCE dates vary by chronology and tradition.</t>
        </is>
      </c>
      <c r="F15" s="15" t="inlineStr">
        <is>
          <t xml:space="preserve">Do not display BCE dates in v0.1.</t>
        </is>
      </c>
      <c r="G15" s="15" t="inlineStr">
        <is>
          <t xml:space="preserve">Select a chronology framework or display eras only.</t>
        </is>
      </c>
      <c r="H15" s="15" t="inlineStr">
        <is>
          <t xml:space="preserve">Not Assessed</t>
        </is>
      </c>
      <c r="I15" s="15" t="inlineStr">
        <is>
          <t xml:space="preserve">Product + Theology</t>
        </is>
      </c>
      <c r="J15" s="11" t="inlineStr">
        <is>
          <t xml:space="preserve">Open</t>
        </is>
      </c>
      <c r="K15" s="15"/>
      <c r="L15" s="15" t="inlineStr">
        <is>
          <t xml:space="preserve">decision id: DEC-011 | topic: Chronological dating display | why it is open: Exact BCE dates vary by chronology and tradition. | current v0.1 treatment: Do not display BCE dates in v0.1. | required next action: Select a chronology framework or display eras only. | confidence: Not Assessed | owner: Product + Theology | status: Open | product risk / notes: Avoid false precision.</t>
        </is>
      </c>
    </row>
    <row r="16" ht="42" customHeight="1">
      <c r="A16" s="15" t="inlineStr">
        <is>
          <t xml:space="preserve">v0.1</t>
        </is>
      </c>
      <c r="B16" s="15" t="inlineStr">
        <is>
          <t xml:space="preserve">Bible_Journey_Canon_Map_v0_1_Genesis_to_2Samuel.xlsx</t>
        </is>
      </c>
      <c r="C16" s="15" t="inlineStr">
        <is>
          <t xml:space="preserve">DEC-012</t>
        </is>
      </c>
      <c r="D16" s="15" t="inlineStr">
        <is>
          <t xml:space="preserve">Tradition / canon configuration</t>
        </is>
      </c>
      <c r="E16" s="15" t="inlineStr">
        <is>
          <t xml:space="preserve">Protestant, Catholic, Orthodox, and Jewish canons and ordering differ.</t>
        </is>
      </c>
      <c r="F16" s="15" t="inlineStr">
        <is>
          <t xml:space="preserve">Scope currently uses a Protestant 66-book product baseline.</t>
        </is>
      </c>
      <c r="G16" s="15" t="inlineStr">
        <is>
          <t xml:space="preserve">Define future configuration strategy before expansion.</t>
        </is>
      </c>
      <c r="H16" s="15" t="inlineStr">
        <is>
          <t xml:space="preserve">Not Assessed</t>
        </is>
      </c>
      <c r="I16" s="15" t="inlineStr">
        <is>
          <t xml:space="preserve">Product + Legal + Theology</t>
        </is>
      </c>
      <c r="J16" s="11" t="inlineStr">
        <is>
          <t xml:space="preserve">Needs Research</t>
        </is>
      </c>
      <c r="K16" s="15"/>
      <c r="L16" s="15" t="inlineStr">
        <is>
          <t xml:space="preserve">decision id: DEC-012 | topic: Tradition / canon configuration | why it is open: Protestant, Catholic, Orthodox, and Jewish canons and ordering differ. | current v0.1 treatment: Scope currently uses a Protestant 66-book product baseline. | required next action: Define future configuration strategy before expansion. | confidence: Not Assessed | owner: Product + Legal + Theology | status: Needs Research | product risk / notes: Important for licensing and international rollout.</t>
        </is>
      </c>
    </row>
    <row r="17" ht="42" customHeight="1">
      <c r="A17" s="15" t="inlineStr">
        <is>
          <t xml:space="preserve">v0.2</t>
        </is>
      </c>
      <c r="B17" s="15" t="inlineStr">
        <is>
          <t xml:space="preserve">Bible_Journey_Canon_Map_v0_2_Chronicles_Psalms_Job_1Kings.xlsx</t>
        </is>
      </c>
      <c r="C17" s="15" t="inlineStr">
        <is>
          <t xml:space="preserve">DEC-201</t>
        </is>
      </c>
      <c r="D17" s="15" t="inlineStr">
        <is>
          <t xml:space="preserve">1 Chronicles 1-9 placement</t>
        </is>
      </c>
      <c r="E17" s="15" t="inlineStr">
        <is>
          <t xml:space="preserve">These genealogies span many eras and include postexilic framing.</t>
        </is>
      </c>
      <c r="F17" s="15" t="inlineStr">
        <is>
          <t xml:space="preserve">Auxiliary collection; not inserted as a single event in global chronology.</t>
        </is>
      </c>
      <c r="G17" s="15" t="inlineStr">
        <is>
          <t xml:space="preserve">Define a reader policy for retrospective genealogies and test it with users.</t>
        </is>
      </c>
      <c r="H17" s="15" t="inlineStr">
        <is>
          <t xml:space="preserve">Unresolved</t>
        </is>
      </c>
      <c r="I17" s="15" t="inlineStr">
        <is>
          <t xml:space="preserve">Editorial + UX</t>
        </is>
      </c>
      <c r="J17" s="11" t="inlineStr">
        <is>
          <t xml:space="preserve">Open</t>
        </is>
      </c>
      <c r="K17" s="15"/>
      <c r="L17" s="15" t="inlineStr">
        <is>
          <t xml:space="preserve">decision id: DEC-201 | topic: 1 Chronicles 1-9 placement | why it is open: These genealogies span many eras and include postexilic framing. | current v0.2 treatment: Auxiliary collection; not inserted as a single event in global chronology. | required next action: Define a reader policy for retrospective genealogies and test it with users. | confidence: Unresolved | owner: Editorial + UX | status: Open | product risk / notes: Do not imply they occurred after 2 Samuel.</t>
        </is>
      </c>
    </row>
    <row r="18" ht="42" customHeight="1">
      <c r="A18" s="15" t="inlineStr">
        <is>
          <t xml:space="preserve">v0.2</t>
        </is>
      </c>
      <c r="B18" s="15" t="inlineStr">
        <is>
          <t xml:space="preserve">Bible_Journey_Canon_Map_v0_2_Chronicles_Psalms_Job_1Kings.xlsx</t>
        </is>
      </c>
      <c r="C18" s="15" t="inlineStr">
        <is>
          <t xml:space="preserve">DEC-202</t>
        </is>
      </c>
      <c r="D18" s="15" t="inlineStr">
        <is>
          <t xml:space="preserve">1 Chronicles 12 supporters</t>
        </is>
      </c>
      <c r="E18" s="15" t="inlineStr">
        <is>
          <t xml:space="preserve">The chapter aggregates supporters associated with multiple moments in David's rise.</t>
        </is>
      </c>
      <c r="F18" s="15" t="inlineStr">
        <is>
          <t xml:space="preserve">Composite Davidic window; Narrative Flow optional.</t>
        </is>
      </c>
      <c r="G18" s="15" t="inlineStr">
        <is>
          <t xml:space="preserve">Create verse-level / subgroup mapping and scholarly review.</t>
        </is>
      </c>
      <c r="H18" s="15" t="inlineStr">
        <is>
          <t xml:space="preserve">Probable</t>
        </is>
      </c>
      <c r="I18" s="15" t="inlineStr">
        <is>
          <t xml:space="preserve">Editorial</t>
        </is>
      </c>
      <c r="J18" s="11" t="inlineStr">
        <is>
          <t xml:space="preserve">Needs Research</t>
        </is>
      </c>
      <c r="K18" s="15"/>
      <c r="L18" s="15" t="inlineStr">
        <is>
          <t xml:space="preserve">decision id: DEC-202 | topic: 1 Chronicles 12 supporters | why it is open: The chapter aggregates supporters associated with multiple moments in David's rise. | current v0.2 treatment: Composite Davidic window; Narrative Flow optional. | required next action: Create verse-level / subgroup mapping and scholarly review. | confidence: Probable | owner: Editorial | status: Needs Research | product risk / notes: Needed before strict Complete Stream ordering.</t>
        </is>
      </c>
    </row>
    <row r="19" ht="42" customHeight="1">
      <c r="A19" s="15" t="inlineStr">
        <is>
          <t xml:space="preserve">v0.2</t>
        </is>
      </c>
      <c r="B19" s="15" t="inlineStr">
        <is>
          <t xml:space="preserve">Bible_Journey_Canon_Map_v0_2_Chronicles_Psalms_Job_1Kings.xlsx</t>
        </is>
      </c>
      <c r="C19" s="15" t="inlineStr">
        <is>
          <t xml:space="preserve">DEC-203</t>
        </is>
      </c>
      <c r="D19" s="15" t="inlineStr">
        <is>
          <t xml:space="preserve">1 Chronicles 13 / 15-16 vs 2 Samuel 6</t>
        </is>
      </c>
      <c r="E19" s="15" t="inlineStr">
        <is>
          <t xml:space="preserve">Samuel combines failed and successful ark movements; Chronicles separates/expands them.</t>
        </is>
      </c>
      <c r="F19" s="15" t="inlineStr">
        <is>
          <t xml:space="preserve">Attach both to CRS-2SA-004 with an explicit split requirement.</t>
        </is>
      </c>
      <c r="G19" s="15" t="inlineStr">
        <is>
          <t xml:space="preserve">Create scene-level IDs and completion rules.</t>
        </is>
      </c>
      <c r="H19" s="15" t="inlineStr">
        <is>
          <t xml:space="preserve">High</t>
        </is>
      </c>
      <c r="I19" s="15" t="inlineStr">
        <is>
          <t xml:space="preserve">Editorial + Engineering</t>
        </is>
      </c>
      <c r="J19" s="11" t="inlineStr">
        <is>
          <t xml:space="preserve">Open</t>
        </is>
      </c>
      <c r="K19" s="15"/>
      <c r="L19" s="15" t="inlineStr">
        <is>
          <t xml:space="preserve">decision id: DEC-203 | topic: 1 Chronicles 13 / 15-16 vs 2 Samuel 6 | why it is open: Samuel combines failed and successful ark movements; Chronicles separates/expands them. | current v0.2 treatment: Attach both to CRS-2SA-004 with an explicit split requirement. | required next action: Create scene-level IDs and completion rules. | confidence: High | owner: Editorial + Engineering | status: Open | product risk / notes: Critical Compare Accounts case.</t>
        </is>
      </c>
    </row>
    <row r="20" ht="42" customHeight="1">
      <c r="A20" s="15" t="inlineStr">
        <is>
          <t xml:space="preserve">v0.2</t>
        </is>
      </c>
      <c r="B20" s="15" t="inlineStr">
        <is>
          <t xml:space="preserve">Bible_Journey_Canon_Map_v0_2_Chronicles_Psalms_Job_1Kings.xlsx</t>
        </is>
      </c>
      <c r="C20" s="15" t="inlineStr">
        <is>
          <t xml:space="preserve">DEC-204</t>
        </is>
      </c>
      <c r="D20" s="15" t="inlineStr">
        <is>
          <t xml:space="preserve">1 Chronicles 20 composite</t>
        </is>
      </c>
      <c r="E20" s="15" t="inlineStr">
        <is>
          <t xml:space="preserve">Rabbah and giant-warrior material corresponds to more than one Samuel location.</t>
        </is>
      </c>
      <c r="F20" s="15" t="inlineStr">
        <is>
          <t xml:space="preserve">Keep as a disclosed composite link.</t>
        </is>
      </c>
      <c r="G20" s="15" t="inlineStr">
        <is>
          <t xml:space="preserve">Split by scene/verse and review source relations.</t>
        </is>
      </c>
      <c r="H20" s="15" t="inlineStr">
        <is>
          <t xml:space="preserve">Debated</t>
        </is>
      </c>
      <c r="I20" s="15" t="inlineStr">
        <is>
          <t xml:space="preserve">Editorial + Theology</t>
        </is>
      </c>
      <c r="J20" s="11" t="inlineStr">
        <is>
          <t xml:space="preserve">Open</t>
        </is>
      </c>
      <c r="K20" s="15"/>
      <c r="L20" s="15" t="inlineStr">
        <is>
          <t xml:space="preserve">decision id: DEC-204 | topic: 1 Chronicles 20 composite | why it is open: Rabbah and giant-warrior material corresponds to more than one Samuel location. | current v0.2 treatment: Keep as a disclosed composite link. | required next action: Split by scene/verse and review source relations. | confidence: Debated | owner: Editorial + Theology | status: Open | product risk / notes: Must not be displayed as one simple event.</t>
        </is>
      </c>
    </row>
    <row r="21" ht="42" customHeight="1">
      <c r="A21" s="15" t="inlineStr">
        <is>
          <t xml:space="preserve">v0.2</t>
        </is>
      </c>
      <c r="B21" s="15" t="inlineStr">
        <is>
          <t xml:space="preserve">Bible_Journey_Canon_Map_v0_2_Chronicles_Psalms_Job_1Kings.xlsx</t>
        </is>
      </c>
      <c r="C21" s="15" t="inlineStr">
        <is>
          <t xml:space="preserve">DEC-205</t>
        </is>
      </c>
      <c r="D21" s="15" t="inlineStr">
        <is>
          <t xml:space="preserve">1 Chronicles 22-29 relation to 1 Kings 1-2</t>
        </is>
      </c>
      <c r="E21" s="15" t="inlineStr">
        <is>
          <t xml:space="preserve">Chronicles provides late-David temple/succession material; 1 Kings narrates political succession.</t>
        </is>
      </c>
      <c r="F21" s="15" t="inlineStr">
        <is>
          <t xml:space="preserve">Treat as a bridge before Kings; compare available.</t>
        </is>
      </c>
      <c r="G21" s="15" t="inlineStr">
        <is>
          <t xml:space="preserve">Validate exact interleaving strategy.</t>
        </is>
      </c>
      <c r="H21" s="15" t="inlineStr">
        <is>
          <t xml:space="preserve">Probable</t>
        </is>
      </c>
      <c r="I21" s="15" t="inlineStr">
        <is>
          <t xml:space="preserve">Editorial + Theology</t>
        </is>
      </c>
      <c r="J21" s="11" t="inlineStr">
        <is>
          <t xml:space="preserve">Open</t>
        </is>
      </c>
      <c r="K21" s="15"/>
      <c r="L21" s="15" t="inlineStr">
        <is>
          <t xml:space="preserve">decision id: DEC-205 | topic: 1 Chronicles 22-29 relation to 1 Kings 1-2 | why it is open: Chronicles provides late-David temple/succession material; 1 Kings narrates political succession. | current v0.2 treatment: Treat as a bridge before Kings; compare available. | required next action: Validate exact interleaving strategy. | confidence: Probable | owner: Editorial + Theology | status: Open | product risk / notes: Affects transition experience.</t>
        </is>
      </c>
    </row>
    <row r="22" ht="42" customHeight="1">
      <c r="A22" s="15" t="inlineStr">
        <is>
          <t xml:space="preserve">v0.2</t>
        </is>
      </c>
      <c r="B22" s="15" t="inlineStr">
        <is>
          <t xml:space="preserve">Bible_Journey_Canon_Map_v0_2_Chronicles_Psalms_Job_1Kings.xlsx</t>
        </is>
      </c>
      <c r="C22" s="15" t="inlineStr">
        <is>
          <t xml:space="preserve">DEC-206</t>
        </is>
      </c>
      <c r="D22" s="15" t="inlineStr">
        <is>
          <t xml:space="preserve">Job's place in the global stream</t>
        </is>
      </c>
      <c r="E22" s="15" t="inlineStr">
        <is>
          <t xml:space="preserve">Job's literary setting and composition/history do not yield a universally accepted chronological placement.</t>
        </is>
      </c>
      <c r="F22" s="15" t="inlineStr">
        <is>
          <t xml:space="preserve">Map all chapters; label global placement unresolved.</t>
        </is>
      </c>
      <c r="G22" s="15" t="inlineStr">
        <is>
          <t xml:space="preserve">Offer configurable 'conventional placement' only after methodology review.</t>
        </is>
      </c>
      <c r="H22" s="15" t="inlineStr">
        <is>
          <t xml:space="preserve">Unresolved</t>
        </is>
      </c>
      <c r="I22" s="15" t="inlineStr">
        <is>
          <t xml:space="preserve">Editorial + Theology</t>
        </is>
      </c>
      <c r="J22" s="11" t="inlineStr">
        <is>
          <t xml:space="preserve">Open</t>
        </is>
      </c>
      <c r="K22" s="15"/>
      <c r="L22" s="15" t="inlineStr">
        <is>
          <t xml:space="preserve">decision id: DEC-206 | topic: Job's place in the global stream | why it is open: Job's literary setting and composition/history do not yield a universally accepted chronological placement. | current v0.2 treatment: Map all chapters; label global placement unresolved. | required next action: Offer configurable 'conventional placement' only after methodology review. | confidence: Unresolved | owner: Editorial + Theology | status: Open | product risk / notes: Do not force Job into patriarchal era by default.</t>
        </is>
      </c>
    </row>
    <row r="23" ht="42" customHeight="1">
      <c r="A23" s="15" t="inlineStr">
        <is>
          <t xml:space="preserve">v0.2</t>
        </is>
      </c>
      <c r="B23" s="15" t="inlineStr">
        <is>
          <t xml:space="preserve">Bible_Journey_Canon_Map_v0_2_Chronicles_Psalms_Job_1Kings.xlsx</t>
        </is>
      </c>
      <c r="C23" s="15" t="inlineStr">
        <is>
          <t xml:space="preserve">DEC-207</t>
        </is>
      </c>
      <c r="D23" s="15" t="inlineStr">
        <is>
          <t xml:space="preserve">Psalms with named superscriptions</t>
        </is>
      </c>
      <c r="E23" s="15" t="inlineStr">
        <is>
          <t xml:space="preserve">Headings often supply names/settings but the level of historical certainty varies.</t>
        </is>
      </c>
      <c r="F23" s="15" t="inlineStr">
        <is>
          <t xml:space="preserve">Use linked psalms with Probable/Debated labels and transparent notes.</t>
        </is>
      </c>
      <c r="G23" s="15" t="inlineStr">
        <is>
          <t xml:space="preserve">Build a specialist-reviewed superscription evidence register.</t>
        </is>
      </c>
      <c r="H23" s="15" t="inlineStr">
        <is>
          <t xml:space="preserve">Probable / Debated</t>
        </is>
      </c>
      <c r="I23" s="15" t="inlineStr">
        <is>
          <t xml:space="preserve">Psalms Specialist</t>
        </is>
      </c>
      <c r="J23" s="11" t="inlineStr">
        <is>
          <t xml:space="preserve">Open</t>
        </is>
      </c>
      <c r="K23" s="15"/>
      <c r="L23" s="15" t="inlineStr">
        <is>
          <t xml:space="preserve">decision id: DEC-207 | topic: Psalms with named superscriptions | why it is open: Headings often supply names/settings but the level of historical certainty varies. | current v0.2 treatment: Use linked psalms with Probable/Debated labels and transparent notes. | required next action: Build a specialist-reviewed superscription evidence register. | confidence: Probable / Debated | owner: Psalms Specialist | status: Open | product risk / notes: No automatic historical claims from titles alone.</t>
        </is>
      </c>
    </row>
    <row r="24" ht="42" customHeight="1">
      <c r="A24" s="15" t="inlineStr">
        <is>
          <t xml:space="preserve">v0.2</t>
        </is>
      </c>
      <c r="B24" s="15" t="inlineStr">
        <is>
          <t xml:space="preserve">Bible_Journey_Canon_Map_v0_2_Chronicles_Psalms_Job_1Kings.xlsx</t>
        </is>
      </c>
      <c r="C24" s="15" t="inlineStr">
        <is>
          <t xml:space="preserve">DEC-208</t>
        </is>
      </c>
      <c r="D24" s="15" t="inlineStr">
        <is>
          <t xml:space="preserve">Psalm 18 / 2 Samuel 22</t>
        </is>
      </c>
      <c r="E24" s="15" t="inlineStr">
        <is>
          <t xml:space="preserve">The texts are closely related but should not be merged into a composite reading.</t>
        </is>
      </c>
      <c r="F24" s="15" t="inlineStr">
        <is>
          <t xml:space="preserve">Link as parallel textual tradition.</t>
        </is>
      </c>
      <c r="G24" s="15" t="inlineStr">
        <is>
          <t xml:space="preserve">Define verse-level Compare Accounts treatment.</t>
        </is>
      </c>
      <c r="H24" s="15" t="inlineStr">
        <is>
          <t xml:space="preserve">Debated placement</t>
        </is>
      </c>
      <c r="I24" s="15" t="inlineStr">
        <is>
          <t xml:space="preserve">Editorial + Engineering</t>
        </is>
      </c>
      <c r="J24" s="11" t="inlineStr">
        <is>
          <t xml:space="preserve">Open</t>
        </is>
      </c>
      <c r="K24" s="15"/>
      <c r="L24" s="15" t="inlineStr">
        <is>
          <t xml:space="preserve">decision id: DEC-208 | topic: Psalm 18 / 2 Samuel 22 | why it is open: The texts are closely related but should not be merged into a composite reading. | current v0.2 treatment: Link as parallel textual tradition. | required next action: Define verse-level Compare Accounts treatment. | confidence: Debated placement | owner: Editorial + Engineering | status: Open | product risk / notes: Strong flagship compare case.</t>
        </is>
      </c>
    </row>
    <row r="25" ht="42" customHeight="1">
      <c r="A25" s="15" t="inlineStr">
        <is>
          <t xml:space="preserve">v0.2</t>
        </is>
      </c>
      <c r="B25" s="15" t="inlineStr">
        <is>
          <t xml:space="preserve">Bible_Journey_Canon_Map_v0_2_Chronicles_Psalms_Job_1Kings.xlsx</t>
        </is>
      </c>
      <c r="C25" s="15" t="inlineStr">
        <is>
          <t xml:space="preserve">DEC-209</t>
        </is>
      </c>
      <c r="D25" s="15" t="inlineStr">
        <is>
          <t xml:space="preserve">Psalms 96, 105, 106 and 1 Chronicles 16</t>
        </is>
      </c>
      <c r="E25" s="15" t="inlineStr">
        <is>
          <t xml:space="preserve">Chronicles contains liturgical material corresponding to Psalms passages.</t>
        </is>
      </c>
      <c r="F25" s="15" t="inlineStr">
        <is>
          <t xml:space="preserve">Use 'textual reuse / related liturgy,' not a composition-date claim.</t>
        </is>
      </c>
      <c r="G25" s="15" t="inlineStr">
        <is>
          <t xml:space="preserve">Create intertext source notes and UI wording.</t>
        </is>
      </c>
      <c r="H25" s="15" t="inlineStr">
        <is>
          <t xml:space="preserve">High / Probable</t>
        </is>
      </c>
      <c r="I25" s="15" t="inlineStr">
        <is>
          <t xml:space="preserve">Editorial</t>
        </is>
      </c>
      <c r="J25" s="11" t="inlineStr">
        <is>
          <t xml:space="preserve">Open</t>
        </is>
      </c>
      <c r="K25" s="15"/>
      <c r="L25" s="15" t="inlineStr">
        <is>
          <t xml:space="preserve">decision id: DEC-209 | topic: Psalms 96, 105, 106 and 1 Chronicles 16 | why it is open: Chronicles contains liturgical material corresponding to Psalms passages. | current v0.2 treatment: Use 'textual reuse / related liturgy,' not a composition-date claim. | required next action: Create intertext source notes and UI wording. | confidence: High / Probable | owner: Editorial | status: Open | product risk / notes: Avoid asserting direction of dependence by default.</t>
        </is>
      </c>
    </row>
    <row r="26" ht="42" customHeight="1">
      <c r="A26" s="15" t="inlineStr">
        <is>
          <t xml:space="preserve">v0.2</t>
        </is>
      </c>
      <c r="B26" s="15" t="inlineStr">
        <is>
          <t xml:space="preserve">Bible_Journey_Canon_Map_v0_2_Chronicles_Psalms_Job_1Kings.xlsx</t>
        </is>
      </c>
      <c r="C26" s="15" t="inlineStr">
        <is>
          <t xml:space="preserve">DEC-210</t>
        </is>
      </c>
      <c r="D26" s="15" t="inlineStr">
        <is>
          <t xml:space="preserve">Solomonic Psalms 72 and 127</t>
        </is>
      </c>
      <c r="E26" s="15" t="inlineStr">
        <is>
          <t xml:space="preserve">Headings associate them with Solomon but do not date them to a specific scene.</t>
        </is>
      </c>
      <c r="F26" s="15" t="inlineStr">
        <is>
          <t xml:space="preserve">Broad Solomonic window.</t>
        </is>
      </c>
      <c r="G26" s="15" t="inlineStr">
        <is>
          <t xml:space="preserve">Decide whether such links belong in default Narrative Flow.</t>
        </is>
      </c>
      <c r="H26" s="15" t="inlineStr">
        <is>
          <t xml:space="preserve">Probable</t>
        </is>
      </c>
      <c r="I26" s="15" t="inlineStr">
        <is>
          <t xml:space="preserve">Psalms Specialist</t>
        </is>
      </c>
      <c r="J26" s="11" t="inlineStr">
        <is>
          <t xml:space="preserve">Open</t>
        </is>
      </c>
      <c r="K26" s="15"/>
      <c r="L26" s="15" t="inlineStr">
        <is>
          <t xml:space="preserve">decision id: DEC-210 | topic: Solomonic Psalms 72 and 127 | why it is open: Headings associate them with Solomon but do not date them to a specific scene. | current v0.2 treatment: Broad Solomonic window. | required next action: Decide whether such links belong in default Narrative Flow. | confidence: Probable | owner: Psalms Specialist | status: Open | product risk / notes: Keep as opt-in in Narrative Flow.</t>
        </is>
      </c>
    </row>
    <row r="27" ht="42" customHeight="1">
      <c r="A27" s="15" t="inlineStr">
        <is>
          <t xml:space="preserve">v0.2</t>
        </is>
      </c>
      <c r="B27" s="15" t="inlineStr">
        <is>
          <t xml:space="preserve">Bible_Journey_Canon_Map_v0_2_Chronicles_Psalms_Job_1Kings.xlsx</t>
        </is>
      </c>
      <c r="C27" s="15" t="inlineStr">
        <is>
          <t xml:space="preserve">DEC-211</t>
        </is>
      </c>
      <c r="D27" s="15" t="inlineStr">
        <is>
          <t xml:space="preserve">1 Kings 5-8 / 2 Chronicles 2-7</t>
        </is>
      </c>
      <c r="E27" s="15" t="inlineStr">
        <is>
          <t xml:space="preserve">Temple construction and dedication will require future parallel mapping.</t>
        </is>
      </c>
      <c r="F27" s="15" t="inlineStr">
        <is>
          <t xml:space="preserve">Track future dependency in Integration Resolution.</t>
        </is>
      </c>
      <c r="G27" s="15" t="inlineStr">
        <is>
          <t xml:space="preserve">Create Canon Map v0.3 with verse-level splits.</t>
        </is>
      </c>
      <c r="H27" s="15" t="inlineStr">
        <is>
          <t xml:space="preserve">High</t>
        </is>
      </c>
      <c r="I27" s="15" t="inlineStr">
        <is>
          <t xml:space="preserve">Editorial + Engineering</t>
        </is>
      </c>
      <c r="J27" s="11" t="inlineStr">
        <is>
          <t xml:space="preserve">Open</t>
        </is>
      </c>
      <c r="K27" s="15"/>
      <c r="L27" s="15" t="inlineStr">
        <is>
          <t xml:space="preserve">decision id: DEC-211 | topic: 1 Kings 5-8 / 2 Chronicles 2-7 | why it is open: Temple construction and dedication will require future parallel mapping. | current v0.2 treatment: Track future dependency in Integration Resolution. | required next action: Create Canon Map v0.3 with verse-level splits. | confidence: High | owner: Editorial + Engineering | status: Open | product risk / notes: Major Complete / Compare Accounts milestone.</t>
        </is>
      </c>
    </row>
    <row r="28" ht="42" customHeight="1">
      <c r="A28" s="15" t="inlineStr">
        <is>
          <t xml:space="preserve">v0.2</t>
        </is>
      </c>
      <c r="B28" s="15" t="inlineStr">
        <is>
          <t xml:space="preserve">Bible_Journey_Canon_Map_v0_2_Chronicles_Psalms_Job_1Kings.xlsx</t>
        </is>
      </c>
      <c r="C28" s="15" t="inlineStr">
        <is>
          <t xml:space="preserve">DEC-212</t>
        </is>
      </c>
      <c r="D28" s="15" t="inlineStr">
        <is>
          <t xml:space="preserve">1 Kings 15 / 2 Chronicles 13-16</t>
        </is>
      </c>
      <c r="E28" s="15" t="inlineStr">
        <is>
          <t xml:space="preserve">Kings groups Abijam/Asa compactly while Chronicles expands Judah material.</t>
        </is>
      </c>
      <c r="F28" s="15" t="inlineStr">
        <is>
          <t xml:space="preserve">Track future dependency.</t>
        </is>
      </c>
      <c r="G28" s="15" t="inlineStr">
        <is>
          <t xml:space="preserve">Split by king and event in v0.3.</t>
        </is>
      </c>
      <c r="H28" s="15" t="inlineStr">
        <is>
          <t xml:space="preserve">High</t>
        </is>
      </c>
      <c r="I28" s="15" t="inlineStr">
        <is>
          <t xml:space="preserve">Editorial</t>
        </is>
      </c>
      <c r="J28" s="11" t="inlineStr">
        <is>
          <t xml:space="preserve">Open</t>
        </is>
      </c>
      <c r="K28" s="15"/>
      <c r="L28" s="15" t="inlineStr">
        <is>
          <t xml:space="preserve">decision id: DEC-212 | topic: 1 Kings 15 / 2 Chronicles 13-16 | why it is open: Kings groups Abijam/Asa compactly while Chronicles expands Judah material. | current v0.2 treatment: Track future dependency. | required next action: Split by king and event in v0.3. | confidence: High | owner: Editorial | status: Open | product risk / notes: Needed before Compare Accounts launch for Asa.</t>
        </is>
      </c>
    </row>
    <row r="29" ht="42" customHeight="1">
      <c r="A29" s="15" t="inlineStr">
        <is>
          <t xml:space="preserve">v0.2</t>
        </is>
      </c>
      <c r="B29" s="15" t="inlineStr">
        <is>
          <t xml:space="preserve">Bible_Journey_Canon_Map_v0_2_Chronicles_Psalms_Job_1Kings.xlsx</t>
        </is>
      </c>
      <c r="C29" s="15" t="inlineStr">
        <is>
          <t xml:space="preserve">DEC-213</t>
        </is>
      </c>
      <c r="D29" s="15" t="inlineStr">
        <is>
          <t xml:space="preserve">BCE dates</t>
        </is>
      </c>
      <c r="E29" s="15" t="inlineStr">
        <is>
          <t xml:space="preserve">Regnal and biblical chronologies differ across traditions and scholarly methods.</t>
        </is>
      </c>
      <c r="F29" s="15" t="inlineStr">
        <is>
          <t xml:space="preserve">Do not display fixed BCE dates in this map.</t>
        </is>
      </c>
      <c r="G29" s="15" t="inlineStr">
        <is>
          <t xml:space="preserve">Choose chronology framework or era-only display policy.</t>
        </is>
      </c>
      <c r="H29" s="15" t="inlineStr">
        <is>
          <t xml:space="preserve">Unresolved</t>
        </is>
      </c>
      <c r="I29" s="15" t="inlineStr">
        <is>
          <t xml:space="preserve">Product + Theology</t>
        </is>
      </c>
      <c r="J29" s="11" t="inlineStr">
        <is>
          <t xml:space="preserve">Open</t>
        </is>
      </c>
      <c r="K29" s="15"/>
      <c r="L29" s="15" t="inlineStr">
        <is>
          <t xml:space="preserve">decision id: DEC-213 | topic: BCE dates | why it is open: Regnal and biblical chronologies differ across traditions and scholarly methods. | current v0.2 treatment: Do not display fixed BCE dates in this map. | required next action: Choose chronology framework or era-only display policy. | confidence: Unresolved | owner: Product + Theology | status: Open | product risk / notes: Avoid false precision.</t>
        </is>
      </c>
    </row>
    <row r="30" ht="42" customHeight="1">
      <c r="A30" s="15" t="inlineStr">
        <is>
          <t xml:space="preserve">v0.2</t>
        </is>
      </c>
      <c r="B30" s="15" t="inlineStr">
        <is>
          <t xml:space="preserve">Bible_Journey_Canon_Map_v0_2_Chronicles_Psalms_Job_1Kings.xlsx</t>
        </is>
      </c>
      <c r="C30" s="15" t="inlineStr">
        <is>
          <t xml:space="preserve">DEC-214</t>
        </is>
      </c>
      <c r="D30" s="15" t="inlineStr">
        <is>
          <t xml:space="preserve">Canon scope configuration</t>
        </is>
      </c>
      <c r="E30" s="15" t="inlineStr">
        <is>
          <t xml:space="preserve">This workstream follows the Protestant 66-book baseline; future traditions/order differ.</t>
        </is>
      </c>
      <c r="F30" s="15" t="inlineStr">
        <is>
          <t xml:space="preserve">Maintain canon configuration at data layer.</t>
        </is>
      </c>
      <c r="G30" s="15" t="inlineStr">
        <is>
          <t xml:space="preserve">Define configurable canon/translation roadmap.</t>
        </is>
      </c>
      <c r="H30" s="15" t="inlineStr">
        <is>
          <t xml:space="preserve">Unresolved</t>
        </is>
      </c>
      <c r="I30" s="15" t="inlineStr">
        <is>
          <t xml:space="preserve">Product + Legal</t>
        </is>
      </c>
      <c r="J30" s="11" t="inlineStr">
        <is>
          <t xml:space="preserve">Needs Research</t>
        </is>
      </c>
      <c r="K30" s="15"/>
      <c r="L30" s="15" t="inlineStr">
        <is>
          <t xml:space="preserve">decision id: DEC-214 | topic: Canon scope configuration | why it is open: This workstream follows the Protestant 66-book baseline; future traditions/order differ. | current v0.2 treatment: Maintain canon configuration at data layer. | required next action: Define configurable canon/translation roadmap. | confidence: Unresolved | owner: Product + Legal | status: Needs Research | product risk / notes: Important for international rollout.</t>
        </is>
      </c>
    </row>
    <row r="31" ht="42" customHeight="1">
      <c r="A31" s="15" t="inlineStr">
        <is>
          <t xml:space="preserve">v0.3</t>
        </is>
      </c>
      <c r="B31" s="15" t="inlineStr">
        <is>
          <t xml:space="preserve">Bible_Journey_Canon_Map_v0_3_2Chronicles_Wisdom_2Kings.xlsx</t>
        </is>
      </c>
      <c r="C31" s="15" t="inlineStr">
        <is>
          <t xml:space="preserve">DEC-301</t>
        </is>
      </c>
      <c r="D31" s="15" t="inlineStr">
        <is>
          <t xml:space="preserve">2 Chronicles 1-9 integration with 1 Kings</t>
        </is>
      </c>
      <c r="E31" s="15" t="inlineStr">
        <is>
          <t xml:space="preserve">Chronicles and Kings overlap in Solomon material but select and emphasize different scenes.</t>
        </is>
      </c>
      <c r="F31" s="15" t="inlineStr">
        <is>
          <t xml:space="preserve">Bridge CRS records attach Chronicle blocks to v0.2 Kings events.</t>
        </is>
      </c>
      <c r="G31" s="15" t="inlineStr">
        <is>
          <t xml:space="preserve">Validate verse-level sequence for 1 Kings 8-9 and 2 Chronicles 5-7; create Compare Accounts mapping.</t>
        </is>
      </c>
      <c r="H31" s="15" t="inlineStr">
        <is>
          <t xml:space="preserve">High</t>
        </is>
      </c>
      <c r="I31" s="15" t="inlineStr">
        <is>
          <t xml:space="preserve">Editorial + Theology</t>
        </is>
      </c>
      <c r="J31" s="11" t="inlineStr">
        <is>
          <t xml:space="preserve">Open</t>
        </is>
      </c>
      <c r="K31" s="15"/>
      <c r="L31" s="15" t="inlineStr">
        <is>
          <t xml:space="preserve">decision id: DEC-301 | topic: 2 Chronicles 1-9 integration with 1 Kings | why it is open: Chronicles and Kings overlap in Solomon material but select and emphasize different scenes. | current v0.3 treatment: Bridge CRS records attach Chronicle blocks to v0.2 Kings events. | required next action: Validate verse-level sequence for 1 Kings 8-9 and 2 Chronicles 5-7; create Compare Accounts mapping. | confidence: High | owner: Editorial + Theology | status: Open | product risk / notes: Critical integration requirement before Complete Chronological Reading ships.</t>
        </is>
      </c>
    </row>
    <row r="32" ht="42" customHeight="1">
      <c r="A32" s="15" t="inlineStr">
        <is>
          <t xml:space="preserve">v0.3</t>
        </is>
      </c>
      <c r="B32" s="15" t="inlineStr">
        <is>
          <t xml:space="preserve">Bible_Journey_Canon_Map_v0_3_2Chronicles_Wisdom_2Kings.xlsx</t>
        </is>
      </c>
      <c r="C32" s="15" t="inlineStr">
        <is>
          <t xml:space="preserve">DEC-302</t>
        </is>
      </c>
      <c r="D32" s="15" t="inlineStr">
        <is>
          <t xml:space="preserve">Wisdom books in a chronological Bible Stream</t>
        </is>
      </c>
      <c r="E32" s="15" t="inlineStr">
        <is>
          <t xml:space="preserve">Proverbs, Ecclesiastes, and Song have traditional Solomonic associations but no single academically settled composition / autobiographical timeline.</t>
        </is>
      </c>
      <c r="F32" s="15" t="inlineStr">
        <is>
          <t xml:space="preserve">Use a disclosed Wisdom Interlude rather than a false event chronology.</t>
        </is>
      </c>
      <c r="G32" s="15" t="inlineStr">
        <is>
          <t xml:space="preserve">Design user copy and allow an optional 'traditional Solomonic arrangement' lens.</t>
        </is>
      </c>
      <c r="H32" s="15" t="inlineStr">
        <is>
          <t xml:space="preserve">Unresolved</t>
        </is>
      </c>
      <c r="I32" s="15" t="inlineStr">
        <is>
          <t xml:space="preserve">Editorial + UX</t>
        </is>
      </c>
      <c r="J32" s="11" t="inlineStr">
        <is>
          <t xml:space="preserve">Open</t>
        </is>
      </c>
      <c r="K32" s="15"/>
      <c r="L32" s="15" t="inlineStr">
        <is>
          <t xml:space="preserve">decision id: DEC-302 | topic: Wisdom books in a chronological Bible Stream | why it is open: Proverbs, Ecclesiastes, and Song have traditional Solomonic associations but no single academically settled composition / autobiographical timeline. | current v0.3 treatment: Use a disclosed Wisdom Interlude rather than a false event chronology. | required next action: Design user copy and allow an optional 'traditional Solomonic arrangement' lens. | confidence: Unresolved | owner: Editorial + UX | status: Open | product risk / notes: Do not imply Song = young Solomon or Ecclesiastes = old Solomon as fact.</t>
        </is>
      </c>
    </row>
    <row r="33" ht="42" customHeight="1">
      <c r="A33" s="15" t="inlineStr">
        <is>
          <t xml:space="preserve">v0.3</t>
        </is>
      </c>
      <c r="B33" s="15" t="inlineStr">
        <is>
          <t xml:space="preserve">Bible_Journey_Canon_Map_v0_3_2Chronicles_Wisdom_2Kings.xlsx</t>
        </is>
      </c>
      <c r="C33" s="15" t="inlineStr">
        <is>
          <t xml:space="preserve">DEC-303</t>
        </is>
      </c>
      <c r="D33" s="15" t="inlineStr">
        <is>
          <t xml:space="preserve">Proverbs 25:1 / Hezekiah link</t>
        </is>
      </c>
      <c r="E33" s="15" t="inlineStr">
        <is>
          <t xml:space="preserve">The heading supports an editorial collection association, not a date for every saying.</t>
        </is>
      </c>
      <c r="F33" s="15" t="inlineStr">
        <is>
          <t xml:space="preserve">Attach Proverbs 25-29 as optional collection context to Hezekiah's reform window.</t>
        </is>
      </c>
      <c r="G33" s="15" t="inlineStr">
        <is>
          <t xml:space="preserve">Scholarly review of wording and translations; decide whether this block is required in Full Stream or a counted auxiliary collection.</t>
        </is>
      </c>
      <c r="H33" s="15" t="inlineStr">
        <is>
          <t xml:space="preserve">Probable</t>
        </is>
      </c>
      <c r="I33" s="15" t="inlineStr">
        <is>
          <t xml:space="preserve">Editorial + Wisdom Specialist</t>
        </is>
      </c>
      <c r="J33" s="11" t="inlineStr">
        <is>
          <t xml:space="preserve">Open</t>
        </is>
      </c>
      <c r="K33" s="15"/>
      <c r="L33" s="15" t="inlineStr">
        <is>
          <t xml:space="preserve">decision id: DEC-303 | topic: Proverbs 25:1 / Hezekiah link | why it is open: The heading supports an editorial collection association, not a date for every saying. | current v0.3 treatment: Attach Proverbs 25-29 as optional collection context to Hezekiah's reform window. | required next action: Scholarly review of wording and translations; decide whether this block is required in Full Stream or a counted auxiliary collection. | confidence: Probable | owner: Editorial + Wisdom Specialist | status: Open | product risk / notes: Potentially strong product insight; must not overclaim.</t>
        </is>
      </c>
    </row>
    <row r="34" ht="42" customHeight="1">
      <c r="A34" s="15" t="inlineStr">
        <is>
          <t xml:space="preserve">v0.3</t>
        </is>
      </c>
      <c r="B34" s="15" t="inlineStr">
        <is>
          <t xml:space="preserve">Bible_Journey_Canon_Map_v0_3_2Chronicles_Wisdom_2Kings.xlsx</t>
        </is>
      </c>
      <c r="C34" s="15" t="inlineStr">
        <is>
          <t xml:space="preserve">DEC-304</t>
        </is>
      </c>
      <c r="D34" s="15" t="inlineStr">
        <is>
          <t xml:space="preserve">2 Chronicles 22 split</t>
        </is>
      </c>
      <c r="E34" s="15" t="inlineStr">
        <is>
          <t xml:space="preserve">Chapter 22 spans Ahaziah's narrative and Athaliah's seizure of power.</t>
        </is>
      </c>
      <c r="F34" s="15" t="inlineStr">
        <is>
          <t xml:space="preserve">Split 22:1-9 to CRS-2K-008B and 22:10-12 to CRS-2K-011.</t>
        </is>
      </c>
      <c r="G34" s="15" t="inlineStr">
        <is>
          <t xml:space="preserve">Create verse-level PassageBlock records and precise completion logic.</t>
        </is>
      </c>
      <c r="H34" s="15" t="inlineStr">
        <is>
          <t xml:space="preserve">High</t>
        </is>
      </c>
      <c r="I34" s="15" t="inlineStr">
        <is>
          <t xml:space="preserve">Editorial + Engineering</t>
        </is>
      </c>
      <c r="J34" s="11" t="inlineStr">
        <is>
          <t xml:space="preserve">Open</t>
        </is>
      </c>
      <c r="K34" s="15"/>
      <c r="L34" s="15" t="inlineStr">
        <is>
          <t xml:space="preserve">decision id: DEC-304 | topic: 2 Chronicles 22 split | why it is open: Chapter 22 spans Ahaziah's narrative and Athaliah's seizure of power. | current v0.3 treatment: Split 22:1-9 to CRS-2K-008B and 22:10-12 to CRS-2K-011. | required next action: Create verse-level PassageBlock records and precise completion logic. | confidence: High | owner: Editorial + Engineering | status: Open | product risk / notes: Required for honest Full Stream progress.</t>
        </is>
      </c>
    </row>
    <row r="35" ht="42" customHeight="1">
      <c r="A35" s="15" t="inlineStr">
        <is>
          <t xml:space="preserve">v0.3</t>
        </is>
      </c>
      <c r="B35" s="15" t="inlineStr">
        <is>
          <t xml:space="preserve">Bible_Journey_Canon_Map_v0_3_2Chronicles_Wisdom_2Kings.xlsx</t>
        </is>
      </c>
      <c r="C35" s="15" t="inlineStr">
        <is>
          <t xml:space="preserve">DEC-305</t>
        </is>
      </c>
      <c r="D35" s="15" t="inlineStr">
        <is>
          <t xml:space="preserve">2 Kings 18 / 2 Chronicles 32 split</t>
        </is>
      </c>
      <c r="E35" s="15" t="inlineStr">
        <is>
          <t xml:space="preserve">Both chapters contain material for more than one chronological reading set.</t>
        </is>
      </c>
      <c r="F35" s="15" t="inlineStr">
        <is>
          <t xml:space="preserve">Use 2K18:1-12 / 18:13-37 and 2Chr32:1-23 / 24-31.</t>
        </is>
      </c>
      <c r="G35" s="15" t="inlineStr">
        <is>
          <t xml:space="preserve">Validate interface transitions with Isaiah 36-39 when the Isaiah map exists.</t>
        </is>
      </c>
      <c r="H35" s="15" t="inlineStr">
        <is>
          <t xml:space="preserve">High</t>
        </is>
      </c>
      <c r="I35" s="15" t="inlineStr">
        <is>
          <t xml:space="preserve">Editorial + Engineering</t>
        </is>
      </c>
      <c r="J35" s="11" t="inlineStr">
        <is>
          <t xml:space="preserve">Open</t>
        </is>
      </c>
      <c r="K35" s="15"/>
      <c r="L35" s="15" t="inlineStr">
        <is>
          <t xml:space="preserve">decision id: DEC-305 | topic: 2 Kings 18 / 2 Chronicles 32 split | why it is open: Both chapters contain material for more than one chronological reading set. | current v0.3 treatment: Use 2K18:1-12 / 18:13-37 and 2Chr32:1-23 / 24-31. | required next action: Validate interface transitions with Isaiah 36-39 when the Isaiah map exists. | confidence: High | owner: Editorial + Engineering | status: Open | product risk / notes: Flagship Compare Accounts case; cannot be handled at chapter-only granularity.</t>
        </is>
      </c>
    </row>
    <row r="36" ht="42" customHeight="1">
      <c r="A36" s="15" t="inlineStr">
        <is>
          <t xml:space="preserve">v0.3</t>
        </is>
      </c>
      <c r="B36" s="15" t="inlineStr">
        <is>
          <t xml:space="preserve">Bible_Journey_Canon_Map_v0_3_2Chronicles_Wisdom_2Kings.xlsx</t>
        </is>
      </c>
      <c r="C36" s="15" t="inlineStr">
        <is>
          <t xml:space="preserve">DEC-306</t>
        </is>
      </c>
      <c r="D36" s="15" t="inlineStr">
        <is>
          <t xml:space="preserve">Hezekiah illness vs Assyrian crisis sequence</t>
        </is>
      </c>
      <c r="E36" s="15" t="inlineStr">
        <is>
          <t xml:space="preserve">The relative order of 2 Kings 20, 2 Chronicles 32:24-31, and Isaiah 38-39 is not universally fixed in every reconstruction.</t>
        </is>
      </c>
      <c r="F36" s="15" t="inlineStr">
        <is>
          <t xml:space="preserve">Place after the Assyrian crisis with Debated placement confidence and note it in UI.</t>
        </is>
      </c>
      <c r="G36" s="15" t="inlineStr">
        <is>
          <t xml:space="preserve">Build scholarly evidence register before public launch.</t>
        </is>
      </c>
      <c r="H36" s="15" t="inlineStr">
        <is>
          <t xml:space="preserve">Debated</t>
        </is>
      </c>
      <c r="I36" s="15" t="inlineStr">
        <is>
          <t xml:space="preserve">Editorial + Theology</t>
        </is>
      </c>
      <c r="J36" s="11" t="inlineStr">
        <is>
          <t xml:space="preserve">Open</t>
        </is>
      </c>
      <c r="K36" s="15"/>
      <c r="L36" s="15" t="inlineStr">
        <is>
          <t xml:space="preserve">decision id: DEC-306 | topic: Hezekiah illness vs Assyrian crisis sequence | why it is open: The relative order of 2 Kings 20, 2 Chronicles 32:24-31, and Isaiah 38-39 is not universally fixed in every reconstruction. | current v0.3 treatment: Place after the Assyrian crisis with Debated placement confidence and note it in UI. | required next action: Build scholarly evidence register before public launch. | confidence: Debated | owner: Editorial + Theology | status: Open | product risk / notes: Must not present a single order as settled fact.</t>
        </is>
      </c>
    </row>
    <row r="37" ht="42" customHeight="1">
      <c r="A37" s="15" t="inlineStr">
        <is>
          <t xml:space="preserve">v0.3</t>
        </is>
      </c>
      <c r="B37" s="15" t="inlineStr">
        <is>
          <t xml:space="preserve">Bible_Journey_Canon_Map_v0_3_2Chronicles_Wisdom_2Kings.xlsx</t>
        </is>
      </c>
      <c r="C37" s="15" t="inlineStr">
        <is>
          <t xml:space="preserve">DEC-307</t>
        </is>
      </c>
      <c r="D37" s="15" t="inlineStr">
        <is>
          <t xml:space="preserve">2 Chronicles 36 and Cyrus</t>
        </is>
      </c>
      <c r="E37" s="15" t="inlineStr">
        <is>
          <t xml:space="preserve">The final two verses point into the Persian-return material, while 2 Kings ends differently.</t>
        </is>
      </c>
      <c r="F37" s="15" t="inlineStr">
        <is>
          <t xml:space="preserve">Split 2Chr36:1-21 / 22-23; use the latter as bridge to Ezra.</t>
        </is>
      </c>
      <c r="G37" s="15" t="inlineStr">
        <is>
          <t xml:space="preserve">Create future dependency to Ezra 1 and define whether it is immediately required in Full Stream.</t>
        </is>
      </c>
      <c r="H37" s="15" t="inlineStr">
        <is>
          <t xml:space="preserve">High</t>
        </is>
      </c>
      <c r="I37" s="15" t="inlineStr">
        <is>
          <t xml:space="preserve">Editorial + Engineering</t>
        </is>
      </c>
      <c r="J37" s="11" t="inlineStr">
        <is>
          <t xml:space="preserve">Open</t>
        </is>
      </c>
      <c r="K37" s="15"/>
      <c r="L37" s="15" t="inlineStr">
        <is>
          <t xml:space="preserve">decision id: DEC-307 | topic: 2 Chronicles 36 and Cyrus | why it is open: The final two verses point into the Persian-return material, while 2 Kings ends differently. | current v0.3 treatment: Split 2Chr36:1-21 / 22-23; use the latter as bridge to Ezra. | required next action: Create future dependency to Ezra 1 and define whether it is immediately required in Full Stream. | confidence: High | owner: Editorial + Engineering | status: Open | product risk / notes: Major cross-canon transition.</t>
        </is>
      </c>
    </row>
    <row r="38" ht="42" customHeight="1">
      <c r="A38" s="15" t="inlineStr">
        <is>
          <t xml:space="preserve">v0.3</t>
        </is>
      </c>
      <c r="B38" s="15" t="inlineStr">
        <is>
          <t xml:space="preserve">Bible_Journey_Canon_Map_v0_3_2Chronicles_Wisdom_2Kings.xlsx</t>
        </is>
      </c>
      <c r="C38" s="15" t="inlineStr">
        <is>
          <t xml:space="preserve">DEC-308</t>
        </is>
      </c>
      <c r="D38" s="15" t="inlineStr">
        <is>
          <t xml:space="preserve">Elisha narrative cycles (2 Kings 4-8)</t>
        </is>
      </c>
      <c r="E38" s="15" t="inlineStr">
        <is>
          <t xml:space="preserve">Several chapters contain multiple scenes without a fixed external chronology.</t>
        </is>
      </c>
      <c r="F38" s="15" t="inlineStr">
        <is>
          <t xml:space="preserve">Retain chapter-level units for v0.3, with notes that finer scene division may follow.</t>
        </is>
      </c>
      <c r="G38" s="15" t="inlineStr">
        <is>
          <t xml:space="preserve">Create Scene-Level Map v0.3.1 for 2 Kings 4-8 based on reader testing and editorial review.</t>
        </is>
      </c>
      <c r="H38" s="15" t="inlineStr">
        <is>
          <t xml:space="preserve">Probable</t>
        </is>
      </c>
      <c r="I38" s="15" t="inlineStr">
        <is>
          <t xml:space="preserve">Editorial</t>
        </is>
      </c>
      <c r="J38" s="11" t="inlineStr">
        <is>
          <t xml:space="preserve">Open</t>
        </is>
      </c>
      <c r="K38" s="15"/>
      <c r="L38" s="15" t="inlineStr">
        <is>
          <t xml:space="preserve">decision id: DEC-308 | topic: Elisha narrative cycles (2 Kings 4-8) | why it is open: Several chapters contain multiple scenes without a fixed external chronology. | current v0.3 treatment: Retain chapter-level units for v0.3, with notes that finer scene division may follow. | required next action: Create Scene-Level Map v0.3.1 for 2 Kings 4-8 based on reader testing and editorial review. | confidence: Probable | owner: Editorial | status: Open | product risk / notes: Avoid prematurely splitting every chapter and creating unreadable UI.</t>
        </is>
      </c>
    </row>
    <row r="39" ht="42" customHeight="1">
      <c r="A39" s="15" t="inlineStr">
        <is>
          <t xml:space="preserve">v0.3</t>
        </is>
      </c>
      <c r="B39" s="15" t="inlineStr">
        <is>
          <t xml:space="preserve">Bible_Journey_Canon_Map_v0_3_2Chronicles_Wisdom_2Kings.xlsx</t>
        </is>
      </c>
      <c r="C39" s="15" t="inlineStr">
        <is>
          <t xml:space="preserve">DEC-309</t>
        </is>
      </c>
      <c r="D39" s="15" t="inlineStr">
        <is>
          <t xml:space="preserve">Israel/Judah regnal synchronization</t>
        </is>
      </c>
      <c r="E39" s="15" t="inlineStr">
        <is>
          <t xml:space="preserve">Kings' reign formulas are complex and reconstructions vary by methodology.</t>
        </is>
      </c>
      <c r="F39" s="15" t="inlineStr">
        <is>
          <t xml:space="preserve">Use broad era labels and confidence rather than hard date promises in MVP.</t>
        </is>
      </c>
      <c r="G39" s="15" t="inlineStr">
        <is>
          <t xml:space="preserve">Choose chronology framework and source policy for year-level dates.</t>
        </is>
      </c>
      <c r="H39" s="15" t="inlineStr">
        <is>
          <t xml:space="preserve">Debated</t>
        </is>
      </c>
      <c r="I39" s="15" t="inlineStr">
        <is>
          <t xml:space="preserve">Editorial + Research</t>
        </is>
      </c>
      <c r="J39" s="11" t="inlineStr">
        <is>
          <t xml:space="preserve">Open</t>
        </is>
      </c>
      <c r="K39" s="15"/>
      <c r="L39" s="15" t="inlineStr">
        <is>
          <t xml:space="preserve">decision id: DEC-309 | topic: Israel/Judah regnal synchronization | why it is open: Kings' reign formulas are complex and reconstructions vary by methodology. | current v0.3 treatment: Use broad era labels and confidence rather than hard date promises in MVP. | required next action: Choose chronology framework and source policy for year-level dates. | confidence: Debated | owner: Editorial + Research | status: Open | product risk / notes: Do not display precise BCE dates without methodology selection.</t>
        </is>
      </c>
    </row>
    <row r="40" ht="42" customHeight="1">
      <c r="A40" s="15" t="inlineStr">
        <is>
          <t xml:space="preserve">v0.4</t>
        </is>
      </c>
      <c r="B40" s="15" t="inlineStr">
        <is>
          <t xml:space="preserve">Bible_Journey_Canon_Map_v0_4_Prophets_Exile.xlsx</t>
        </is>
      </c>
      <c r="C40" s="15" t="inlineStr">
        <is>
          <t xml:space="preserve">OD-04-01</t>
        </is>
      </c>
      <c r="D40" s="15" t="inlineStr">
        <is>
          <t xml:space="preserve">Joel's historical placement</t>
        </is>
      </c>
      <c r="E40" s="15" t="inlineStr">
        <is>
          <t xml:space="preserve">Joel is one of the clearest examples of disputed date placement.</t>
        </is>
      </c>
      <c r="F40" s="15" t="inlineStr">
        <is>
          <t xml:space="preserve">Placed in a transparent post-exilic study node; alternatives must remain visible.</t>
        </is>
      </c>
      <c r="G40" s="15" t="inlineStr">
        <is>
          <t xml:space="preserve">Comparative commentary review; product wording review</t>
        </is>
      </c>
      <c r="H40" s="15"/>
      <c r="I40" s="15" t="inlineStr">
        <is>
          <t xml:space="preserve">Editorial board</t>
        </is>
      </c>
      <c r="J40" s="11" t="inlineStr">
        <is>
          <t xml:space="preserve">Open</t>
        </is>
      </c>
      <c r="K40" s="15" t="inlineStr">
        <is>
          <t xml:space="preserve">Comparative commentary review; product wording review</t>
        </is>
      </c>
      <c r="L40" s="15" t="inlineStr">
        <is>
          <t xml:space="preserve">decision id: OD-04-01 | topic: Joel's historical placement | why it matters: Joel is one of the clearest examples of disputed date placement. | current v0.4 treatment: Placed in a transparent post-exilic study node; alternatives must remain visible. | risk if wrong: A false certainty would weaken trust in the whole stream. | decision owner: Editorial board | required evidence: Comparative commentary review; product wording review | blocking?: Yes | status: Open</t>
        </is>
      </c>
    </row>
    <row r="41" ht="42" customHeight="1">
      <c r="A41" s="15" t="inlineStr">
        <is>
          <t xml:space="preserve">v0.4</t>
        </is>
      </c>
      <c r="B41" s="15" t="inlineStr">
        <is>
          <t xml:space="preserve">Bible_Journey_Canon_Map_v0_4_Prophets_Exile.xlsx</t>
        </is>
      </c>
      <c r="C41" s="15" t="inlineStr">
        <is>
          <t xml:space="preserve">OD-04-02</t>
        </is>
      </c>
      <c r="D41" s="15" t="inlineStr">
        <is>
          <t xml:space="preserve">Isaiah 40-66 horizons</t>
        </is>
      </c>
      <c r="E41" s="15" t="inlineStr">
        <is>
          <t xml:space="preserve">The stream needs a user-facing account of why Isaiah's later sections appear after the fall.</t>
        </is>
      </c>
      <c r="F41" s="15" t="inlineStr">
        <is>
          <t xml:space="preserve">Uses common exilic / post-exilic scholarly horizons with explicit caveat.</t>
        </is>
      </c>
      <c r="G41" s="15" t="inlineStr">
        <is>
          <t xml:space="preserve">Source review across traditions; legal/content policy review</t>
        </is>
      </c>
      <c r="H41" s="15"/>
      <c r="I41" s="15" t="inlineStr">
        <is>
          <t xml:space="preserve">Editorial board</t>
        </is>
      </c>
      <c r="J41" s="11" t="inlineStr">
        <is>
          <t xml:space="preserve">Open</t>
        </is>
      </c>
      <c r="K41" s="15" t="inlineStr">
        <is>
          <t xml:space="preserve">Source review across traditions; legal/content policy review</t>
        </is>
      </c>
      <c r="L41" s="15" t="inlineStr">
        <is>
          <t xml:space="preserve">decision id: OD-04-02 | topic: Isaiah 40-66 horizons | why it matters: The stream needs a user-facing account of why Isaiah's later sections appear after the fall. | current v0.4 treatment: Uses common exilic / post-exilic scholarly horizons with explicit caveat. | risk if wrong: Can become a denominational flashpoint if portrayed as a settled authorship claim. | decision owner: Editorial board | required evidence: Source review across traditions; legal/content policy review | blocking?: Yes | status: Open</t>
        </is>
      </c>
    </row>
    <row r="42" ht="42" customHeight="1">
      <c r="A42" s="15" t="inlineStr">
        <is>
          <t xml:space="preserve">v0.4</t>
        </is>
      </c>
      <c r="B42" s="15" t="inlineStr">
        <is>
          <t xml:space="preserve">Bible_Journey_Canon_Map_v0_4_Prophets_Exile.xlsx</t>
        </is>
      </c>
      <c r="C42" s="15" t="inlineStr">
        <is>
          <t xml:space="preserve">OD-04-03</t>
        </is>
      </c>
      <c r="D42" s="15" t="inlineStr">
        <is>
          <t xml:space="preserve">Isaiah 13-35 internal sequencing</t>
        </is>
      </c>
      <c r="E42" s="15" t="inlineStr">
        <is>
          <t xml:space="preserve">These chapters include varied oracles and literary collections.</t>
        </is>
      </c>
      <c r="F42" s="15" t="inlineStr">
        <is>
          <t xml:space="preserve">Placed in an Assyrian horizon; chapter order remains canonical inside the set.</t>
        </is>
      </c>
      <c r="G42" s="15" t="inlineStr">
        <is>
          <t xml:space="preserve">Commentary map; source tags by unit</t>
        </is>
      </c>
      <c r="H42" s="15"/>
      <c r="I42" s="15" t="inlineStr">
        <is>
          <t xml:space="preserve">OT content lead</t>
        </is>
      </c>
      <c r="J42" s="11" t="inlineStr">
        <is>
          <t xml:space="preserve">Open</t>
        </is>
      </c>
      <c r="K42" s="15" t="inlineStr">
        <is>
          <t xml:space="preserve">Commentary map; source tags by unit</t>
        </is>
      </c>
      <c r="L42" s="15" t="inlineStr">
        <is>
          <t xml:space="preserve">decision id: OD-04-03 | topic: Isaiah 13-35 internal sequencing | why it matters: These chapters include varied oracles and literary collections. | current v0.4 treatment: Placed in an Assyrian horizon; chapter order remains canonical inside the set. | risk if wrong: Artificial sequence would create misleading historical claims. | decision owner: OT content lead | required evidence: Commentary map; source tags by unit | blocking?: No | status: Open</t>
        </is>
      </c>
    </row>
    <row r="43" ht="42" customHeight="1">
      <c r="A43" s="15" t="inlineStr">
        <is>
          <t xml:space="preserve">v0.4</t>
        </is>
      </c>
      <c r="B43" s="15" t="inlineStr">
        <is>
          <t xml:space="preserve">Bible_Journey_Canon_Map_v0_4_Prophets_Exile.xlsx</t>
        </is>
      </c>
      <c r="C43" s="15" t="inlineStr">
        <is>
          <t xml:space="preserve">OD-04-04</t>
        </is>
      </c>
      <c r="D43" s="15" t="inlineStr">
        <is>
          <t xml:space="preserve">Hezekiah illness and Sennacherib order</t>
        </is>
      </c>
      <c r="E43" s="15" t="inlineStr">
        <is>
          <t xml:space="preserve">Kings, Isaiah, and Chronicles contain related but interpretively complex sequence issues.</t>
        </is>
      </c>
      <c r="F43" s="15" t="inlineStr">
        <is>
          <t xml:space="preserve">Offer Compare Accounts and label narrative order as debated.</t>
        </is>
      </c>
      <c r="G43" s="15" t="inlineStr">
        <is>
          <t xml:space="preserve">Comparison note and phrasing approval</t>
        </is>
      </c>
      <c r="H43" s="15"/>
      <c r="I43" s="15" t="inlineStr">
        <is>
          <t xml:space="preserve">Editorial board</t>
        </is>
      </c>
      <c r="J43" s="11" t="inlineStr">
        <is>
          <t xml:space="preserve">Open</t>
        </is>
      </c>
      <c r="K43" s="15" t="inlineStr">
        <is>
          <t xml:space="preserve">Comparison note and phrasing approval</t>
        </is>
      </c>
      <c r="L43" s="15" t="inlineStr">
        <is>
          <t xml:space="preserve">decision id: OD-04-04 | topic: Hezekiah illness and Sennacherib order | why it matters: Kings, Isaiah, and Chronicles contain related but interpretively complex sequence issues. | current v0.4 treatment: Offer Compare Accounts and label narrative order as debated. | risk if wrong: User confusion or doctrinal overclaim. | decision owner: Editorial board | required evidence: Comparison note and phrasing approval | blocking?: Yes | status: Open</t>
        </is>
      </c>
    </row>
    <row r="44" ht="42" customHeight="1">
      <c r="A44" s="15" t="inlineStr">
        <is>
          <t xml:space="preserve">v0.4</t>
        </is>
      </c>
      <c r="B44" s="15" t="inlineStr">
        <is>
          <t xml:space="preserve">Bible_Journey_Canon_Map_v0_4_Prophets_Exile.xlsx</t>
        </is>
      </c>
      <c r="C44" s="15" t="inlineStr">
        <is>
          <t xml:space="preserve">OD-04-05</t>
        </is>
      </c>
      <c r="D44" s="15" t="inlineStr">
        <is>
          <t xml:space="preserve">Jeremiah 7 and 26 relationship</t>
        </is>
      </c>
      <c r="E44" s="15" t="inlineStr">
        <is>
          <t xml:space="preserve">Related temple material may not reflect a simple single-occasion duplication.</t>
        </is>
      </c>
      <c r="F44" s="15" t="inlineStr">
        <is>
          <t xml:space="preserve">Separate sets with a relationship note; no forced merge.</t>
        </is>
      </c>
      <c r="G44" s="15" t="inlineStr">
        <is>
          <t xml:space="preserve">Commentary review with text anchors</t>
        </is>
      </c>
      <c r="H44" s="15"/>
      <c r="I44" s="15" t="inlineStr">
        <is>
          <t xml:space="preserve">OT content lead</t>
        </is>
      </c>
      <c r="J44" s="11" t="inlineStr">
        <is>
          <t xml:space="preserve">Open</t>
        </is>
      </c>
      <c r="K44" s="15" t="inlineStr">
        <is>
          <t xml:space="preserve">Commentary review with text anchors</t>
        </is>
      </c>
      <c r="L44" s="15" t="inlineStr">
        <is>
          <t xml:space="preserve">decision id: OD-04-05 | topic: Jeremiah 7 and 26 relationship | why it matters: Related temple material may not reflect a simple single-occasion duplication. | current v0.4 treatment: Separate sets with a relationship note; no forced merge. | risk if wrong: Misleading composite narrative. | decision owner: OT content lead | required evidence: Commentary review with text anchors | blocking?: Yes | status: Open</t>
        </is>
      </c>
    </row>
    <row r="45" ht="42" customHeight="1">
      <c r="A45" s="15" t="inlineStr">
        <is>
          <t xml:space="preserve">v0.4</t>
        </is>
      </c>
      <c r="B45" s="15" t="inlineStr">
        <is>
          <t xml:space="preserve">Bible_Journey_Canon_Map_v0_4_Prophets_Exile.xlsx</t>
        </is>
      </c>
      <c r="C45" s="15" t="inlineStr">
        <is>
          <t xml:space="preserve">OD-04-06</t>
        </is>
      </c>
      <c r="D45" s="15" t="inlineStr">
        <is>
          <t xml:space="preserve">Jeremiah 46-51 collection behavior</t>
        </is>
      </c>
      <c r="E45" s="15" t="inlineStr">
        <is>
          <t xml:space="preserve">Oracles to nations are not one dated event.</t>
        </is>
      </c>
      <c r="F45" s="15" t="inlineStr">
        <is>
          <t xml:space="preserve">Complete includes the collection; Narrative Flow may defer it and marks it unread.</t>
        </is>
      </c>
      <c r="G45" s="15" t="inlineStr">
        <is>
          <t xml:space="preserve">UX contract test; data model review</t>
        </is>
      </c>
      <c r="H45" s="15"/>
      <c r="I45" s="15" t="inlineStr">
        <is>
          <t xml:space="preserve">Product + editorial</t>
        </is>
      </c>
      <c r="J45" s="11" t="inlineStr">
        <is>
          <t xml:space="preserve">Open</t>
        </is>
      </c>
      <c r="K45" s="15" t="inlineStr">
        <is>
          <t xml:space="preserve">UX contract test; data model review</t>
        </is>
      </c>
      <c r="L45" s="15" t="inlineStr">
        <is>
          <t xml:space="preserve">decision id: OD-04-06 | topic: Jeremiah 46-51 collection behavior | why it matters: Oracles to nations are not one dated event. | current v0.4 treatment: Complete includes the collection; Narrative Flow may defer it and marks it unread. | risk if wrong: Progress dishonesty or chronology overclaim. | decision owner: Product + editorial | required evidence: UX contract test; data model review | blocking?: Yes | status: Open</t>
        </is>
      </c>
    </row>
    <row r="46" ht="42" customHeight="1">
      <c r="A46" s="15" t="inlineStr">
        <is>
          <t xml:space="preserve">v0.4</t>
        </is>
      </c>
      <c r="B46" s="15" t="inlineStr">
        <is>
          <t xml:space="preserve">Bible_Journey_Canon_Map_v0_4_Prophets_Exile.xlsx</t>
        </is>
      </c>
      <c r="C46" s="15" t="inlineStr">
        <is>
          <t xml:space="preserve">OD-04-07</t>
        </is>
      </c>
      <c r="D46" s="15" t="inlineStr">
        <is>
          <t xml:space="preserve">Lamentations authorship and composition</t>
        </is>
      </c>
      <c r="E46" s="15" t="inlineStr">
        <is>
          <t xml:space="preserve">Traditional attribution is not an operational assumption.</t>
        </is>
      </c>
      <c r="F46" s="15" t="inlineStr">
        <is>
          <t xml:space="preserve">Placed after fall as poetic response without single-author claim.</t>
        </is>
      </c>
      <c r="G46" s="15" t="inlineStr">
        <is>
          <t xml:space="preserve">Editorial style guide</t>
        </is>
      </c>
      <c r="H46" s="15"/>
      <c r="I46" s="15" t="inlineStr">
        <is>
          <t xml:space="preserve">Editorial board</t>
        </is>
      </c>
      <c r="J46" s="11" t="inlineStr">
        <is>
          <t xml:space="preserve">Open</t>
        </is>
      </c>
      <c r="K46" s="15" t="inlineStr">
        <is>
          <t xml:space="preserve">Editorial style guide</t>
        </is>
      </c>
      <c r="L46" s="15" t="inlineStr">
        <is>
          <t xml:space="preserve">decision id: OD-04-07 | topic: Lamentations authorship and composition | why it matters: Traditional attribution is not an operational assumption. | current v0.4 treatment: Placed after fall as poetic response without single-author claim. | risk if wrong: Unnecessary doctrinal controversy. | decision owner: Editorial board | required evidence: Editorial style guide | blocking?: No | status: Open</t>
        </is>
      </c>
    </row>
    <row r="47" ht="42" customHeight="1">
      <c r="A47" s="15" t="inlineStr">
        <is>
          <t xml:space="preserve">v0.4</t>
        </is>
      </c>
      <c r="B47" s="15" t="inlineStr">
        <is>
          <t xml:space="preserve">Bible_Journey_Canon_Map_v0_4_Prophets_Exile.xlsx</t>
        </is>
      </c>
      <c r="C47" s="15" t="inlineStr">
        <is>
          <t xml:space="preserve">OD-04-08</t>
        </is>
      </c>
      <c r="D47" s="15" t="inlineStr">
        <is>
          <t xml:space="preserve">Scope gap: Habakkuk, Obadiah, Ezekiel, Daniel</t>
        </is>
      </c>
      <c r="E47" s="15" t="inlineStr">
        <is>
          <t xml:space="preserve">These books belong in the same historical corridor but were not requested in v0.4.</t>
        </is>
      </c>
      <c r="F47" s="15" t="inlineStr">
        <is>
          <t xml:space="preserve">Create future integration anchors only; do not pretend full late-monarchy coverage.</t>
        </is>
      </c>
      <c r="G47" s="15" t="inlineStr">
        <is>
          <t xml:space="preserve">v0.5 sequencing plan</t>
        </is>
      </c>
      <c r="H47" s="15"/>
      <c r="I47" s="15" t="inlineStr">
        <is>
          <t xml:space="preserve">Product owner</t>
        </is>
      </c>
      <c r="J47" s="11" t="inlineStr">
        <is>
          <t xml:space="preserve">Open</t>
        </is>
      </c>
      <c r="K47" s="15" t="inlineStr">
        <is>
          <t xml:space="preserve">v0.5 sequencing plan</t>
        </is>
      </c>
      <c r="L47" s="15" t="inlineStr">
        <is>
          <t xml:space="preserve">decision id: OD-04-08 | topic: Scope gap: Habakkuk, Obadiah, Ezekiel, Daniel | why it matters: These books belong in the same historical corridor but were not requested in v0.4. | current v0.4 treatment: Create future integration anchors only; do not pretend full late-monarchy coverage. | risk if wrong: Broken continuity if the app calls v0.4 a complete era map. | decision owner: Product owner | required evidence: v0.5 sequencing plan | blocking?: Yes | status: Open</t>
        </is>
      </c>
    </row>
    <row r="48" ht="42" customHeight="1">
      <c r="A48" s="15" t="inlineStr">
        <is>
          <t xml:space="preserve">v0.4</t>
        </is>
      </c>
      <c r="B48" s="15" t="inlineStr">
        <is>
          <t xml:space="preserve">Bible_Journey_Canon_Map_v0_4_Prophets_Exile.xlsx</t>
        </is>
      </c>
      <c r="C48" s="15" t="inlineStr">
        <is>
          <t xml:space="preserve">OD-04-09</t>
        </is>
      </c>
      <c r="D48" s="15" t="inlineStr">
        <is>
          <t xml:space="preserve">Source hierarchy</t>
        </is>
      </c>
      <c r="E48" s="15" t="inlineStr">
        <is>
          <t xml:space="preserve">Need a source standard for editorial claims and AI retrieval.</t>
        </is>
      </c>
      <c r="F48" s="15" t="inlineStr">
        <is>
          <t xml:space="preserve">Primary text + licensed/approved scholarship + review status.</t>
        </is>
      </c>
      <c r="G48" s="15" t="inlineStr">
        <is>
          <t xml:space="preserve">Source acceptance policy</t>
        </is>
      </c>
      <c r="H48" s="15"/>
      <c r="I48" s="15" t="inlineStr">
        <is>
          <t xml:space="preserve">Content governance lead</t>
        </is>
      </c>
      <c r="J48" s="11" t="inlineStr">
        <is>
          <t xml:space="preserve">Open</t>
        </is>
      </c>
      <c r="K48" s="15" t="inlineStr">
        <is>
          <t xml:space="preserve">Source acceptance policy</t>
        </is>
      </c>
      <c r="L48" s="15" t="inlineStr">
        <is>
          <t xml:space="preserve">decision id: OD-04-09 | topic: Source hierarchy | why it matters: Need a source standard for editorial claims and AI retrieval. | current v0.4 treatment: Primary text + licensed/approved scholarship + review status. | risk if wrong: AI may surface weak or non-reviewed claims. | decision owner: Content governance lead | required evidence: Source acceptance policy | blocking?: Yes | status: Open</t>
        </is>
      </c>
    </row>
    <row r="49" ht="42" customHeight="1">
      <c r="A49" s="15" t="inlineStr">
        <is>
          <t xml:space="preserve">v0.5</t>
        </is>
      </c>
      <c r="B49" s="15" t="inlineStr">
        <is>
          <t xml:space="preserve">Bible_Journey_Canon_Map_v0_5_Exile_Return_Persia.xlsx</t>
        </is>
      </c>
      <c r="C49" s="15" t="inlineStr">
        <is>
          <t xml:space="preserve">OD-05-001</t>
        </is>
      </c>
      <c r="D49" s="15" t="inlineStr">
        <is>
          <t xml:space="preserve">Habakkuk</t>
        </is>
      </c>
      <c r="E49" s="15" t="inlineStr">
        <is>
          <t xml:space="preserve">Decide whether to anchor after Josiah reforms, under Jehoiakim, or leave as a late-Judah collection card.</t>
        </is>
      </c>
      <c r="F49" s="15"/>
      <c r="G49" s="15"/>
      <c r="H49" s="15" t="inlineStr">
        <is>
          <t xml:space="preserve">Probable</t>
        </is>
      </c>
      <c r="I49" s="15" t="inlineStr">
        <is>
          <t xml:space="preserve">Editorial Lead</t>
        </is>
      </c>
      <c r="J49" s="11" t="inlineStr">
        <is>
          <t xml:space="preserve">Open</t>
        </is>
      </c>
      <c r="K49" s="15" t="inlineStr">
        <is>
          <t xml:space="preserve">SRC-01</t>
        </is>
      </c>
      <c r="L49" s="15" t="inlineStr">
        <is>
          <t xml:space="preserve">decision id: OD-05-001 | topic: Habakkuk | decision required: Exact placement within late Judah | confidence: Probable | why it matters: Decide whether to anchor after Josiah reforms, under Jehoiakim, or leave as a late-Judah collection card. | owner: Editorial Lead | status: Open | source keys: SRC-01</t>
        </is>
      </c>
    </row>
    <row r="50" ht="42" customHeight="1">
      <c r="A50" s="15" t="inlineStr">
        <is>
          <t xml:space="preserve">v0.5</t>
        </is>
      </c>
      <c r="B50" s="15" t="inlineStr">
        <is>
          <t xml:space="preserve">Bible_Journey_Canon_Map_v0_5_Exile_Return_Persia.xlsx</t>
        </is>
      </c>
      <c r="C50" s="15" t="inlineStr">
        <is>
          <t xml:space="preserve">OD-05-002</t>
        </is>
      </c>
      <c r="D50" s="15" t="inlineStr">
        <is>
          <t xml:space="preserve">Obadiah</t>
        </is>
      </c>
      <c r="E50" s="15" t="inlineStr">
        <is>
          <t xml:space="preserve">Default post-586 placement is supported by Edom/Jerusalem imagery, but competing proposals must be disclosed.</t>
        </is>
      </c>
      <c r="F50" s="15"/>
      <c r="G50" s="15"/>
      <c r="H50" s="15" t="inlineStr">
        <is>
          <t xml:space="preserve">Debated</t>
        </is>
      </c>
      <c r="I50" s="15" t="inlineStr">
        <is>
          <t xml:space="preserve">Editorial Lead</t>
        </is>
      </c>
      <c r="J50" s="11" t="inlineStr">
        <is>
          <t xml:space="preserve">Open</t>
        </is>
      </c>
      <c r="K50" s="15" t="inlineStr">
        <is>
          <t xml:space="preserve">SRC-02</t>
        </is>
      </c>
      <c r="L50" s="15" t="inlineStr">
        <is>
          <t xml:space="preserve">decision id: OD-05-002 | topic: Obadiah | decision required: Post-586 placement vs alternate dates | confidence: Debated | why it matters: Default post-586 placement is supported by Edom/Jerusalem imagery, but competing proposals must be disclosed. | owner: Editorial Lead | status: Open | source keys: SRC-02</t>
        </is>
      </c>
    </row>
    <row r="51" ht="42" customHeight="1">
      <c r="A51" s="15" t="inlineStr">
        <is>
          <t xml:space="preserve">v0.5</t>
        </is>
      </c>
      <c r="B51" s="15" t="inlineStr">
        <is>
          <t xml:space="preserve">Bible_Journey_Canon_Map_v0_5_Exile_Return_Persia.xlsx</t>
        </is>
      </c>
      <c r="C51" s="15" t="inlineStr">
        <is>
          <t xml:space="preserve">OD-05-003</t>
        </is>
      </c>
      <c r="D51" s="15" t="inlineStr">
        <is>
          <t xml:space="preserve">Ezekiel 29:17-21</t>
        </is>
      </c>
      <c r="E51" s="15" t="inlineStr">
        <is>
          <t xml:space="preserve">Build explicit 'return to earlier chapter' UI and preserve canonical navigation access.</t>
        </is>
      </c>
      <c r="F51" s="15"/>
      <c r="G51" s="15"/>
      <c r="H51" s="15" t="inlineStr">
        <is>
          <t xml:space="preserve">High</t>
        </is>
      </c>
      <c r="I51" s="15" t="inlineStr">
        <is>
          <t xml:space="preserve">Product + Engineering</t>
        </is>
      </c>
      <c r="J51" s="10" t="inlineStr">
        <is>
          <t xml:space="preserve">Approved concept</t>
        </is>
      </c>
      <c r="K51" s="15" t="inlineStr">
        <is>
          <t xml:space="preserve">SRC-03</t>
        </is>
      </c>
      <c r="L51" s="15" t="inlineStr">
        <is>
          <t xml:space="preserve">decision id: OD-05-003 | topic: Ezekiel 29:17-21 | decision required: Book-order detour after Ezekiel 40-48 | confidence: High | why it matters: Build explicit 'return to earlier chapter' UI and preserve canonical navigation access. | owner: Product + Engineering | status: Approved concept | source keys: SRC-03</t>
        </is>
      </c>
    </row>
    <row r="52" ht="42" customHeight="1">
      <c r="A52" s="15" t="inlineStr">
        <is>
          <t xml:space="preserve">v0.5</t>
        </is>
      </c>
      <c r="B52" s="15" t="inlineStr">
        <is>
          <t xml:space="preserve">Bible_Journey_Canon_Map_v0_5_Exile_Return_Persia.xlsx</t>
        </is>
      </c>
      <c r="C52" s="15" t="inlineStr">
        <is>
          <t xml:space="preserve">OD-05-004</t>
        </is>
      </c>
      <c r="D52" s="15" t="inlineStr">
        <is>
          <t xml:space="preserve">Daniel</t>
        </is>
      </c>
      <c r="E52" s="15" t="inlineStr">
        <is>
          <t xml:space="preserve">Create two separate metadata fields; never collapse scholarly composition discussion into the story timeline.</t>
        </is>
      </c>
      <c r="F52" s="15"/>
      <c r="G52" s="15"/>
      <c r="H52" s="15" t="inlineStr">
        <is>
          <t xml:space="preserve">Debated</t>
        </is>
      </c>
      <c r="I52" s="15" t="inlineStr">
        <is>
          <t xml:space="preserve">Editorial + AI</t>
        </is>
      </c>
      <c r="J52" s="11" t="inlineStr">
        <is>
          <t xml:space="preserve">Open</t>
        </is>
      </c>
      <c r="K52" s="15" t="inlineStr">
        <is>
          <t xml:space="preserve">SRC-05; SRC-06</t>
        </is>
      </c>
      <c r="L52" s="15" t="inlineStr">
        <is>
          <t xml:space="preserve">decision id: OD-05-004 | topic: Daniel | decision required: Narrative setting vs compositional chronology | confidence: Debated | why it matters: Create two separate metadata fields; never collapse scholarly composition discussion into the story timeline. | owner: Editorial + AI | status: Open | source keys: SRC-05; SRC-06</t>
        </is>
      </c>
    </row>
    <row r="53" ht="42" customHeight="1">
      <c r="A53" s="15" t="inlineStr">
        <is>
          <t xml:space="preserve">v0.5</t>
        </is>
      </c>
      <c r="B53" s="15" t="inlineStr">
        <is>
          <t xml:space="preserve">Bible_Journey_Canon_Map_v0_5_Exile_Return_Persia.xlsx</t>
        </is>
      </c>
      <c r="C53" s="15" t="inlineStr">
        <is>
          <t xml:space="preserve">OD-05-005</t>
        </is>
      </c>
      <c r="D53" s="15" t="inlineStr">
        <is>
          <t xml:space="preserve">Daniel 6 / 9</t>
        </is>
      </c>
      <c r="E53" s="15" t="inlineStr">
        <is>
          <t xml:space="preserve">Use broad narrative-setting label and offer a source-aware explanation in Study Mode.</t>
        </is>
      </c>
      <c r="F53" s="15"/>
      <c r="G53" s="15"/>
      <c r="H53" s="15" t="inlineStr">
        <is>
          <t xml:space="preserve">Debated</t>
        </is>
      </c>
      <c r="I53" s="15" t="inlineStr">
        <is>
          <t xml:space="preserve">Editorial Lead</t>
        </is>
      </c>
      <c r="J53" s="11" t="inlineStr">
        <is>
          <t xml:space="preserve">Open</t>
        </is>
      </c>
      <c r="K53" s="15" t="inlineStr">
        <is>
          <t xml:space="preserve">SRC-05; SRC-06; SRC-32</t>
        </is>
      </c>
      <c r="L53" s="15" t="inlineStr">
        <is>
          <t xml:space="preserve">decision id: OD-05-005 | topic: Daniel 6 / 9 | decision required: Darius the Mede identification | confidence: Debated | why it matters: Use broad narrative-setting label and offer a source-aware explanation in Study Mode. | owner: Editorial Lead | status: Open | source keys: SRC-05; SRC-06; SRC-32</t>
        </is>
      </c>
    </row>
    <row r="54" ht="42" customHeight="1">
      <c r="A54" s="15" t="inlineStr">
        <is>
          <t xml:space="preserve">v0.5</t>
        </is>
      </c>
      <c r="B54" s="15" t="inlineStr">
        <is>
          <t xml:space="preserve">Bible_Journey_Canon_Map_v0_5_Exile_Return_Persia.xlsx</t>
        </is>
      </c>
      <c r="C54" s="15" t="inlineStr">
        <is>
          <t xml:space="preserve">OD-05-006</t>
        </is>
      </c>
      <c r="D54" s="15" t="inlineStr">
        <is>
          <t xml:space="preserve">Ezra 4:6-23</t>
        </is>
      </c>
      <c r="E54" s="15" t="inlineStr">
        <is>
          <t xml:space="preserve">Split Ezra 4 into three distinct blocks and explain why this differs from book order.</t>
        </is>
      </c>
      <c r="F54" s="15"/>
      <c r="G54" s="15"/>
      <c r="H54" s="15" t="inlineStr">
        <is>
          <t xml:space="preserve">High</t>
        </is>
      </c>
      <c r="I54" s="15" t="inlineStr">
        <is>
          <t xml:space="preserve">Product + Engineering</t>
        </is>
      </c>
      <c r="J54" s="10" t="inlineStr">
        <is>
          <t xml:space="preserve">Approved concept</t>
        </is>
      </c>
      <c r="K54" s="15" t="inlineStr">
        <is>
          <t xml:space="preserve">SRC-09</t>
        </is>
      </c>
      <c r="L54" s="15" t="inlineStr">
        <is>
          <t xml:space="preserve">decision id: OD-05-006 | topic: Ezra 4:6-23 | decision required: Reorder editorial flash-forward | confidence: High | why it matters: Split Ezra 4 into three distinct blocks and explain why this differs from book order. | owner: Product + Engineering | status: Approved concept | source keys: SRC-09</t>
        </is>
      </c>
    </row>
    <row r="55" ht="42" customHeight="1">
      <c r="A55" s="15" t="inlineStr">
        <is>
          <t xml:space="preserve">v0.5</t>
        </is>
      </c>
      <c r="B55" s="15" t="inlineStr">
        <is>
          <t xml:space="preserve">Bible_Journey_Canon_Map_v0_5_Exile_Return_Persia.xlsx</t>
        </is>
      </c>
      <c r="C55" s="15" t="inlineStr">
        <is>
          <t xml:space="preserve">OD-05-007</t>
        </is>
      </c>
      <c r="D55" s="15" t="inlineStr">
        <is>
          <t xml:space="preserve">Ezra 7</t>
        </is>
      </c>
      <c r="E55" s="15" t="inlineStr">
        <is>
          <t xml:space="preserve">Choose a default framework, expose it in metadata, and retain alternate proposal notes.</t>
        </is>
      </c>
      <c r="F55" s="15"/>
      <c r="G55" s="15"/>
      <c r="H55" s="15" t="inlineStr">
        <is>
          <t xml:space="preserve">Debated</t>
        </is>
      </c>
      <c r="I55" s="15" t="inlineStr">
        <is>
          <t xml:space="preserve">Editorial Board</t>
        </is>
      </c>
      <c r="J55" s="11" t="inlineStr">
        <is>
          <t xml:space="preserve">Open</t>
        </is>
      </c>
      <c r="K55" s="15" t="inlineStr">
        <is>
          <t xml:space="preserve">SRC-09; SRC-12</t>
        </is>
      </c>
      <c r="L55" s="15" t="inlineStr">
        <is>
          <t xml:space="preserve">decision id: OD-05-007 | topic: Ezra 7 | decision required: Artaxerxes chronology choice | confidence: Debated | why it matters: Choose a default framework, expose it in metadata, and retain alternate proposal notes. | owner: Editorial Board | status: Open | source keys: SRC-09; SRC-12</t>
        </is>
      </c>
    </row>
    <row r="56" ht="42" customHeight="1">
      <c r="A56" s="15" t="inlineStr">
        <is>
          <t xml:space="preserve">v0.5</t>
        </is>
      </c>
      <c r="B56" s="15" t="inlineStr">
        <is>
          <t xml:space="preserve">Bible_Journey_Canon_Map_v0_5_Exile_Return_Persia.xlsx</t>
        </is>
      </c>
      <c r="C56" s="15" t="inlineStr">
        <is>
          <t xml:space="preserve">OD-05-008</t>
        </is>
      </c>
      <c r="D56" s="15" t="inlineStr">
        <is>
          <t xml:space="preserve">Zechariah 9-14</t>
        </is>
      </c>
      <c r="E56" s="15" t="inlineStr">
        <is>
          <t xml:space="preserve">Read after dated 1-8 as a study arrangement with a clear 'placement debated' disclosure.</t>
        </is>
      </c>
      <c r="F56" s="15"/>
      <c r="G56" s="15"/>
      <c r="H56" s="15" t="inlineStr">
        <is>
          <t xml:space="preserve">Debated</t>
        </is>
      </c>
      <c r="I56" s="15" t="inlineStr">
        <is>
          <t xml:space="preserve">Editorial Lead</t>
        </is>
      </c>
      <c r="J56" s="11" t="inlineStr">
        <is>
          <t xml:space="preserve">Open</t>
        </is>
      </c>
      <c r="K56" s="15" t="inlineStr">
        <is>
          <t xml:space="preserve">SRC-08; SRC-11</t>
        </is>
      </c>
      <c r="L56" s="15" t="inlineStr">
        <is>
          <t xml:space="preserve">decision id: OD-05-008 | topic: Zechariah 9-14 | decision required: Placement of undated final collection | confidence: Debated | why it matters: Read after dated 1-8 as a study arrangement with a clear 'placement debated' disclosure. | owner: Editorial Lead | status: Open | source keys: SRC-08; SRC-11</t>
        </is>
      </c>
    </row>
    <row r="57" ht="42" customHeight="1">
      <c r="A57" s="15" t="inlineStr">
        <is>
          <t xml:space="preserve">v0.5</t>
        </is>
      </c>
      <c r="B57" s="15" t="inlineStr">
        <is>
          <t xml:space="preserve">Bible_Journey_Canon_Map_v0_5_Exile_Return_Persia.xlsx</t>
        </is>
      </c>
      <c r="C57" s="15" t="inlineStr">
        <is>
          <t xml:space="preserve">OD-05-009</t>
        </is>
      </c>
      <c r="D57" s="15" t="inlineStr">
        <is>
          <t xml:space="preserve">Nehemiah 8</t>
        </is>
      </c>
      <c r="E57" s="15" t="inlineStr">
        <is>
          <t xml:space="preserve">Keep the traditional sequence but offer a chronology note in Study Mode.</t>
        </is>
      </c>
      <c r="F57" s="15"/>
      <c r="G57" s="15"/>
      <c r="H57" s="15" t="inlineStr">
        <is>
          <t xml:space="preserve">Probable</t>
        </is>
      </c>
      <c r="I57" s="15" t="inlineStr">
        <is>
          <t xml:space="preserve">Editorial Lead</t>
        </is>
      </c>
      <c r="J57" s="11" t="inlineStr">
        <is>
          <t xml:space="preserve">Open</t>
        </is>
      </c>
      <c r="K57" s="15" t="inlineStr">
        <is>
          <t xml:space="preserve">SRC-10; SRC-34</t>
        </is>
      </c>
      <c r="L57" s="15" t="inlineStr">
        <is>
          <t xml:space="preserve">decision id: OD-05-009 | topic: Nehemiah 8 | decision required: Relationship to Ezra's arrival and chronology | confidence: Probable | why it matters: Keep the traditional sequence but offer a chronology note in Study Mode. | owner: Editorial Lead | status: Open | source keys: SRC-10; SRC-34</t>
        </is>
      </c>
    </row>
    <row r="58" ht="42" customHeight="1">
      <c r="A58" s="15" t="inlineStr">
        <is>
          <t xml:space="preserve">v0.5</t>
        </is>
      </c>
      <c r="B58" s="15" t="inlineStr">
        <is>
          <t xml:space="preserve">Bible_Journey_Canon_Map_v0_5_Exile_Return_Persia.xlsx</t>
        </is>
      </c>
      <c r="C58" s="15" t="inlineStr">
        <is>
          <t xml:space="preserve">OD-05-010</t>
        </is>
      </c>
      <c r="D58" s="15" t="inlineStr">
        <is>
          <t xml:space="preserve">Malachi</t>
        </is>
      </c>
      <c r="E58" s="15" t="inlineStr">
        <is>
          <t xml:space="preserve">Place after Nehemiah for stream coherence only; do not state a fixed year.</t>
        </is>
      </c>
      <c r="F58" s="15"/>
      <c r="G58" s="15"/>
      <c r="H58" s="15" t="inlineStr">
        <is>
          <t xml:space="preserve">Debated</t>
        </is>
      </c>
      <c r="I58" s="15" t="inlineStr">
        <is>
          <t xml:space="preserve">Editorial Lead</t>
        </is>
      </c>
      <c r="J58" s="11" t="inlineStr">
        <is>
          <t xml:space="preserve">Open</t>
        </is>
      </c>
      <c r="K58" s="15" t="inlineStr">
        <is>
          <t xml:space="preserve">SRC-14</t>
        </is>
      </c>
      <c r="L58" s="15" t="inlineStr">
        <is>
          <t xml:space="preserve">decision id: OD-05-010 | topic: Malachi | decision required: Relationship to Ezra-Nehemiah | confidence: Debated | why it matters: Place after Nehemiah for stream coherence only; do not state a fixed year. | owner: Editorial Lead | status: Open | source keys: SRC-14</t>
        </is>
      </c>
    </row>
    <row r="59" ht="42" customHeight="1">
      <c r="A59" s="15" t="inlineStr">
        <is>
          <t xml:space="preserve">v0.5</t>
        </is>
      </c>
      <c r="B59" s="15" t="inlineStr">
        <is>
          <t xml:space="preserve">Bible_Journey_Canon_Map_v0_5_Exile_Return_Persia.xlsx</t>
        </is>
      </c>
      <c r="C59" s="15" t="inlineStr">
        <is>
          <t xml:space="preserve">OD-05-011</t>
        </is>
      </c>
      <c r="D59" s="15" t="inlineStr">
        <is>
          <t xml:space="preserve">Esther</t>
        </is>
      </c>
      <c r="E59" s="15" t="inlineStr">
        <is>
          <t xml:space="preserve">Schedule in v0.6 before claiming full Persian-period narrative coverage.</t>
        </is>
      </c>
      <c r="F59" s="15"/>
      <c r="G59" s="15"/>
      <c r="H59" s="15" t="inlineStr">
        <is>
          <t xml:space="preserve">High</t>
        </is>
      </c>
      <c r="I59" s="15" t="inlineStr">
        <is>
          <t xml:space="preserve">Product</t>
        </is>
      </c>
      <c r="J59" s="11" t="inlineStr">
        <is>
          <t xml:space="preserve">Open</t>
        </is>
      </c>
      <c r="K59" s="15" t="inlineStr">
        <is>
          <t xml:space="preserve">SRC-12</t>
        </is>
      </c>
      <c r="L59" s="15" t="inlineStr">
        <is>
          <t xml:space="preserve">decision id: OD-05-011 | topic: Esther | decision required: Persian-period coverage gap | confidence: High | why it matters: Schedule in v0.6 before claiming full Persian-period narrative coverage. | owner: Product | status: Open | source keys: SRC-12</t>
        </is>
      </c>
    </row>
    <row r="60" ht="42" customHeight="1">
      <c r="A60" s="15" t="inlineStr">
        <is>
          <t xml:space="preserve">v0.6</t>
        </is>
      </c>
      <c r="B60" s="15" t="inlineStr">
        <is>
          <t xml:space="preserve">Bible_Journey_Canon_Map_v0_6_Esther_Intertestamental_Bridge.xlsx</t>
        </is>
      </c>
      <c r="C60" s="15" t="inlineStr">
        <is>
          <t xml:space="preserve">OD-06-001</t>
        </is>
      </c>
      <c r="D60" s="15" t="inlineStr">
        <is>
          <t xml:space="preserve">Esther placement</t>
        </is>
      </c>
      <c r="E60" s="15" t="inlineStr">
        <is>
          <t xml:space="preserve">Esther's setting under Ahasuerus/Xerxes can orient the reader, but historicity, composition, and relation to Ezra-Nehemiah remain distinct questions.</t>
        </is>
      </c>
      <c r="F60" s="15"/>
      <c r="G60" s="15"/>
      <c r="H60" s="15" t="inlineStr">
        <is>
          <t xml:space="preserve">Probable</t>
        </is>
      </c>
      <c r="I60" s="15" t="inlineStr">
        <is>
          <t xml:space="preserve">Editorial Board</t>
        </is>
      </c>
      <c r="J60" s="11" t="inlineStr">
        <is>
          <t xml:space="preserve">Open</t>
        </is>
      </c>
      <c r="K60" s="15" t="inlineStr">
        <is>
          <t xml:space="preserve">SRC-06-01; SRC-06-02; SRC-06-03</t>
        </is>
      </c>
      <c r="L60" s="15" t="inlineStr">
        <is>
          <t xml:space="preserve">decision id: OD-06-001 | topic: Esther placement | decision required: Decide exact insertion UX relative to Ezra 6, Ezra 7, and Nehemiah when narrative setting is used. | confidence: Probable | why it matters: Esther's setting under Ahasuerus/Xerxes can orient the reader, but historicity, composition, and relation to Ezra-Nehemiah remain distinct questions. | owner: Editorial Board | status: Open | source keys: SRC-06-01; SRC-06-02; SRC-06-03</t>
        </is>
      </c>
    </row>
    <row r="61" ht="42" customHeight="1">
      <c r="A61" s="15" t="inlineStr">
        <is>
          <t xml:space="preserve">v0.6</t>
        </is>
      </c>
      <c r="B61" s="15" t="inlineStr">
        <is>
          <t xml:space="preserve">Bible_Journey_Canon_Map_v0_6_Esther_Intertestamental_Bridge.xlsx</t>
        </is>
      </c>
      <c r="C61" s="15" t="inlineStr">
        <is>
          <t xml:space="preserve">OD-06-002</t>
        </is>
      </c>
      <c r="D61" s="15" t="inlineStr">
        <is>
          <t xml:space="preserve">Historical bridge default</t>
        </is>
      </c>
      <c r="E61" s="15" t="inlineStr">
        <is>
          <t xml:space="preserve">The product must give historical orientation without confusing users about what is Scripture.</t>
        </is>
      </c>
      <c r="F61" s="15"/>
      <c r="G61" s="15"/>
      <c r="H61" s="15" t="inlineStr">
        <is>
          <t xml:space="preserve">High</t>
        </is>
      </c>
      <c r="I61" s="15" t="inlineStr">
        <is>
          <t xml:space="preserve">Product + Editorial</t>
        </is>
      </c>
      <c r="J61" s="11" t="inlineStr">
        <is>
          <t xml:space="preserve">Open</t>
        </is>
      </c>
      <c r="K61" s="15" t="inlineStr">
        <is>
          <t xml:space="preserve">SRC-06-05; SRC-06-16</t>
        </is>
      </c>
      <c r="L61" s="15" t="inlineStr">
        <is>
          <t xml:space="preserve">decision id: OD-06-002 | topic: Historical bridge default | decision required: Decide whether Context Bridge cards are shown by default or offered as opt-in from onboarding. | confidence: High | why it matters: The product must give historical orientation without confusing users about what is Scripture. | owner: Product + Editorial | status: Open | source keys: SRC-06-05; SRC-06-16</t>
        </is>
      </c>
    </row>
    <row r="62" ht="42" customHeight="1">
      <c r="A62" s="15" t="inlineStr">
        <is>
          <t xml:space="preserve">v0.6</t>
        </is>
      </c>
      <c r="B62" s="15" t="inlineStr">
        <is>
          <t xml:space="preserve">Bible_Journey_Canon_Map_v0_6_Esther_Intertestamental_Bridge.xlsx</t>
        </is>
      </c>
      <c r="C62" s="15" t="inlineStr">
        <is>
          <t xml:space="preserve">OD-06-003</t>
        </is>
      </c>
      <c r="D62" s="15" t="inlineStr">
        <is>
          <t xml:space="preserve">Canon profiles</t>
        </is>
      </c>
      <c r="E62" s="15" t="inlineStr">
        <is>
          <t xml:space="preserve">Historical resources may be valuable but cannot be silently treated as canonical for every user.</t>
        </is>
      </c>
      <c r="F62" s="15"/>
      <c r="G62" s="15"/>
      <c r="H62" s="15" t="inlineStr">
        <is>
          <t xml:space="preserve">High</t>
        </is>
      </c>
      <c r="I62" s="15" t="inlineStr">
        <is>
          <t xml:space="preserve">Product + Legal + Editorial</t>
        </is>
      </c>
      <c r="J62" s="11" t="inlineStr">
        <is>
          <t xml:space="preserve">Open</t>
        </is>
      </c>
      <c r="K62" s="15" t="inlineStr">
        <is>
          <t xml:space="preserve">SRC-06-07; SRC-06-19</t>
        </is>
      </c>
      <c r="L62" s="15" t="inlineStr">
        <is>
          <t xml:space="preserve">decision id: OD-06-003 | topic: Canon profiles | decision required: Define support policy for Apocrypha / Deuterocanon / Orthodox materials, beginning with 1-2 Maccabees. | confidence: High | why it matters: Historical resources may be valuable but cannot be silently treated as canonical for every user. | owner: Product + Legal + Editorial | status: Open | source keys: SRC-06-07; SRC-06-19</t>
        </is>
      </c>
    </row>
    <row r="63" ht="42" customHeight="1">
      <c r="A63" s="15" t="inlineStr">
        <is>
          <t xml:space="preserve">v0.6</t>
        </is>
      </c>
      <c r="B63" s="15" t="inlineStr">
        <is>
          <t xml:space="preserve">Bible_Journey_Canon_Map_v0_6_Esther_Intertestamental_Bridge.xlsx</t>
        </is>
      </c>
      <c r="C63" s="15" t="inlineStr">
        <is>
          <t xml:space="preserve">OD-06-004</t>
        </is>
      </c>
      <c r="D63" s="15" t="inlineStr">
        <is>
          <t xml:space="preserve">Daniel study links</t>
        </is>
      </c>
      <c r="E63" s="15" t="inlineStr">
        <is>
          <t xml:space="preserve">Ezra must explain interpretive diversity and distinguish text, reception, and historical reconstruction.</t>
        </is>
      </c>
      <c r="F63" s="15"/>
      <c r="G63" s="15"/>
      <c r="H63" s="15" t="inlineStr">
        <is>
          <t xml:space="preserve">Debated</t>
        </is>
      </c>
      <c r="I63" s="15" t="inlineStr">
        <is>
          <t xml:space="preserve">Editorial + AI</t>
        </is>
      </c>
      <c r="J63" s="11" t="inlineStr">
        <is>
          <t xml:space="preserve">Open</t>
        </is>
      </c>
      <c r="K63" s="15" t="inlineStr">
        <is>
          <t xml:space="preserve">SRC-06-05; SRC-06-06</t>
        </is>
      </c>
      <c r="L63" s="15" t="inlineStr">
        <is>
          <t xml:space="preserve">decision id: OD-06-004 | topic: Daniel study links | decision required: Define how Daniel 7-12 is connected to Hellenistic bridge cards without forcing a one-to-one predictive timeline. | confidence: Debated | why it matters: Ezra must explain interpretive diversity and distinguish text, reception, and historical reconstruction. | owner: Editorial + AI | status: Open | source keys: SRC-06-05; SRC-06-06</t>
        </is>
      </c>
    </row>
    <row r="64" ht="42" customHeight="1">
      <c r="A64" s="15" t="inlineStr">
        <is>
          <t xml:space="preserve">v0.6</t>
        </is>
      </c>
      <c r="B64" s="15" t="inlineStr">
        <is>
          <t xml:space="preserve">Bible_Journey_Canon_Map_v0_6_Esther_Intertestamental_Bridge.xlsx</t>
        </is>
      </c>
      <c r="C64" s="15" t="inlineStr">
        <is>
          <t xml:space="preserve">OD-06-005</t>
        </is>
      </c>
      <c r="D64" s="15" t="inlineStr">
        <is>
          <t xml:space="preserve">Maccabean sourcing</t>
        </is>
      </c>
      <c r="E64" s="15" t="inlineStr">
        <is>
          <t xml:space="preserve">This is legal, canon-profile, and UX-sensitive.</t>
        </is>
      </c>
      <c r="F64" s="15"/>
      <c r="G64" s="15"/>
      <c r="H64" s="15" t="inlineStr">
        <is>
          <t xml:space="preserve">High</t>
        </is>
      </c>
      <c r="I64" s="15" t="inlineStr">
        <is>
          <t xml:space="preserve">Legal + Product</t>
        </is>
      </c>
      <c r="J64" s="11" t="inlineStr">
        <is>
          <t xml:space="preserve">Open</t>
        </is>
      </c>
      <c r="K64" s="15" t="inlineStr">
        <is>
          <t xml:space="preserve">SRC-06-07; SRC-06-19</t>
        </is>
      </c>
      <c r="L64" s="15" t="inlineStr">
        <is>
          <t xml:space="preserve">decision id: OD-06-005 | topic: Maccabean sourcing | decision required: Decide whether optional 1-2 Maccabees text is licensed, referenced externally, or summarized in original context cards. | confidence: High | why it matters: This is legal, canon-profile, and UX-sensitive. | owner: Legal + Product | status: Open | source keys: SRC-06-07; SRC-06-19</t>
        </is>
      </c>
    </row>
    <row r="65" ht="42" customHeight="1">
      <c r="A65" s="15" t="inlineStr">
        <is>
          <t xml:space="preserve">v0.6</t>
        </is>
      </c>
      <c r="B65" s="15" t="inlineStr">
        <is>
          <t xml:space="preserve">Bible_Journey_Canon_Map_v0_6_Esther_Intertestamental_Bridge.xlsx</t>
        </is>
      </c>
      <c r="C65" s="15" t="inlineStr">
        <is>
          <t xml:space="preserve">OD-06-006</t>
        </is>
      </c>
      <c r="D65" s="15" t="inlineStr">
        <is>
          <t xml:space="preserve">Gospel start</t>
        </is>
      </c>
      <c r="E65" s="15" t="inlineStr">
        <is>
          <t xml:space="preserve">This controls the handoff from intertestamental history to the life of Jesus.</t>
        </is>
      </c>
      <c r="F65" s="15"/>
      <c r="G65" s="15"/>
      <c r="H65" s="15" t="inlineStr">
        <is>
          <t xml:space="preserve">Debated</t>
        </is>
      </c>
      <c r="I65" s="15" t="inlineStr">
        <is>
          <t xml:space="preserve">Editorial Board</t>
        </is>
      </c>
      <c r="J65" s="11" t="inlineStr">
        <is>
          <t xml:space="preserve">Open</t>
        </is>
      </c>
      <c r="K65" s="15" t="inlineStr">
        <is>
          <t xml:space="preserve">SRC-06-08; SRC-06-09</t>
        </is>
      </c>
      <c r="L65" s="15" t="inlineStr">
        <is>
          <t xml:space="preserve">decision id: OD-06-006 | topic: Gospel start | decision required: Choose the default canonical unit and harmony framework for v0.7 Gospel chronology. | confidence: Debated | why it matters: This controls the handoff from intertestamental history to the life of Jesus. | owner: Editorial Board | status: Open | source keys: SRC-06-08; SRC-06-09</t>
        </is>
      </c>
    </row>
    <row r="66" ht="42" customHeight="1">
      <c r="A66" s="15" t="inlineStr">
        <is>
          <t xml:space="preserve">v0.6</t>
        </is>
      </c>
      <c r="B66" s="15" t="inlineStr">
        <is>
          <t xml:space="preserve">Bible_Journey_Canon_Map_v0_6_Esther_Intertestamental_Bridge.xlsx</t>
        </is>
      </c>
      <c r="C66" s="15" t="inlineStr">
        <is>
          <t xml:space="preserve">OD-06-007</t>
        </is>
      </c>
      <c r="D66" s="15" t="inlineStr">
        <is>
          <t xml:space="preserve">Historical card citations</t>
        </is>
      </c>
      <c r="E66" s="15" t="inlineStr">
        <is>
          <t xml:space="preserve">Context must remain auditable without turning the reader into an academic bibliography.</t>
        </is>
      </c>
      <c r="F66" s="15"/>
      <c r="G66" s="15"/>
      <c r="H66" s="15" t="inlineStr">
        <is>
          <t xml:space="preserve">High</t>
        </is>
      </c>
      <c r="I66" s="15" t="inlineStr">
        <is>
          <t xml:space="preserve">Product + UX</t>
        </is>
      </c>
      <c r="J66" s="11" t="inlineStr">
        <is>
          <t xml:space="preserve">Open</t>
        </is>
      </c>
      <c r="K66" s="15" t="inlineStr">
        <is>
          <t xml:space="preserve">SRC-06-05; SRC-06-06; SRC-06-09</t>
        </is>
      </c>
      <c r="L66" s="15" t="inlineStr">
        <is>
          <t xml:space="preserve">decision id: OD-06-007 | topic: Historical card citations | decision required: Define the user-facing citation pattern and source-depth behavior for context cards. | confidence: High | why it matters: Context must remain auditable without turning the reader into an academic bibliography. | owner: Product + UX | status: Open | source keys: SRC-06-05; SRC-06-06; SRC-06-09</t>
        </is>
      </c>
    </row>
    <row r="67" ht="42" customHeight="1">
      <c r="A67" s="15" t="inlineStr">
        <is>
          <t xml:space="preserve">v0.6</t>
        </is>
      </c>
      <c r="B67" s="15" t="inlineStr">
        <is>
          <t xml:space="preserve">Bible_Journey_Canon_Map_v0_6_Esther_Intertestamental_Bridge.xlsx</t>
        </is>
      </c>
      <c r="C67" s="15" t="inlineStr">
        <is>
          <t xml:space="preserve">OD-06-008</t>
        </is>
      </c>
      <c r="D67" s="15" t="inlineStr">
        <is>
          <t xml:space="preserve">Nativity dating</t>
        </is>
      </c>
      <c r="E67" s="15" t="inlineStr">
        <is>
          <t xml:space="preserve">Avoid presenting a narrow year as uncontested.</t>
        </is>
      </c>
      <c r="F67" s="15"/>
      <c r="G67" s="15"/>
      <c r="H67" s="15" t="inlineStr">
        <is>
          <t xml:space="preserve">Debated</t>
        </is>
      </c>
      <c r="I67" s="15" t="inlineStr">
        <is>
          <t xml:space="preserve">Editorial Board</t>
        </is>
      </c>
      <c r="J67" s="11" t="inlineStr">
        <is>
          <t xml:space="preserve">Open</t>
        </is>
      </c>
      <c r="K67" s="15" t="inlineStr">
        <is>
          <t xml:space="preserve">SRC-06-08; SRC-06-09</t>
        </is>
      </c>
      <c r="L67" s="15" t="inlineStr">
        <is>
          <t xml:space="preserve">decision id: OD-06-008 | topic: Nativity dating | decision required: Choose wording for the transition from Herod's reign to Gospel birth narratives. | confidence: Debated | why it matters: Avoid presenting a narrow year as uncontested. | owner: Editorial Board | status: Open | source keys: SRC-06-08; SRC-06-09</t>
        </is>
      </c>
    </row>
    <row r="68" ht="42" customHeight="1">
      <c r="A68" s="15" t="inlineStr">
        <is>
          <t xml:space="preserve">v0.7</t>
        </is>
      </c>
      <c r="B68" s="15" t="inlineStr">
        <is>
          <t xml:space="preserve">Bible_Journey_Canon_Map_v0_7_Gospel_Chronology.xlsx</t>
        </is>
      </c>
      <c r="C68" s="15" t="inlineStr">
        <is>
          <t xml:space="preserve">OD-07-01</t>
        </is>
      </c>
      <c r="D68" s="15" t="inlineStr">
        <is>
          <t xml:space="preserve">Overall Gospel harmony approach</t>
        </is>
      </c>
      <c r="E68" s="15" t="inlineStr">
        <is>
          <t xml:space="preserve">A chronology is useful but no single order is universally accepted.</t>
        </is>
      </c>
      <c r="F68" s="15" t="inlineStr">
        <is>
          <t xml:space="preserve">Working harmony with Mark anchoring many Synoptic sequences; placement badges visible.</t>
        </is>
      </c>
      <c r="G68" s="15" t="inlineStr">
        <is>
          <t xml:space="preserve">Public Gospel Stream launch</t>
        </is>
      </c>
      <c r="H68" s="15" t="inlineStr">
        <is>
          <t xml:space="preserve">High risk if presented as settled fact.</t>
        </is>
      </c>
      <c r="I68" s="15" t="inlineStr">
        <is>
          <t xml:space="preserve">Editorial Board</t>
        </is>
      </c>
      <c r="J68" s="11" t="inlineStr">
        <is>
          <t xml:space="preserve">Open</t>
        </is>
      </c>
      <c r="K68" s="15"/>
      <c r="L68" s="15" t="inlineStr">
        <is>
          <t xml:space="preserve">decision id: OD-07-01 | decision: Overall Gospel harmony approach | why it matters: A chronology is useful but no single order is universally accepted. | default v0.7 position: Working harmony with Mark anchoring many Synoptic sequences; placement badges visible. | confidence / risk: High risk if presented as settled fact. | owner: Editorial Board | status: Open | resolution needed before: Public Gospel Stream launch</t>
        </is>
      </c>
    </row>
    <row r="69" ht="42" customHeight="1">
      <c r="A69" s="15" t="inlineStr">
        <is>
          <t xml:space="preserve">v0.7</t>
        </is>
      </c>
      <c r="B69" s="15" t="inlineStr">
        <is>
          <t xml:space="preserve">Bible_Journey_Canon_Map_v0_7_Gospel_Chronology.xlsx</t>
        </is>
      </c>
      <c r="C69" s="15" t="inlineStr">
        <is>
          <t xml:space="preserve">OD-07-02</t>
        </is>
      </c>
      <c r="D69" s="15" t="inlineStr">
        <is>
          <t xml:space="preserve">John 2 Temple cleansing</t>
        </is>
      </c>
      <c r="E69" s="15" t="inlineStr">
        <is>
          <t xml:space="preserve">John's early placement differs from Synoptic Passion-week placement.</t>
        </is>
      </c>
      <c r="F69" s="15" t="inlineStr">
        <is>
          <t xml:space="preserve">Treat as related event/placement debate; do not merge automatically.</t>
        </is>
      </c>
      <c r="G69" s="15" t="inlineStr">
        <is>
          <t xml:space="preserve">Compare Accounts release</t>
        </is>
      </c>
      <c r="H69" s="15" t="inlineStr">
        <is>
          <t xml:space="preserve">Debated</t>
        </is>
      </c>
      <c r="I69" s="15" t="inlineStr">
        <is>
          <t xml:space="preserve">Editorial Board</t>
        </is>
      </c>
      <c r="J69" s="11" t="inlineStr">
        <is>
          <t xml:space="preserve">Open</t>
        </is>
      </c>
      <c r="K69" s="15"/>
      <c r="L69" s="15" t="inlineStr">
        <is>
          <t xml:space="preserve">decision id: OD-07-02 | decision: John 2 Temple cleansing | why it matters: John's early placement differs from Synoptic Passion-week placement. | default v0.7 position: Treat as related event/placement debate; do not merge automatically. | confidence / risk: Debated | owner: Editorial Board | status: Open | resolution needed before: Compare Accounts release</t>
        </is>
      </c>
    </row>
    <row r="70" ht="42" customHeight="1">
      <c r="A70" s="15" t="inlineStr">
        <is>
          <t xml:space="preserve">v0.7</t>
        </is>
      </c>
      <c r="B70" s="15" t="inlineStr">
        <is>
          <t xml:space="preserve">Bible_Journey_Canon_Map_v0_7_Gospel_Chronology.xlsx</t>
        </is>
      </c>
      <c r="C70" s="15" t="inlineStr">
        <is>
          <t xml:space="preserve">OD-07-03</t>
        </is>
      </c>
      <c r="D70" s="15" t="inlineStr">
        <is>
          <t xml:space="preserve">Nazareth accounts</t>
        </is>
      </c>
      <c r="E70" s="15" t="inlineStr">
        <is>
          <t xml:space="preserve">Luke 4 and Matthew 13/Mark 6 may relate differently in harmonies.</t>
        </is>
      </c>
      <c r="F70" s="15" t="inlineStr">
        <is>
          <t xml:space="preserve">Keep both read; link as related without duplicate completion.</t>
        </is>
      </c>
      <c r="G70" s="15" t="inlineStr">
        <is>
          <t xml:space="preserve">Gospel release</t>
        </is>
      </c>
      <c r="H70" s="15" t="inlineStr">
        <is>
          <t xml:space="preserve">Debated</t>
        </is>
      </c>
      <c r="I70" s="15" t="inlineStr">
        <is>
          <t xml:space="preserve">Editorial Board</t>
        </is>
      </c>
      <c r="J70" s="11" t="inlineStr">
        <is>
          <t xml:space="preserve">Open</t>
        </is>
      </c>
      <c r="K70" s="15"/>
      <c r="L70" s="15" t="inlineStr">
        <is>
          <t xml:space="preserve">decision id: OD-07-03 | decision: Nazareth accounts | why it matters: Luke 4 and Matthew 13/Mark 6 may relate differently in harmonies. | default v0.7 position: Keep both read; link as related without duplicate completion. | confidence / risk: Debated | owner: Editorial Board | status: Open | resolution needed before: Gospel release</t>
        </is>
      </c>
    </row>
    <row r="71" ht="42" customHeight="1">
      <c r="A71" s="15" t="inlineStr">
        <is>
          <t xml:space="preserve">v0.7</t>
        </is>
      </c>
      <c r="B71" s="15" t="inlineStr">
        <is>
          <t xml:space="preserve">Bible_Journey_Canon_Map_v0_7_Gospel_Chronology.xlsx</t>
        </is>
      </c>
      <c r="C71" s="15" t="inlineStr">
        <is>
          <t xml:space="preserve">OD-07-04</t>
        </is>
      </c>
      <c r="D71" s="15" t="inlineStr">
        <is>
          <t xml:space="preserve">Sermon on Mount / Plain</t>
        </is>
      </c>
      <c r="E71" s="15" t="inlineStr">
        <is>
          <t xml:space="preserve">Overlapping traditions could represent different settings or curated discourse.</t>
        </is>
      </c>
      <c r="F71" s="15" t="inlineStr">
        <is>
          <t xml:space="preserve">Related-discourse compare group, not one synthesized sermon.</t>
        </is>
      </c>
      <c r="G71" s="15" t="inlineStr">
        <is>
          <t xml:space="preserve">Compare UX release</t>
        </is>
      </c>
      <c r="H71" s="15" t="inlineStr">
        <is>
          <t xml:space="preserve">Debated</t>
        </is>
      </c>
      <c r="I71" s="15" t="inlineStr">
        <is>
          <t xml:space="preserve">Editorial Board</t>
        </is>
      </c>
      <c r="J71" s="11" t="inlineStr">
        <is>
          <t xml:space="preserve">Open</t>
        </is>
      </c>
      <c r="K71" s="15"/>
      <c r="L71" s="15" t="inlineStr">
        <is>
          <t xml:space="preserve">decision id: OD-07-04 | decision: Sermon on Mount / Plain | why it matters: Overlapping traditions could represent different settings or curated discourse. | default v0.7 position: Related-discourse compare group, not one synthesized sermon. | confidence / risk: Debated | owner: Editorial Board | status: Open | resolution needed before: Compare UX release</t>
        </is>
      </c>
    </row>
    <row r="72" ht="42" customHeight="1">
      <c r="A72" s="15" t="inlineStr">
        <is>
          <t xml:space="preserve">v0.7</t>
        </is>
      </c>
      <c r="B72" s="15" t="inlineStr">
        <is>
          <t xml:space="preserve">Bible_Journey_Canon_Map_v0_7_Gospel_Chronology.xlsx</t>
        </is>
      </c>
      <c r="C72" s="15" t="inlineStr">
        <is>
          <t xml:space="preserve">OD-07-05</t>
        </is>
      </c>
      <c r="D72" s="15" t="inlineStr">
        <is>
          <t xml:space="preserve">Luke travel narrative placement</t>
        </is>
      </c>
      <c r="E72" s="15" t="inlineStr">
        <is>
          <t xml:space="preserve">Luke's extended journey section resists strict travel-day reconstruction.</t>
        </is>
      </c>
      <c r="F72" s="15" t="inlineStr">
        <is>
          <t xml:space="preserve">Placement confidence set to Debated; preserve Lukan blocks intact.</t>
        </is>
      </c>
      <c r="G72" s="15" t="inlineStr">
        <is>
          <t xml:space="preserve">Gospel release</t>
        </is>
      </c>
      <c r="H72" s="15" t="inlineStr">
        <is>
          <t xml:space="preserve">Debated</t>
        </is>
      </c>
      <c r="I72" s="15" t="inlineStr">
        <is>
          <t xml:space="preserve">Editorial Board</t>
        </is>
      </c>
      <c r="J72" s="11" t="inlineStr">
        <is>
          <t xml:space="preserve">Open</t>
        </is>
      </c>
      <c r="K72" s="15"/>
      <c r="L72" s="15" t="inlineStr">
        <is>
          <t xml:space="preserve">decision id: OD-07-05 | decision: Luke travel narrative placement | why it matters: Luke's extended journey section resists strict travel-day reconstruction. | default v0.7 position: Placement confidence set to Debated; preserve Lukan blocks intact. | confidence / risk: Debated | owner: Editorial Board | status: Open | resolution needed before: Gospel release</t>
        </is>
      </c>
    </row>
    <row r="73" ht="42" customHeight="1">
      <c r="A73" s="15" t="inlineStr">
        <is>
          <t xml:space="preserve">v0.7</t>
        </is>
      </c>
      <c r="B73" s="15" t="inlineStr">
        <is>
          <t xml:space="preserve">Bible_Journey_Canon_Map_v0_7_Gospel_Chronology.xlsx</t>
        </is>
      </c>
      <c r="C73" s="15" t="inlineStr">
        <is>
          <t xml:space="preserve">OD-07-06</t>
        </is>
      </c>
      <c r="D73" s="15" t="inlineStr">
        <is>
          <t xml:space="preserve">John 7:53-8:11</t>
        </is>
      </c>
      <c r="E73" s="15" t="inlineStr">
        <is>
          <t xml:space="preserve">Textual-history handling differs by translation and tradition.</t>
        </is>
      </c>
      <c r="F73" s="15" t="inlineStr">
        <is>
          <t xml:space="preserve">Respect selected licensed translation; show transparent note.</t>
        </is>
      </c>
      <c r="G73" s="15" t="inlineStr">
        <is>
          <t xml:space="preserve">Translation integration</t>
        </is>
      </c>
      <c r="H73" s="15" t="inlineStr">
        <is>
          <t xml:space="preserve">High legal/editorial sensitivity</t>
        </is>
      </c>
      <c r="I73" s="15" t="inlineStr">
        <is>
          <t xml:space="preserve">Translation &amp; Editorial</t>
        </is>
      </c>
      <c r="J73" s="11" t="inlineStr">
        <is>
          <t xml:space="preserve">Open</t>
        </is>
      </c>
      <c r="K73" s="15"/>
      <c r="L73" s="15" t="inlineStr">
        <is>
          <t xml:space="preserve">decision id: OD-07-06 | decision: John 7:53-8:11 | why it matters: Textual-history handling differs by translation and tradition. | default v0.7 position: Respect selected licensed translation; show transparent note. | confidence / risk: High legal/editorial sensitivity | owner: Translation &amp; Editorial | status: Open | resolution needed before: Translation integration</t>
        </is>
      </c>
    </row>
    <row r="74" ht="42" customHeight="1">
      <c r="A74" s="15" t="inlineStr">
        <is>
          <t xml:space="preserve">v0.7</t>
        </is>
      </c>
      <c r="B74" s="15" t="inlineStr">
        <is>
          <t xml:space="preserve">Bible_Journey_Canon_Map_v0_7_Gospel_Chronology.xlsx</t>
        </is>
      </c>
      <c r="C74" s="15" t="inlineStr">
        <is>
          <t xml:space="preserve">OD-07-07</t>
        </is>
      </c>
      <c r="D74" s="15" t="inlineStr">
        <is>
          <t xml:space="preserve">Mark 16:9-20</t>
        </is>
      </c>
      <c r="E74" s="15" t="inlineStr">
        <is>
          <t xml:space="preserve">Longer ending has substantial textual-history discussion.</t>
        </is>
      </c>
      <c r="F74" s="15" t="inlineStr">
        <is>
          <t xml:space="preserve">Respect selected licensed translation; retain visible note and no silent deletion.</t>
        </is>
      </c>
      <c r="G74" s="15" t="inlineStr">
        <is>
          <t xml:space="preserve">Translation integration</t>
        </is>
      </c>
      <c r="H74" s="15" t="inlineStr">
        <is>
          <t xml:space="preserve">High legal/editorial sensitivity</t>
        </is>
      </c>
      <c r="I74" s="15" t="inlineStr">
        <is>
          <t xml:space="preserve">Translation &amp; Editorial</t>
        </is>
      </c>
      <c r="J74" s="11" t="inlineStr">
        <is>
          <t xml:space="preserve">Open</t>
        </is>
      </c>
      <c r="K74" s="15"/>
      <c r="L74" s="15" t="inlineStr">
        <is>
          <t xml:space="preserve">decision id: OD-07-07 | decision: Mark 16:9-20 | why it matters: Longer ending has substantial textual-history discussion. | default v0.7 position: Respect selected licensed translation; retain visible note and no silent deletion. | confidence / risk: High legal/editorial sensitivity | owner: Translation &amp; Editorial | status: Open | resolution needed before: Translation integration</t>
        </is>
      </c>
    </row>
    <row r="75" ht="42" customHeight="1">
      <c r="A75" s="15" t="inlineStr">
        <is>
          <t xml:space="preserve">v0.7</t>
        </is>
      </c>
      <c r="B75" s="15" t="inlineStr">
        <is>
          <t xml:space="preserve">Bible_Journey_Canon_Map_v0_7_Gospel_Chronology.xlsx</t>
        </is>
      </c>
      <c r="C75" s="15" t="inlineStr">
        <is>
          <t xml:space="preserve">OD-07-08</t>
        </is>
      </c>
      <c r="D75" s="15" t="inlineStr">
        <is>
          <t xml:space="preserve">Bethany anointing placement</t>
        </is>
      </c>
      <c r="E75" s="15" t="inlineStr">
        <is>
          <t xml:space="preserve">John/Mark/Matthew book order differs; Luke 7 is often conflated in popular teaching.</t>
        </is>
      </c>
      <c r="F75" s="15" t="inlineStr">
        <is>
          <t xml:space="preserve">Read John/Mark/Matthew as linked; do not merge Luke 7.</t>
        </is>
      </c>
      <c r="G75" s="15" t="inlineStr">
        <is>
          <t xml:space="preserve">Gospel release</t>
        </is>
      </c>
      <c r="H75" s="15" t="inlineStr">
        <is>
          <t xml:space="preserve">Probable / user confusion risk</t>
        </is>
      </c>
      <c r="I75" s="15" t="inlineStr">
        <is>
          <t xml:space="preserve">Editorial Board</t>
        </is>
      </c>
      <c r="J75" s="11" t="inlineStr">
        <is>
          <t xml:space="preserve">Open</t>
        </is>
      </c>
      <c r="K75" s="15"/>
      <c r="L75" s="15" t="inlineStr">
        <is>
          <t xml:space="preserve">decision id: OD-07-08 | decision: Bethany anointing placement | why it matters: John/Mark/Matthew book order differs; Luke 7 is often conflated in popular teaching. | default v0.7 position: Read John/Mark/Matthew as linked; do not merge Luke 7. | confidence / risk: Probable / user confusion risk | owner: Editorial Board | status: Open | resolution needed before: Gospel release</t>
        </is>
      </c>
    </row>
    <row r="76" ht="42" customHeight="1">
      <c r="A76" s="15" t="inlineStr">
        <is>
          <t xml:space="preserve">v0.7</t>
        </is>
      </c>
      <c r="B76" s="15" t="inlineStr">
        <is>
          <t xml:space="preserve">Bible_Journey_Canon_Map_v0_7_Gospel_Chronology.xlsx</t>
        </is>
      </c>
      <c r="C76" s="15" t="inlineStr">
        <is>
          <t xml:space="preserve">OD-07-09</t>
        </is>
      </c>
      <c r="D76" s="15" t="inlineStr">
        <is>
          <t xml:space="preserve">Passover timing</t>
        </is>
      </c>
      <c r="E76" s="15" t="inlineStr">
        <is>
          <t xml:space="preserve">John and Synoptics raise chronology questions around the final meal and crucifixion.</t>
        </is>
      </c>
      <c r="F76" s="15" t="inlineStr">
        <is>
          <t xml:space="preserve">Group linked accounts, provide sourced study note, do not force solution.</t>
        </is>
      </c>
      <c r="G76" s="15" t="inlineStr">
        <is>
          <t xml:space="preserve">Passion Compare UX</t>
        </is>
      </c>
      <c r="H76" s="15" t="inlineStr">
        <is>
          <t xml:space="preserve">Debated</t>
        </is>
      </c>
      <c r="I76" s="15" t="inlineStr">
        <is>
          <t xml:space="preserve">Editorial Board</t>
        </is>
      </c>
      <c r="J76" s="11" t="inlineStr">
        <is>
          <t xml:space="preserve">Open</t>
        </is>
      </c>
      <c r="K76" s="15"/>
      <c r="L76" s="15" t="inlineStr">
        <is>
          <t xml:space="preserve">decision id: OD-07-09 | decision: Passover timing | why it matters: John and Synoptics raise chronology questions around the final meal and crucifixion. | default v0.7 position: Group linked accounts, provide sourced study note, do not force solution. | confidence / risk: Debated | owner: Editorial Board | status: Open | resolution needed before: Passion Compare UX</t>
        </is>
      </c>
    </row>
    <row r="77" ht="42" customHeight="1">
      <c r="A77" s="15" t="inlineStr">
        <is>
          <t xml:space="preserve">v0.7</t>
        </is>
      </c>
      <c r="B77" s="15" t="inlineStr">
        <is>
          <t xml:space="preserve">Bible_Journey_Canon_Map_v0_7_Gospel_Chronology.xlsx</t>
        </is>
      </c>
      <c r="C77" s="15" t="inlineStr">
        <is>
          <t xml:space="preserve">OD-07-10</t>
        </is>
      </c>
      <c r="D77" s="15" t="inlineStr">
        <is>
          <t xml:space="preserve">Resurrection sequence</t>
        </is>
      </c>
      <c r="E77" s="15" t="inlineStr">
        <is>
          <t xml:space="preserve">Accounts differ in witness, location, and order details.</t>
        </is>
      </c>
      <c r="F77" s="15" t="inlineStr">
        <is>
          <t xml:space="preserve">Scene-level compare with no minute-by-minute composite.</t>
        </is>
      </c>
      <c r="G77" s="15" t="inlineStr">
        <is>
          <t xml:space="preserve">Resurrection Compare UX</t>
        </is>
      </c>
      <c r="H77" s="15" t="inlineStr">
        <is>
          <t xml:space="preserve">Debated</t>
        </is>
      </c>
      <c r="I77" s="15" t="inlineStr">
        <is>
          <t xml:space="preserve">Editorial Board</t>
        </is>
      </c>
      <c r="J77" s="11" t="inlineStr">
        <is>
          <t xml:space="preserve">Open</t>
        </is>
      </c>
      <c r="K77" s="15"/>
      <c r="L77" s="15" t="inlineStr">
        <is>
          <t xml:space="preserve">decision id: OD-07-10 | decision: Resurrection sequence | why it matters: Accounts differ in witness, location, and order details. | default v0.7 position: Scene-level compare with no minute-by-minute composite. | confidence / risk: Debated | owner: Editorial Board | status: Open | resolution needed before: Resurrection Compare UX</t>
        </is>
      </c>
    </row>
    <row r="78" ht="42" customHeight="1">
      <c r="A78" s="15" t="inlineStr">
        <is>
          <t xml:space="preserve">v0.7</t>
        </is>
      </c>
      <c r="B78" s="15" t="inlineStr">
        <is>
          <t xml:space="preserve">Bible_Journey_Canon_Map_v0_7_Gospel_Chronology.xlsx</t>
        </is>
      </c>
      <c r="C78" s="15" t="inlineStr">
        <is>
          <t xml:space="preserve">OD-07-11</t>
        </is>
      </c>
      <c r="D78" s="15" t="inlineStr">
        <is>
          <t xml:space="preserve">Verse-range validator</t>
        </is>
      </c>
      <c r="E78" s="15" t="inlineStr">
        <is>
          <t xml:space="preserve">Chapter map alone cannot guarantee exact no-gap/no-overlap coverage.</t>
        </is>
      </c>
      <c r="F78" s="15" t="inlineStr">
        <is>
          <t xml:space="preserve">Build automated range parser and manual editorial QA ledger.</t>
        </is>
      </c>
      <c r="G78" s="15" t="inlineStr">
        <is>
          <t xml:space="preserve">Public claim of full coverage</t>
        </is>
      </c>
      <c r="H78" s="15" t="inlineStr">
        <is>
          <t xml:space="preserve">Release-blocking</t>
        </is>
      </c>
      <c r="I78" s="15" t="inlineStr">
        <is>
          <t xml:space="preserve">Engineering + Editorial</t>
        </is>
      </c>
      <c r="J78" s="11" t="inlineStr">
        <is>
          <t xml:space="preserve">Open</t>
        </is>
      </c>
      <c r="K78" s="15"/>
      <c r="L78" s="15" t="inlineStr">
        <is>
          <t xml:space="preserve">decision id: OD-07-11 | decision: Verse-range validator | why it matters: Chapter map alone cannot guarantee exact no-gap/no-overlap coverage. | default v0.7 position: Build automated range parser and manual editorial QA ledger. | confidence / risk: Release-blocking | owner: Engineering + Editorial | status: Open | resolution needed before: Public claim of full coverage</t>
        </is>
      </c>
    </row>
    <row r="79" ht="42" customHeight="1">
      <c r="A79" s="15" t="inlineStr">
        <is>
          <t xml:space="preserve">v0.8</t>
        </is>
      </c>
      <c r="B79" s="15" t="inlineStr">
        <is>
          <t xml:space="preserve">Bible_Journey_Canon_Map_v0_8_Acts_Pauline_Letters.xlsx</t>
        </is>
      </c>
      <c r="C79" s="15" t="inlineStr">
        <is>
          <t xml:space="preserve">OD-001</t>
        </is>
      </c>
      <c r="D79" s="15" t="inlineStr">
        <is>
          <t xml:space="preserve">Galatians and Acts</t>
        </is>
      </c>
      <c r="E79" s="15" t="inlineStr">
        <is>
          <t xml:space="preserve">Relationship of Galatians 2 to Acts 11/12/15</t>
        </is>
      </c>
      <c r="F79" s="15" t="inlineStr">
        <is>
          <t xml:space="preserve">Default cautious: place after Acts 14 with a debated tag and profile chooser.</t>
        </is>
      </c>
      <c r="G79" s="15"/>
      <c r="H79" s="15"/>
      <c r="I79" s="15" t="inlineStr">
        <is>
          <t xml:space="preserve">Editorial Council</t>
        </is>
      </c>
      <c r="J79" s="11" t="inlineStr">
        <is>
          <t xml:space="preserve">Open</t>
        </is>
      </c>
      <c r="K79" s="15"/>
      <c r="L79" s="15" t="inlineStr">
        <is>
          <t xml:space="preserve">decision id: OD-001 | scope: Galatians and Acts | issue: Relationship of Galatians 2 to Acts 11/12/15 | product impact: Changes where Galatians appears in Complete Chronological Reading. | interim product policy: Default cautious: place after Acts 14 with a debated tag and profile chooser. | status: Open | owner: Editorial Council | source key(s): S02; S03</t>
        </is>
      </c>
    </row>
    <row r="80" ht="42" customHeight="1">
      <c r="A80" s="15" t="inlineStr">
        <is>
          <t xml:space="preserve">v0.8</t>
        </is>
      </c>
      <c r="B80" s="15" t="inlineStr">
        <is>
          <t xml:space="preserve">Bible_Journey_Canon_Map_v0_8_Acts_Pauline_Letters.xlsx</t>
        </is>
      </c>
      <c r="C80" s="15" t="inlineStr">
        <is>
          <t xml:space="preserve">OD-002</t>
        </is>
      </c>
      <c r="D80" s="15" t="inlineStr">
        <is>
          <t xml:space="preserve">Galatians</t>
        </is>
      </c>
      <c r="E80" s="15" t="inlineStr">
        <is>
          <t xml:space="preserve">South vs North Galatia audience model</t>
        </is>
      </c>
      <c r="F80" s="15" t="inlineStr">
        <is>
          <t xml:space="preserve">Support both profiles; do not require users to choose on day one.</t>
        </is>
      </c>
      <c r="G80" s="15"/>
      <c r="H80" s="15"/>
      <c r="I80" s="15" t="inlineStr">
        <is>
          <t xml:space="preserve">Editorial Council</t>
        </is>
      </c>
      <c r="J80" s="11" t="inlineStr">
        <is>
          <t xml:space="preserve">Open</t>
        </is>
      </c>
      <c r="K80" s="15"/>
      <c r="L80" s="15" t="inlineStr">
        <is>
          <t xml:space="preserve">decision id: OD-002 | scope: Galatians | issue: South vs North Galatia audience model | product impact: Changes first-mission contextual link and date assumptions. | interim product policy: Support both profiles; do not require users to choose on day one. | status: Open | owner: Editorial Council | source key(s): S03; S09</t>
        </is>
      </c>
    </row>
    <row r="81" ht="42" customHeight="1">
      <c r="A81" s="15" t="inlineStr">
        <is>
          <t xml:space="preserve">v0.8</t>
        </is>
      </c>
      <c r="B81" s="15" t="inlineStr">
        <is>
          <t xml:space="preserve">Bible_Journey_Canon_Map_v0_8_Acts_Pauline_Letters.xlsx</t>
        </is>
      </c>
      <c r="C81" s="15" t="inlineStr">
        <is>
          <t xml:space="preserve">OD-003</t>
        </is>
      </c>
      <c r="D81" s="15" t="inlineStr">
        <is>
          <t xml:space="preserve">2 Thessalonians</t>
        </is>
      </c>
      <c r="E81" s="15" t="inlineStr">
        <is>
          <t xml:space="preserve">Order, date, and authorship</t>
        </is>
      </c>
      <c r="F81" s="15" t="inlineStr">
        <is>
          <t xml:space="preserve">Default grouped after 1 Thessalonians with Debated tag.</t>
        </is>
      </c>
      <c r="G81" s="15"/>
      <c r="H81" s="15"/>
      <c r="I81" s="15" t="inlineStr">
        <is>
          <t xml:space="preserve">Editorial Council</t>
        </is>
      </c>
      <c r="J81" s="11" t="inlineStr">
        <is>
          <t xml:space="preserve">Open</t>
        </is>
      </c>
      <c r="K81" s="15"/>
      <c r="L81" s="15" t="inlineStr">
        <is>
          <t xml:space="preserve">decision id: OD-003 | scope: 2 Thessalonians | issue: Order, date, and authorship | product impact: Affects whether it is immediately after 1 Thessalonians. | interim product policy: Default grouped after 1 Thessalonians with Debated tag. | status: Open | owner: Editorial Council | source key(s): S02; S06</t>
        </is>
      </c>
    </row>
    <row r="82" ht="42" customHeight="1">
      <c r="A82" s="15" t="inlineStr">
        <is>
          <t xml:space="preserve">v0.8</t>
        </is>
      </c>
      <c r="B82" s="15" t="inlineStr">
        <is>
          <t xml:space="preserve">Bible_Journey_Canon_Map_v0_8_Acts_Pauline_Letters.xlsx</t>
        </is>
      </c>
      <c r="C82" s="15" t="inlineStr">
        <is>
          <t xml:space="preserve">OD-004</t>
        </is>
      </c>
      <c r="D82" s="15" t="inlineStr">
        <is>
          <t xml:space="preserve">Corinthian correspondence</t>
        </is>
      </c>
      <c r="E82" s="15" t="inlineStr">
        <is>
          <t xml:space="preserve">Unrecorded visits and letters implied by 1–2 Corinthians</t>
        </is>
      </c>
      <c r="F82" s="15" t="inlineStr">
        <is>
          <t xml:space="preserve">Use contextual link cards rather than a false travel timeline.</t>
        </is>
      </c>
      <c r="G82" s="15"/>
      <c r="H82" s="15"/>
      <c r="I82" s="15" t="inlineStr">
        <is>
          <t xml:space="preserve">Editorial Council</t>
        </is>
      </c>
      <c r="J82" s="11" t="inlineStr">
        <is>
          <t xml:space="preserve">Open</t>
        </is>
      </c>
      <c r="K82" s="15"/>
      <c r="L82" s="15" t="inlineStr">
        <is>
          <t xml:space="preserve">decision id: OD-004 | scope: Corinthian correspondence | issue: Unrecorded visits and letters implied by 1–2 Corinthians | product impact: Prevents false one-to-one mapping of Acts 18–20 to correspondence. | interim product policy: Use contextual link cards rather than a false travel timeline. | status: Open | owner: Editorial Council | source key(s): S01</t>
        </is>
      </c>
    </row>
    <row r="83" ht="42" customHeight="1">
      <c r="A83" s="15" t="inlineStr">
        <is>
          <t xml:space="preserve">v0.8</t>
        </is>
      </c>
      <c r="B83" s="15" t="inlineStr">
        <is>
          <t xml:space="preserve">Bible_Journey_Canon_Map_v0_8_Acts_Pauline_Letters.xlsx</t>
        </is>
      </c>
      <c r="C83" s="15" t="inlineStr">
        <is>
          <t xml:space="preserve">OD-005</t>
        </is>
      </c>
      <c r="D83" s="15" t="inlineStr">
        <is>
          <t xml:space="preserve">Prison letters</t>
        </is>
      </c>
      <c r="E83" s="15" t="inlineStr">
        <is>
          <t xml:space="preserve">Rome, Caesarea, or Ephesus placement</t>
        </is>
      </c>
      <c r="F83" s="15" t="inlineStr">
        <is>
          <t xml:space="preserve">Default Roman detention dossier; offer alternatives in Study/Compare.</t>
        </is>
      </c>
      <c r="G83" s="15"/>
      <c r="H83" s="15"/>
      <c r="I83" s="15" t="inlineStr">
        <is>
          <t xml:space="preserve">Editorial Council</t>
        </is>
      </c>
      <c r="J83" s="11" t="inlineStr">
        <is>
          <t xml:space="preserve">Open</t>
        </is>
      </c>
      <c r="K83" s="15"/>
      <c r="L83" s="15" t="inlineStr">
        <is>
          <t xml:space="preserve">decision id: OD-005 | scope: Prison letters | issue: Rome, Caesarea, or Ephesus placement | product impact: Changes placement of Philippians, Philemon, Colossians, and Ephesians. | interim product policy: Default Roman detention dossier; offer alternatives in Study/Compare. | status: Open | owner: Editorial Council | source key(s): S02; S06</t>
        </is>
      </c>
    </row>
    <row r="84" ht="42" customHeight="1">
      <c r="A84" s="15" t="inlineStr">
        <is>
          <t xml:space="preserve">v0.8</t>
        </is>
      </c>
      <c r="B84" s="15" t="inlineStr">
        <is>
          <t xml:space="preserve">Bible_Journey_Canon_Map_v0_8_Acts_Pauline_Letters.xlsx</t>
        </is>
      </c>
      <c r="C84" s="15" t="inlineStr">
        <is>
          <t xml:space="preserve">OD-006</t>
        </is>
      </c>
      <c r="D84" s="15" t="inlineStr">
        <is>
          <t xml:space="preserve">Ephesians</t>
        </is>
      </c>
      <c r="E84" s="15" t="inlineStr">
        <is>
          <t xml:space="preserve">Authorship and audience questions</t>
        </is>
      </c>
      <c r="F84" s="15" t="inlineStr">
        <is>
          <t xml:space="preserve">Treat as canonical letter in stream; label chronology/authorship as debated.</t>
        </is>
      </c>
      <c r="G84" s="15"/>
      <c r="H84" s="15"/>
      <c r="I84" s="15" t="inlineStr">
        <is>
          <t xml:space="preserve">Editorial Council</t>
        </is>
      </c>
      <c r="J84" s="11" t="inlineStr">
        <is>
          <t xml:space="preserve">Open</t>
        </is>
      </c>
      <c r="K84" s="15"/>
      <c r="L84" s="15" t="inlineStr">
        <is>
          <t xml:space="preserve">decision id: OD-006 | scope: Ephesians | issue: Authorship and audience questions | product impact: Requires transparent metadata and editorial labeling. | interim product policy: Treat as canonical letter in stream; label chronology/authorship as debated. | status: Open | owner: Editorial Council | source key(s): S06</t>
        </is>
      </c>
    </row>
    <row r="85" ht="42" customHeight="1">
      <c r="A85" s="15" t="inlineStr">
        <is>
          <t xml:space="preserve">v0.8</t>
        </is>
      </c>
      <c r="B85" s="15" t="inlineStr">
        <is>
          <t xml:space="preserve">Bible_Journey_Canon_Map_v0_8_Acts_Pauline_Letters.xlsx</t>
        </is>
      </c>
      <c r="C85" s="15" t="inlineStr">
        <is>
          <t xml:space="preserve">OD-007</t>
        </is>
      </c>
      <c r="D85" s="15" t="inlineStr">
        <is>
          <t xml:space="preserve">Pastoral letters</t>
        </is>
      </c>
      <c r="E85" s="15" t="inlineStr">
        <is>
          <t xml:space="preserve">Authorship and post-Acts chronology</t>
        </is>
      </c>
      <c r="F85" s="15" t="inlineStr">
        <is>
          <t xml:space="preserve">Place in a clearly labeled post-Acts tradition dossier.</t>
        </is>
      </c>
      <c r="G85" s="15"/>
      <c r="H85" s="15"/>
      <c r="I85" s="15" t="inlineStr">
        <is>
          <t xml:space="preserve">Editorial Council</t>
        </is>
      </c>
      <c r="J85" s="11" t="inlineStr">
        <is>
          <t xml:space="preserve">Open</t>
        </is>
      </c>
      <c r="K85" s="15"/>
      <c r="L85" s="15" t="inlineStr">
        <is>
          <t xml:space="preserve">decision id: OD-007 | scope: Pastoral letters | issue: Authorship and post-Acts chronology | product impact: Affects 1 Timothy, Titus, and 2 Timothy placement. | interim product policy: Place in a clearly labeled post-Acts tradition dossier. | status: Open | owner: Editorial Council | source key(s): S06</t>
        </is>
      </c>
    </row>
    <row r="86" ht="42" customHeight="1">
      <c r="A86" s="15" t="inlineStr">
        <is>
          <t xml:space="preserve">v0.8</t>
        </is>
      </c>
      <c r="B86" s="15" t="inlineStr">
        <is>
          <t xml:space="preserve">Bible_Journey_Canon_Map_v0_8_Acts_Pauline_Letters.xlsx</t>
        </is>
      </c>
      <c r="C86" s="15" t="inlineStr">
        <is>
          <t xml:space="preserve">OD-008</t>
        </is>
      </c>
      <c r="D86" s="15" t="inlineStr">
        <is>
          <t xml:space="preserve">Acts and letters</t>
        </is>
      </c>
      <c r="E86" s="15" t="inlineStr">
        <is>
          <t xml:space="preserve">Divergences between Acts and Paul's letters</t>
        </is>
      </c>
      <c r="F86" s="15" t="inlineStr">
        <is>
          <t xml:space="preserve">Never flatten differences; show sources and confidence.</t>
        </is>
      </c>
      <c r="G86" s="15"/>
      <c r="H86" s="15"/>
      <c r="I86" s="15" t="inlineStr">
        <is>
          <t xml:space="preserve">Theology &amp; AI QA</t>
        </is>
      </c>
      <c r="J86" s="11" t="inlineStr">
        <is>
          <t xml:space="preserve">Open</t>
        </is>
      </c>
      <c r="K86" s="15"/>
      <c r="L86" s="15" t="inlineStr">
        <is>
          <t xml:space="preserve">decision id: OD-008 | scope: Acts and letters | issue: Divergences between Acts and Paul's letters | product impact: Impacts wording in context notes and Ezra answers. | interim product policy: Never flatten differences; show sources and confidence. | status: Open | owner: Theology &amp; AI QA | source key(s): S01</t>
        </is>
      </c>
    </row>
    <row r="87" ht="42" customHeight="1">
      <c r="A87" s="15" t="inlineStr">
        <is>
          <t xml:space="preserve">v0.8</t>
        </is>
      </c>
      <c r="B87" s="15" t="inlineStr">
        <is>
          <t xml:space="preserve">Bible_Journey_Canon_Map_v0_8_Acts_Pauline_Letters.xlsx</t>
        </is>
      </c>
      <c r="C87" s="15" t="inlineStr">
        <is>
          <t xml:space="preserve">OD-009</t>
        </is>
      </c>
      <c r="D87" s="15" t="inlineStr">
        <is>
          <t xml:space="preserve">Acts endpoint</t>
        </is>
      </c>
      <c r="E87" s="15" t="inlineStr">
        <is>
          <t xml:space="preserve">What the app should say after Acts 28</t>
        </is>
      </c>
      <c r="F87" s="15" t="inlineStr">
        <is>
          <t xml:space="preserve">End Acts as written; move to a disclosed post-Acts letter dossier.</t>
        </is>
      </c>
      <c r="G87" s="15"/>
      <c r="H87" s="15"/>
      <c r="I87" s="15" t="inlineStr">
        <is>
          <t xml:space="preserve">Editorial Council</t>
        </is>
      </c>
      <c r="J87" s="11" t="inlineStr">
        <is>
          <t xml:space="preserve">Open</t>
        </is>
      </c>
      <c r="K87" s="15"/>
      <c r="L87" s="15" t="inlineStr">
        <is>
          <t xml:space="preserve">decision id: OD-009 | scope: Acts endpoint | issue: What the app should say after Acts 28 | product impact: Avoids inventing a continuous biography of Paul after the narrative ends. | interim product policy: End Acts as written; move to a disclosed post-Acts letter dossier. | status: Open | owner: Editorial Council | source key(s): S07</t>
        </is>
      </c>
    </row>
    <row r="88" ht="42" customHeight="1">
      <c r="A88" s="15" t="inlineStr">
        <is>
          <t xml:space="preserve">v0.9</t>
        </is>
      </c>
      <c r="B88" s="15" t="inlineStr">
        <is>
          <t xml:space="preserve">Bible_Journey_Canon_Map_v0_9_General_Letters_Revelation.xlsx</t>
        </is>
      </c>
      <c r="C88" s="15" t="inlineStr">
        <is>
          <t xml:space="preserve">OD-901</t>
        </is>
      </c>
      <c r="D88" s="15" t="inlineStr">
        <is>
          <t xml:space="preserve">Hebrews</t>
        </is>
      </c>
      <c r="E88" s="15" t="inlineStr">
        <is>
          <t xml:space="preserve">Authorship, date, audience, and relationship to Acts</t>
        </is>
      </c>
      <c r="F88" s="15" t="inlineStr">
        <is>
          <t xml:space="preserve">Canonical fallback only; do not assign a named Acts moment.</t>
        </is>
      </c>
      <c r="G88" s="15"/>
      <c r="H88" s="15"/>
      <c r="I88" s="15" t="inlineStr">
        <is>
          <t xml:space="preserve">Editorial Council</t>
        </is>
      </c>
      <c r="J88" s="11" t="inlineStr">
        <is>
          <t xml:space="preserve">Open</t>
        </is>
      </c>
      <c r="K88" s="15"/>
      <c r="L88" s="15" t="inlineStr">
        <is>
          <t xml:space="preserve">decision id: OD-901 | scope: Hebrews | issue: Authorship, date, audience, and relationship to Acts | product impact: Determines whether Hebrews is ever placed before/inside/after a historical Acts anchor. | interim product policy: Canonical fallback only; do not assign a named Acts moment. | status: Open | owner: Editorial Council | source key(s): S01; S02</t>
        </is>
      </c>
    </row>
    <row r="89" ht="42" customHeight="1">
      <c r="A89" s="15" t="inlineStr">
        <is>
          <t xml:space="preserve">v0.9</t>
        </is>
      </c>
      <c r="B89" s="15" t="inlineStr">
        <is>
          <t xml:space="preserve">Bible_Journey_Canon_Map_v0_9_General_Letters_Revelation.xlsx</t>
        </is>
      </c>
      <c r="C89" s="15" t="inlineStr">
        <is>
          <t xml:space="preserve">OD-902</t>
        </is>
      </c>
      <c r="D89" s="15" t="inlineStr">
        <is>
          <t xml:space="preserve">James</t>
        </is>
      </c>
      <c r="E89" s="15" t="inlineStr">
        <is>
          <t xml:space="preserve">Authorship and date</t>
        </is>
      </c>
      <c r="F89" s="15" t="inlineStr">
        <is>
          <t xml:space="preserve">Use canonical fallback and Debated tag.</t>
        </is>
      </c>
      <c r="G89" s="15"/>
      <c r="H89" s="15"/>
      <c r="I89" s="15" t="inlineStr">
        <is>
          <t xml:space="preserve">Editorial Council</t>
        </is>
      </c>
      <c r="J89" s="11" t="inlineStr">
        <is>
          <t xml:space="preserve">Open</t>
        </is>
      </c>
      <c r="K89" s="15"/>
      <c r="L89" s="15" t="inlineStr">
        <is>
          <t xml:space="preserve">decision id: OD-902 | scope: James | issue: Authorship and date | product impact: Determines whether any early Jerusalem placement is shown as more than a possibility. | interim product policy: Use canonical fallback and Debated tag. | status: Open | owner: Editorial Council | source key(s): S03; S04</t>
        </is>
      </c>
    </row>
    <row r="90" ht="42" customHeight="1">
      <c r="A90" s="15" t="inlineStr">
        <is>
          <t xml:space="preserve">v0.9</t>
        </is>
      </c>
      <c r="B90" s="15" t="inlineStr">
        <is>
          <t xml:space="preserve">Bible_Journey_Canon_Map_v0_9_General_Letters_Revelation.xlsx</t>
        </is>
      </c>
      <c r="C90" s="15" t="inlineStr">
        <is>
          <t xml:space="preserve">OD-903</t>
        </is>
      </c>
      <c r="D90" s="15" t="inlineStr">
        <is>
          <t xml:space="preserve">1 Peter</t>
        </is>
      </c>
      <c r="E90" s="15" t="inlineStr">
        <is>
          <t xml:space="preserve">Authorship, date, and regional setting</t>
        </is>
      </c>
      <c r="F90" s="15" t="inlineStr">
        <is>
          <t xml:space="preserve">Show geographic context without dated Acts placement.</t>
        </is>
      </c>
      <c r="G90" s="15"/>
      <c r="H90" s="15"/>
      <c r="I90" s="15" t="inlineStr">
        <is>
          <t xml:space="preserve">Editorial Council</t>
        </is>
      </c>
      <c r="J90" s="11" t="inlineStr">
        <is>
          <t xml:space="preserve">Open</t>
        </is>
      </c>
      <c r="K90" s="15"/>
      <c r="L90" s="15" t="inlineStr">
        <is>
          <t xml:space="preserve">decision id: OD-903 | scope: 1 Peter | issue: Authorship, date, and regional setting | product impact: Affects user-facing chronology and diaspora map language. | interim product policy: Show geographic context without dated Acts placement. | status: Open | owner: Editorial Council | source key(s): S05; S06</t>
        </is>
      </c>
    </row>
    <row r="91" ht="42" customHeight="1">
      <c r="A91" s="15" t="inlineStr">
        <is>
          <t xml:space="preserve">v0.9</t>
        </is>
      </c>
      <c r="B91" s="15" t="inlineStr">
        <is>
          <t xml:space="preserve">Bible_Journey_Canon_Map_v0_9_General_Letters_Revelation.xlsx</t>
        </is>
      </c>
      <c r="C91" s="15" t="inlineStr">
        <is>
          <t xml:space="preserve">OD-904</t>
        </is>
      </c>
      <c r="D91" s="15" t="inlineStr">
        <is>
          <t xml:space="preserve">2 Peter and Jude</t>
        </is>
      </c>
      <c r="E91" s="15" t="inlineStr">
        <is>
          <t xml:space="preserve">Order, textual dependence, date, and authorship</t>
        </is>
      </c>
      <c r="F91" s="15" t="inlineStr">
        <is>
          <t xml:space="preserve">Keep canonical order; show comparison as Debated.</t>
        </is>
      </c>
      <c r="G91" s="15"/>
      <c r="H91" s="15"/>
      <c r="I91" s="15" t="inlineStr">
        <is>
          <t xml:space="preserve">Editorial Council</t>
        </is>
      </c>
      <c r="J91" s="11" t="inlineStr">
        <is>
          <t xml:space="preserve">Open</t>
        </is>
      </c>
      <c r="K91" s="15"/>
      <c r="L91" s="15" t="inlineStr">
        <is>
          <t xml:space="preserve">decision id: OD-904 | scope: 2 Peter and Jude | issue: Order, textual dependence, date, and authorship | product impact: Controls presentation of the relationship dossier. | interim product policy: Keep canonical order; show comparison as Debated. | status: Open | owner: Editorial Council | source key(s): S07; S08; S11</t>
        </is>
      </c>
    </row>
    <row r="92" ht="42" customHeight="1">
      <c r="A92" s="15" t="inlineStr">
        <is>
          <t xml:space="preserve">v0.9</t>
        </is>
      </c>
      <c r="B92" s="15" t="inlineStr">
        <is>
          <t xml:space="preserve">Bible_Journey_Canon_Map_v0_9_General_Letters_Revelation.xlsx</t>
        </is>
      </c>
      <c r="C92" s="15" t="inlineStr">
        <is>
          <t xml:space="preserve">OD-905</t>
        </is>
      </c>
      <c r="D92" s="15" t="inlineStr">
        <is>
          <t xml:space="preserve">Johannine letters</t>
        </is>
      </c>
      <c r="E92" s="15" t="inlineStr">
        <is>
          <t xml:space="preserve">Relation to the Fourth Gospel and dating</t>
        </is>
      </c>
      <c r="F92" s="15" t="inlineStr">
        <is>
          <t xml:space="preserve">Use literary dossier wording; do not assert a settled chronology.</t>
        </is>
      </c>
      <c r="G92" s="15"/>
      <c r="H92" s="15"/>
      <c r="I92" s="15" t="inlineStr">
        <is>
          <t xml:space="preserve">Editorial Council</t>
        </is>
      </c>
      <c r="J92" s="11" t="inlineStr">
        <is>
          <t xml:space="preserve">Open</t>
        </is>
      </c>
      <c r="K92" s="15"/>
      <c r="L92" s="15" t="inlineStr">
        <is>
          <t xml:space="preserve">decision id: OD-905 | scope: Johannine letters | issue: Relation to the Fourth Gospel and dating | product impact: Affects use of 'Johannine community' wording and sequence. | interim product policy: Use literary dossier wording; do not assert a settled chronology. | status: Open | owner: Editorial Council | source key(s): S09; S10</t>
        </is>
      </c>
    </row>
    <row r="93" ht="42" customHeight="1">
      <c r="A93" s="15" t="inlineStr">
        <is>
          <t xml:space="preserve">v0.9</t>
        </is>
      </c>
      <c r="B93" s="15" t="inlineStr">
        <is>
          <t xml:space="preserve">Bible_Journey_Canon_Map_v0_9_General_Letters_Revelation.xlsx</t>
        </is>
      </c>
      <c r="C93" s="15" t="inlineStr">
        <is>
          <t xml:space="preserve">OD-906</t>
        </is>
      </c>
      <c r="D93" s="15" t="inlineStr">
        <is>
          <t xml:space="preserve">Revelation</t>
        </is>
      </c>
      <c r="E93" s="15" t="inlineStr">
        <is>
          <t xml:space="preserve">Date, authorship convention, imperial context</t>
        </is>
      </c>
      <c r="F93" s="15" t="inlineStr">
        <is>
          <t xml:space="preserve">Use literary vision flow and regional context; leave date/authorship discussion to Study Mode.</t>
        </is>
      </c>
      <c r="G93" s="15"/>
      <c r="H93" s="15"/>
      <c r="I93" s="15" t="inlineStr">
        <is>
          <t xml:space="preserve">Editorial Council</t>
        </is>
      </c>
      <c r="J93" s="11" t="inlineStr">
        <is>
          <t xml:space="preserve">Open</t>
        </is>
      </c>
      <c r="K93" s="15"/>
      <c r="L93" s="15" t="inlineStr">
        <is>
          <t xml:space="preserve">decision id: OD-906 | scope: Revelation | issue: Date, authorship convention, imperial context | product impact: Controls historical context cards and confidence labels. | interim product policy: Use literary vision flow and regional context; leave date/authorship discussion to Study Mode. | status: Open | owner: Editorial Council | source key(s): S12; S13; S15</t>
        </is>
      </c>
    </row>
    <row r="94" ht="42" customHeight="1">
      <c r="A94" s="15" t="inlineStr">
        <is>
          <t xml:space="preserve">v0.9</t>
        </is>
      </c>
      <c r="B94" s="15" t="inlineStr">
        <is>
          <t xml:space="preserve">Bible_Journey_Canon_Map_v0_9_General_Letters_Revelation.xlsx</t>
        </is>
      </c>
      <c r="C94" s="15" t="inlineStr">
        <is>
          <t xml:space="preserve">OD-907</t>
        </is>
      </c>
      <c r="D94" s="15" t="inlineStr">
        <is>
          <t xml:space="preserve">Revelation</t>
        </is>
      </c>
      <c r="E94" s="15" t="inlineStr">
        <is>
          <t xml:space="preserve">Interpretive framework policy</t>
        </is>
      </c>
      <c r="F94" s="15" t="inlineStr">
        <is>
          <t xml:space="preserve">Ship literary flow only until frameworks are reviewed and sourced.</t>
        </is>
      </c>
      <c r="G94" s="15"/>
      <c r="H94" s="15"/>
      <c r="I94" s="15" t="inlineStr">
        <is>
          <t xml:space="preserve">Theology &amp; Product</t>
        </is>
      </c>
      <c r="J94" s="11" t="inlineStr">
        <is>
          <t xml:space="preserve">Open</t>
        </is>
      </c>
      <c r="K94" s="15"/>
      <c r="L94" s="15" t="inlineStr">
        <is>
          <t xml:space="preserve">decision id: OD-907 | scope: Revelation | issue: Interpretive framework policy | product impact: Prevents the default reader from embedding one denomination's prophecy timeline. | interim product policy: Ship literary flow only until frameworks are reviewed and sourced. | status: Open | owner: Theology &amp; Product | source key(s): S12; S15</t>
        </is>
      </c>
    </row>
    <row r="95" ht="42" customHeight="1">
      <c r="A95" s="15" t="inlineStr">
        <is>
          <t xml:space="preserve">v0.9</t>
        </is>
      </c>
      <c r="B95" s="15" t="inlineStr">
        <is>
          <t xml:space="preserve">Bible_Journey_Canon_Map_v0_9_General_Letters_Revelation.xlsx</t>
        </is>
      </c>
      <c r="C95" s="15" t="inlineStr">
        <is>
          <t xml:space="preserve">OD-908</t>
        </is>
      </c>
      <c r="D95" s="15" t="inlineStr">
        <is>
          <t xml:space="preserve">Apocalyptic progression</t>
        </is>
      </c>
      <c r="E95" s="15" t="inlineStr">
        <is>
          <t xml:space="preserve">Whether vision cycles are linear, recapitulative, or mixed</t>
        </is>
      </c>
      <c r="F95" s="15" t="inlineStr">
        <is>
          <t xml:space="preserve">Never label vision order as world-event chronology in default mode.</t>
        </is>
      </c>
      <c r="G95" s="15"/>
      <c r="H95" s="15"/>
      <c r="I95" s="15" t="inlineStr">
        <is>
          <t xml:space="preserve">Editorial Council</t>
        </is>
      </c>
      <c r="J95" s="11" t="inlineStr">
        <is>
          <t xml:space="preserve">Open</t>
        </is>
      </c>
      <c r="K95" s="15"/>
      <c r="L95" s="15" t="inlineStr">
        <is>
          <t xml:space="preserve">decision id: OD-908 | scope: Apocalyptic progression | issue: Whether vision cycles are linear, recapitulative, or mixed | product impact: Controls UI language around seals, trumpets, bowls, and final visions. | interim product policy: Never label vision order as world-event chronology in default mode. | status: Open | owner: Editorial Council | source key(s): S12; S15</t>
        </is>
      </c>
    </row>
    <row r="96" ht="42" customHeight="1">
      <c r="A96" s="15" t="inlineStr">
        <is>
          <t xml:space="preserve">v0.9</t>
        </is>
      </c>
      <c r="B96" s="15" t="inlineStr">
        <is>
          <t xml:space="preserve">Bible_Journey_Canon_Map_v0_9_General_Letters_Revelation.xlsx</t>
        </is>
      </c>
      <c r="C96" s="15" t="inlineStr">
        <is>
          <t xml:space="preserve">OD-909</t>
        </is>
      </c>
      <c r="D96" s="15" t="inlineStr">
        <is>
          <t xml:space="preserve">General letters after Acts</t>
        </is>
      </c>
      <c r="E96" s="15" t="inlineStr">
        <is>
          <t xml:space="preserve">How to explain canonical fallback placement</t>
        </is>
      </c>
      <c r="F96" s="15" t="inlineStr">
        <is>
          <t xml:space="preserve">Show a transparent bridge: 'Exact historical placement is unresolved; read in canonical correspondence order.'</t>
        </is>
      </c>
      <c r="G96" s="15"/>
      <c r="H96" s="15"/>
      <c r="I96" s="15" t="inlineStr">
        <is>
          <t xml:space="preserve">Product + Editorial</t>
        </is>
      </c>
      <c r="J96" s="11" t="inlineStr">
        <is>
          <t xml:space="preserve">Open</t>
        </is>
      </c>
      <c r="K96" s="15"/>
      <c r="L96" s="15" t="inlineStr">
        <is>
          <t xml:space="preserve">decision id: OD-909 | scope: General letters after Acts | issue: How to explain canonical fallback placement | product impact: Affects user understanding of 'Bible Stream complete'. | interim product policy: Show a transparent bridge: 'Exact historical placement is unresolved; read in canonical correspondence order.' | status: Open | owner: Product + Editorial | source key(s): S01; S03; S05</t>
        </is>
      </c>
    </row>
  </sheetData>
  <autoFilter ref="A4:L96"/>
  <mergeCells count="2">
    <mergeCell ref="A1:L1"/>
    <mergeCell ref="A2:L2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22"/>
  <sheetViews>
    <sheetView workbookViewId="0">
      <pane ySplit="4" topLeftCell="A5" activePane="bottomLeft" state="frozen"/>
      <selection pane="bottomLeft" activeCell="A5" sqref="A5"/>
    </sheetView>
  </sheetViews>
  <cols>
    <col min="1" max="1" width="24" customWidth="1"/>
    <col min="2" max="2" width="12" customWidth="1"/>
    <col min="3" max="3" width="50" customWidth="1"/>
    <col min="4" max="4" width="22" customWidth="1"/>
    <col min="5" max="5" width="34" customWidth="1"/>
    <col min="6" max="6" width="56" customWidth="1"/>
    <col min="7" max="7" width="95" customWidth="1"/>
    <col min="8" max="8" width="60" customWidth="1"/>
    <col min="9" max="9" width="70" customWidth="1"/>
    <col min="10" max="10" width="16" customWidth="1"/>
    <col min="11" max="11" width="16" customWidth="1"/>
  </cols>
  <sheetData>
    <row r="1" ht="30" customHeight="1">
      <c r="A1" s="1" t="inlineStr">
        <is>
          <t xml:space="preserve">SOURCE REGISTRY</t>
        </is>
      </c>
    </row>
    <row r="2" ht="30" customHeight="1">
      <c r="A2" s="2" t="inlineStr">
        <is>
          <t xml:space="preserve">Local source keys are retained with their map version. URLs are plain text for auditability and later attribution design.</t>
        </is>
      </c>
    </row>
    <row r="4">
      <c r="A4" s="3" t="inlineStr">
        <is>
          <t xml:space="preserve">Global Source ID</t>
        </is>
      </c>
      <c r="B4" s="3" t="inlineStr">
        <is>
          <t xml:space="preserve">Map Version</t>
        </is>
      </c>
      <c r="C4" s="3" t="inlineStr">
        <is>
          <t xml:space="preserve">Source Workbook</t>
        </is>
      </c>
      <c r="D4" s="3" t="inlineStr">
        <is>
          <t xml:space="preserve">Local Source Key</t>
        </is>
      </c>
      <c r="E4" s="3" t="inlineStr">
        <is>
          <t xml:space="preserve">Publisher / Type</t>
        </is>
      </c>
      <c r="F4" s="3" t="inlineStr">
        <is>
          <t xml:space="preserve">Title</t>
        </is>
      </c>
      <c r="G4" s="3" t="inlineStr">
        <is>
          <t xml:space="preserve">URL</t>
        </is>
      </c>
      <c r="H4" s="3" t="inlineStr">
        <is>
          <t xml:space="preserve">Used For</t>
        </is>
      </c>
      <c r="I4" s="3" t="inlineStr">
        <is>
          <t xml:space="preserve">Editorial / Implementation Notes</t>
        </is>
      </c>
      <c r="J4" s="3" t="inlineStr">
        <is>
          <t xml:space="preserve">URL Reuse Count</t>
        </is>
      </c>
      <c r="K4" s="3" t="inlineStr">
        <is>
          <t xml:space="preserve">Review Flag</t>
        </is>
      </c>
    </row>
    <row r="5" ht="42" customHeight="1">
      <c r="A5" s="15" t="inlineStr">
        <is>
          <t xml:space="preserve">v0.1::SRC-TEXT-TORAH</t>
        </is>
      </c>
      <c r="B5" s="15" t="inlineStr">
        <is>
          <t xml:space="preserve">v0.1</t>
        </is>
      </c>
      <c r="C5" s="15" t="inlineStr">
        <is>
          <t xml:space="preserve">Bible_Journey_Canon_Map_v0_1_Genesis_to_2Samuel.xlsx</t>
        </is>
      </c>
      <c r="D5" s="15" t="inlineStr">
        <is>
          <t xml:space="preserve">SRC-TEXT-TORAH</t>
        </is>
      </c>
      <c r="E5" s="15" t="inlineStr">
        <is>
          <t xml:space="preserve">Primary text reference</t>
        </is>
      </c>
      <c r="F5" s="15" t="inlineStr">
        <is>
          <t xml:space="preserve">Genesis–Deuteronomy canonical text</t>
        </is>
      </c>
      <c r="G5" s="15" t="inlineStr">
        <is>
          <t xml:space="preserve">https://www.biblegateway.com/passage/?search=Genesis%201-50%3BExodus%201-40%3BLeviticus%201-27%3BNumbers%201-36%3BDeuteronomy%201-34</t>
        </is>
      </c>
      <c r="H5" s="15" t="inlineStr">
        <is>
          <t xml:space="preserve">Primary passage location for the Torah / Pentateuch main spine.</t>
        </is>
      </c>
      <c r="I5" s="15" t="inlineStr">
        <is>
          <t xml:space="preserve">Use references and licensed display text appropriate to the product.</t>
        </is>
      </c>
      <c r="J5" s="15">
        <f>COUNTIF($G$5:$G$500,G5)</f>
        <v>1</v>
      </c>
      <c r="K5" s="15" t="str">
        <f>IF(G5="","REVIEW","OK")</f>
        <v>OK</v>
      </c>
    </row>
    <row r="6" ht="42" customHeight="1">
      <c r="A6" s="15" t="inlineStr">
        <is>
          <t xml:space="preserve">v0.1::SRC-TEXT-DEUT</t>
        </is>
      </c>
      <c r="B6" s="15" t="inlineStr">
        <is>
          <t xml:space="preserve">v0.1</t>
        </is>
      </c>
      <c r="C6" s="15" t="inlineStr">
        <is>
          <t xml:space="preserve">Bible_Journey_Canon_Map_v0_1_Genesis_to_2Samuel.xlsx</t>
        </is>
      </c>
      <c r="D6" s="15" t="inlineStr">
        <is>
          <t xml:space="preserve">SRC-TEXT-DEUT</t>
        </is>
      </c>
      <c r="E6" s="15" t="inlineStr">
        <is>
          <t xml:space="preserve">Primary text reference</t>
        </is>
      </c>
      <c r="F6" s="15" t="inlineStr">
        <is>
          <t xml:space="preserve">Deuteronomy canonical text</t>
        </is>
      </c>
      <c r="G6" s="15" t="inlineStr">
        <is>
          <t xml:space="preserve">https://www.biblegateway.com/passage/?search=Deuteronomy%201-34</t>
        </is>
      </c>
      <c r="H6" s="15" t="inlineStr">
        <is>
          <t xml:space="preserve">Primary passage location for Deuteronomy.</t>
        </is>
      </c>
      <c r="I6" s="15" t="inlineStr">
        <is>
          <t xml:space="preserve">Use with SRC-DET-HISTORY for editorial context.</t>
        </is>
      </c>
      <c r="J6" s="15">
        <f>COUNTIF($G$5:$G$500,G6)</f>
        <v>1</v>
      </c>
      <c r="K6" s="15" t="str">
        <f>IF(G6="","REVIEW","OK")</f>
        <v>OK</v>
      </c>
    </row>
    <row r="7" ht="42" customHeight="1">
      <c r="A7" s="15" t="inlineStr">
        <is>
          <t xml:space="preserve">v0.1::SRC-TEXT-JOSHUA</t>
        </is>
      </c>
      <c r="B7" s="15" t="inlineStr">
        <is>
          <t xml:space="preserve">v0.1</t>
        </is>
      </c>
      <c r="C7" s="15" t="inlineStr">
        <is>
          <t xml:space="preserve">Bible_Journey_Canon_Map_v0_1_Genesis_to_2Samuel.xlsx</t>
        </is>
      </c>
      <c r="D7" s="15" t="inlineStr">
        <is>
          <t xml:space="preserve">SRC-TEXT-JOSHUA</t>
        </is>
      </c>
      <c r="E7" s="15" t="inlineStr">
        <is>
          <t xml:space="preserve">Primary text reference</t>
        </is>
      </c>
      <c r="F7" s="15" t="inlineStr">
        <is>
          <t xml:space="preserve">Joshua canonical text</t>
        </is>
      </c>
      <c r="G7" s="15" t="inlineStr">
        <is>
          <t xml:space="preserve">https://www.biblegateway.com/passage/?search=Joshua%201-24</t>
        </is>
      </c>
      <c r="H7" s="15" t="inlineStr">
        <is>
          <t xml:space="preserve">Primary passage location for Joshua.</t>
        </is>
      </c>
      <c r="I7" s="15"/>
      <c r="J7" s="15">
        <f>COUNTIF($G$5:$G$500,G7)</f>
        <v>1</v>
      </c>
      <c r="K7" s="15" t="str">
        <f>IF(G7="","REVIEW","OK")</f>
        <v>OK</v>
      </c>
    </row>
    <row r="8" ht="42" customHeight="1">
      <c r="A8" s="15" t="inlineStr">
        <is>
          <t xml:space="preserve">v0.1::SRC-TEXT-JUDGES</t>
        </is>
      </c>
      <c r="B8" s="15" t="inlineStr">
        <is>
          <t xml:space="preserve">v0.1</t>
        </is>
      </c>
      <c r="C8" s="15" t="inlineStr">
        <is>
          <t xml:space="preserve">Bible_Journey_Canon_Map_v0_1_Genesis_to_2Samuel.xlsx</t>
        </is>
      </c>
      <c r="D8" s="15" t="inlineStr">
        <is>
          <t xml:space="preserve">SRC-TEXT-JUDGES</t>
        </is>
      </c>
      <c r="E8" s="15" t="inlineStr">
        <is>
          <t xml:space="preserve">Primary text reference</t>
        </is>
      </c>
      <c r="F8" s="15" t="inlineStr">
        <is>
          <t xml:space="preserve">Judges canonical text</t>
        </is>
      </c>
      <c r="G8" s="15" t="inlineStr">
        <is>
          <t xml:space="preserve">https://www.biblegateway.com/passage/?search=Judges%201-21</t>
        </is>
      </c>
      <c r="H8" s="15" t="inlineStr">
        <is>
          <t xml:space="preserve">Primary passage location for Judges.</t>
        </is>
      </c>
      <c r="I8" s="15"/>
      <c r="J8" s="15">
        <f>COUNTIF($G$5:$G$500,G8)</f>
        <v>1</v>
      </c>
      <c r="K8" s="15" t="str">
        <f>IF(G8="","REVIEW","OK")</f>
        <v>OK</v>
      </c>
    </row>
    <row r="9" ht="42" customHeight="1">
      <c r="A9" s="15" t="inlineStr">
        <is>
          <t xml:space="preserve">v0.1::SRC-TEXT-RUTH</t>
        </is>
      </c>
      <c r="B9" s="15" t="inlineStr">
        <is>
          <t xml:space="preserve">v0.1</t>
        </is>
      </c>
      <c r="C9" s="15" t="inlineStr">
        <is>
          <t xml:space="preserve">Bible_Journey_Canon_Map_v0_1_Genesis_to_2Samuel.xlsx</t>
        </is>
      </c>
      <c r="D9" s="15" t="inlineStr">
        <is>
          <t xml:space="preserve">SRC-TEXT-RUTH</t>
        </is>
      </c>
      <c r="E9" s="15" t="inlineStr">
        <is>
          <t xml:space="preserve">Primary text reference</t>
        </is>
      </c>
      <c r="F9" s="15" t="inlineStr">
        <is>
          <t xml:space="preserve">Ruth canonical text</t>
        </is>
      </c>
      <c r="G9" s="15" t="inlineStr">
        <is>
          <t xml:space="preserve">https://www.biblegateway.com/passage/?search=Ruth%201-4</t>
        </is>
      </c>
      <c r="H9" s="15" t="inlineStr">
        <is>
          <t xml:space="preserve">Primary passage location for Ruth.</t>
        </is>
      </c>
      <c r="I9" s="15"/>
      <c r="J9" s="15">
        <f>COUNTIF($G$5:$G$500,G9)</f>
        <v>1</v>
      </c>
      <c r="K9" s="15" t="str">
        <f>IF(G9="","REVIEW","OK")</f>
        <v>OK</v>
      </c>
    </row>
    <row r="10" ht="42" customHeight="1">
      <c r="A10" s="15" t="inlineStr">
        <is>
          <t xml:space="preserve">v0.1::SRC-TEXT-1SAM</t>
        </is>
      </c>
      <c r="B10" s="15" t="inlineStr">
        <is>
          <t xml:space="preserve">v0.1</t>
        </is>
      </c>
      <c r="C10" s="15" t="inlineStr">
        <is>
          <t xml:space="preserve">Bible_Journey_Canon_Map_v0_1_Genesis_to_2Samuel.xlsx</t>
        </is>
      </c>
      <c r="D10" s="15" t="inlineStr">
        <is>
          <t xml:space="preserve">SRC-TEXT-1SAM</t>
        </is>
      </c>
      <c r="E10" s="15" t="inlineStr">
        <is>
          <t xml:space="preserve">Primary text reference</t>
        </is>
      </c>
      <c r="F10" s="15" t="inlineStr">
        <is>
          <t xml:space="preserve">1 Samuel canonical text</t>
        </is>
      </c>
      <c r="G10" s="15" t="inlineStr">
        <is>
          <t xml:space="preserve">https://www.biblegateway.com/passage/?search=1%20Samuel%201-31</t>
        </is>
      </c>
      <c r="H10" s="15" t="inlineStr">
        <is>
          <t xml:space="preserve">Primary passage location for 1 Samuel.</t>
        </is>
      </c>
      <c r="I10" s="15"/>
      <c r="J10" s="15">
        <f>COUNTIF($G$5:$G$500,G10)</f>
        <v>2</v>
      </c>
      <c r="K10" s="15" t="str">
        <f>IF(G10="","REVIEW","OK")</f>
        <v>OK</v>
      </c>
    </row>
    <row r="11" ht="42" customHeight="1">
      <c r="A11" s="15" t="inlineStr">
        <is>
          <t xml:space="preserve">v0.1::SRC-TEXT-2SAM</t>
        </is>
      </c>
      <c r="B11" s="15" t="inlineStr">
        <is>
          <t xml:space="preserve">v0.1</t>
        </is>
      </c>
      <c r="C11" s="15" t="inlineStr">
        <is>
          <t xml:space="preserve">Bible_Journey_Canon_Map_v0_1_Genesis_to_2Samuel.xlsx</t>
        </is>
      </c>
      <c r="D11" s="15" t="inlineStr">
        <is>
          <t xml:space="preserve">SRC-TEXT-2SAM</t>
        </is>
      </c>
      <c r="E11" s="15" t="inlineStr">
        <is>
          <t xml:space="preserve">Primary text reference</t>
        </is>
      </c>
      <c r="F11" s="15" t="inlineStr">
        <is>
          <t xml:space="preserve">2 Samuel canonical text</t>
        </is>
      </c>
      <c r="G11" s="15" t="inlineStr">
        <is>
          <t xml:space="preserve">https://www.biblegateway.com/passage/?search=2%20Samuel%201-24</t>
        </is>
      </c>
      <c r="H11" s="15" t="inlineStr">
        <is>
          <t xml:space="preserve">Primary passage location for 2 Samuel.</t>
        </is>
      </c>
      <c r="I11" s="15"/>
      <c r="J11" s="15">
        <f>COUNTIF($G$5:$G$500,G11)</f>
        <v>2</v>
      </c>
      <c r="K11" s="15" t="str">
        <f>IF(G11="","REVIEW","OK")</f>
        <v>OK</v>
      </c>
    </row>
    <row r="12" ht="42" customHeight="1">
      <c r="A12" s="15" t="inlineStr">
        <is>
          <t xml:space="preserve">v0.1::SRC-TEXT-1CHR</t>
        </is>
      </c>
      <c r="B12" s="15" t="inlineStr">
        <is>
          <t xml:space="preserve">v0.1</t>
        </is>
      </c>
      <c r="C12" s="15" t="inlineStr">
        <is>
          <t xml:space="preserve">Bible_Journey_Canon_Map_v0_1_Genesis_to_2Samuel.xlsx</t>
        </is>
      </c>
      <c r="D12" s="15" t="inlineStr">
        <is>
          <t xml:space="preserve">SRC-TEXT-1CHR</t>
        </is>
      </c>
      <c r="E12" s="15" t="inlineStr">
        <is>
          <t xml:space="preserve">Primary text reference</t>
        </is>
      </c>
      <c r="F12" s="15" t="inlineStr">
        <is>
          <t xml:space="preserve">1 Chronicles canonical text</t>
        </is>
      </c>
      <c r="G12" s="15" t="inlineStr">
        <is>
          <t xml:space="preserve">https://www.biblegateway.com/passage/?search=1%20Chronicles</t>
        </is>
      </c>
      <c r="H12" s="15" t="inlineStr">
        <is>
          <t xml:space="preserve">Primary passage location for linked Chronicles blocks.</t>
        </is>
      </c>
      <c r="I12" s="15" t="inlineStr">
        <is>
          <t xml:space="preserve">External dependency map is incomplete in v0.1.</t>
        </is>
      </c>
      <c r="J12" s="15">
        <f>COUNTIF($G$5:$G$500,G12)</f>
        <v>1</v>
      </c>
      <c r="K12" s="15" t="str">
        <f>IF(G12="","REVIEW","OK")</f>
        <v>OK</v>
      </c>
    </row>
    <row r="13" ht="42" customHeight="1">
      <c r="A13" s="15" t="inlineStr">
        <is>
          <t xml:space="preserve">v0.1::SRC-TEXT-PSALMS</t>
        </is>
      </c>
      <c r="B13" s="15" t="inlineStr">
        <is>
          <t xml:space="preserve">v0.1</t>
        </is>
      </c>
      <c r="C13" s="15" t="inlineStr">
        <is>
          <t xml:space="preserve">Bible_Journey_Canon_Map_v0_1_Genesis_to_2Samuel.xlsx</t>
        </is>
      </c>
      <c r="D13" s="15" t="inlineStr">
        <is>
          <t xml:space="preserve">SRC-TEXT-PSALMS</t>
        </is>
      </c>
      <c r="E13" s="15" t="inlineStr">
        <is>
          <t xml:space="preserve">Primary text reference</t>
        </is>
      </c>
      <c r="F13" s="15" t="inlineStr">
        <is>
          <t xml:space="preserve">Psalms canonical text</t>
        </is>
      </c>
      <c r="G13" s="15" t="inlineStr">
        <is>
          <t xml:space="preserve">https://www.biblegateway.com/passage/?search=Psalms</t>
        </is>
      </c>
      <c r="H13" s="15" t="inlineStr">
        <is>
          <t xml:space="preserve">Primary passage location for linked Psalms.</t>
        </is>
      </c>
      <c r="I13" s="15" t="inlineStr">
        <is>
          <t xml:space="preserve">Full Psalms placement map is a future workstream.</t>
        </is>
      </c>
      <c r="J13" s="15">
        <f>COUNTIF($G$5:$G$500,G13)</f>
        <v>1</v>
      </c>
      <c r="K13" s="15" t="str">
        <f>IF(G13="","REVIEW","OK")</f>
        <v>OK</v>
      </c>
    </row>
    <row r="14" ht="42" customHeight="1">
      <c r="A14" s="15" t="inlineStr">
        <is>
          <t xml:space="preserve">v0.1::SRC-PSALM-SUPERSCRIPTIONS</t>
        </is>
      </c>
      <c r="B14" s="15" t="inlineStr">
        <is>
          <t xml:space="preserve">v0.1</t>
        </is>
      </c>
      <c r="C14" s="15" t="inlineStr">
        <is>
          <t xml:space="preserve">Bible_Journey_Canon_Map_v0_1_Genesis_to_2Samuel.xlsx</t>
        </is>
      </c>
      <c r="D14" s="15" t="inlineStr">
        <is>
          <t xml:space="preserve">SRC-PSALM-SUPERSCRIPTIONS</t>
        </is>
      </c>
      <c r="E14" s="15" t="inlineStr">
        <is>
          <t xml:space="preserve">Primary text / editorial cue</t>
        </is>
      </c>
      <c r="F14" s="15" t="inlineStr">
        <is>
          <t xml:space="preserve">Psalm superscriptions for linked Psalms</t>
        </is>
      </c>
      <c r="G14" s="15" t="inlineStr">
        <is>
          <t xml:space="preserve">https://www.biblegateway.com/passage/?search=Psalm%2034%3B52%3B54%3B57%3B59%3B142</t>
        </is>
      </c>
      <c r="H14" s="15" t="inlineStr">
        <is>
          <t xml:space="preserve">Textual basis for traditional/superscription-based David links.</t>
        </is>
      </c>
      <c r="I14" s="15" t="inlineStr">
        <is>
          <t xml:space="preserve">Not all traditions or translations display headings identically; preserve caveats in end-user copy.</t>
        </is>
      </c>
      <c r="J14" s="15">
        <f>COUNTIF($G$5:$G$500,G14)</f>
        <v>1</v>
      </c>
      <c r="K14" s="15" t="str">
        <f>IF(G14="","REVIEW","OK")</f>
        <v>OK</v>
      </c>
    </row>
    <row r="15" ht="42" customHeight="1">
      <c r="A15" s="15" t="inlineStr">
        <is>
          <t xml:space="preserve">v0.1::SRC-TORAH-OVERVIEW</t>
        </is>
      </c>
      <c r="B15" s="15" t="inlineStr">
        <is>
          <t xml:space="preserve">v0.1</t>
        </is>
      </c>
      <c r="C15" s="15" t="inlineStr">
        <is>
          <t xml:space="preserve">Bible_Journey_Canon_Map_v0_1_Genesis_to_2Samuel.xlsx</t>
        </is>
      </c>
      <c r="D15" s="15" t="inlineStr">
        <is>
          <t xml:space="preserve">SRC-TORAH-OVERVIEW</t>
        </is>
      </c>
      <c r="E15" s="15" t="inlineStr">
        <is>
          <t xml:space="preserve">Scholarly overview</t>
        </is>
      </c>
      <c r="F15" s="15" t="inlineStr">
        <is>
          <t xml:space="preserve">The Torah / The Pentateuch</t>
        </is>
      </c>
      <c r="G15" s="15" t="inlineStr">
        <is>
          <t xml:space="preserve">https://www.bibleodyssey.org/articles/the-torah-the-pentateuch/</t>
        </is>
      </c>
      <c r="H15" s="15" t="inlineStr">
        <is>
          <t xml:space="preserve">Context for treating Genesis–Deuteronomy as a narrative-and-law corpus.</t>
        </is>
      </c>
      <c r="I15" s="15" t="inlineStr">
        <is>
          <t xml:space="preserve">Used for broad structure, not to settle historical dating.</t>
        </is>
      </c>
      <c r="J15" s="15">
        <f>COUNTIF($G$5:$G$500,G15)</f>
        <v>2</v>
      </c>
      <c r="K15" s="15" t="str">
        <f>IF(G15="","REVIEW","OK")</f>
        <v>OK</v>
      </c>
    </row>
    <row r="16" ht="42" customHeight="1">
      <c r="A16" s="15" t="inlineStr">
        <is>
          <t xml:space="preserve">v0.1::SRC-DEUT-OVERVIEW</t>
        </is>
      </c>
      <c r="B16" s="15" t="inlineStr">
        <is>
          <t xml:space="preserve">v0.1</t>
        </is>
      </c>
      <c r="C16" s="15" t="inlineStr">
        <is>
          <t xml:space="preserve">Bible_Journey_Canon_Map_v0_1_Genesis_to_2Samuel.xlsx</t>
        </is>
      </c>
      <c r="D16" s="15" t="inlineStr">
        <is>
          <t xml:space="preserve">SRC-DEUT-OVERVIEW</t>
        </is>
      </c>
      <c r="E16" s="15" t="inlineStr">
        <is>
          <t xml:space="preserve">Reference overview</t>
        </is>
      </c>
      <c r="F16" s="15" t="inlineStr">
        <is>
          <t xml:space="preserve">Deuteronomy</t>
        </is>
      </c>
      <c r="G16" s="15" t="inlineStr">
        <is>
          <t xml:space="preserve">https://www.bibleodyssey.org/dictionary/deuteronomy/</t>
        </is>
      </c>
      <c r="H16" s="15" t="inlineStr">
        <is>
          <t xml:space="preserve">Outline framing Deuteronomy as speeches and closing material before entry into Canaan.</t>
        </is>
      </c>
      <c r="I16" s="15"/>
      <c r="J16" s="15">
        <f>COUNTIF($G$5:$G$500,G16)</f>
        <v>1</v>
      </c>
      <c r="K16" s="15" t="str">
        <f>IF(G16="","REVIEW","OK")</f>
        <v>OK</v>
      </c>
    </row>
    <row r="17" ht="42" customHeight="1">
      <c r="A17" s="15" t="inlineStr">
        <is>
          <t xml:space="preserve">v0.1::SRC-DET-HISTORY</t>
        </is>
      </c>
      <c r="B17" s="15" t="inlineStr">
        <is>
          <t xml:space="preserve">v0.1</t>
        </is>
      </c>
      <c r="C17" s="15" t="inlineStr">
        <is>
          <t xml:space="preserve">Bible_Journey_Canon_Map_v0_1_Genesis_to_2Samuel.xlsx</t>
        </is>
      </c>
      <c r="D17" s="15" t="inlineStr">
        <is>
          <t xml:space="preserve">SRC-DET-HISTORY</t>
        </is>
      </c>
      <c r="E17" s="15" t="inlineStr">
        <is>
          <t xml:space="preserve">Scholarly overview</t>
        </is>
      </c>
      <c r="F17" s="15" t="inlineStr">
        <is>
          <t xml:space="preserve">Deuteronomistic History</t>
        </is>
      </c>
      <c r="G17" s="15" t="inlineStr">
        <is>
          <t xml:space="preserve">https://www.bibleodyssey.org/articles/deuteronomistic-history/</t>
        </is>
      </c>
      <c r="H17" s="15" t="inlineStr">
        <is>
          <t xml:space="preserve">Context for literary/theological relationships from Deuteronomy through Kings.</t>
        </is>
      </c>
      <c r="I17" s="15" t="inlineStr">
        <is>
          <t xml:space="preserve">Used for editorial continuity, not an absolute chronological scheme.</t>
        </is>
      </c>
      <c r="J17" s="15">
        <f>COUNTIF($G$5:$G$500,G17)</f>
        <v>1</v>
      </c>
      <c r="K17" s="15" t="str">
        <f>IF(G17="","REVIEW","OK")</f>
        <v>OK</v>
      </c>
    </row>
    <row r="18" ht="42" customHeight="1">
      <c r="A18" s="15" t="inlineStr">
        <is>
          <t xml:space="preserve">v0.1::SRC-SAMUEL-OVERVIEW</t>
        </is>
      </c>
      <c r="B18" s="15" t="inlineStr">
        <is>
          <t xml:space="preserve">v0.1</t>
        </is>
      </c>
      <c r="C18" s="15" t="inlineStr">
        <is>
          <t xml:space="preserve">Bible_Journey_Canon_Map_v0_1_Genesis_to_2Samuel.xlsx</t>
        </is>
      </c>
      <c r="D18" s="15" t="inlineStr">
        <is>
          <t xml:space="preserve">SRC-SAMUEL-OVERVIEW</t>
        </is>
      </c>
      <c r="E18" s="15" t="inlineStr">
        <is>
          <t xml:space="preserve">Book overview</t>
        </is>
      </c>
      <c r="F18" s="15" t="inlineStr">
        <is>
          <t xml:space="preserve">Books of 1 and 2 Samuel</t>
        </is>
      </c>
      <c r="G18" s="15" t="inlineStr">
        <is>
          <t xml:space="preserve">https://bibleproject.com/guides/books-of-samuel/</t>
        </is>
      </c>
      <c r="H18" s="15" t="inlineStr">
        <is>
          <t xml:space="preserve">Overview of Samuel, Saul, and David as the main narrative figures in the transition to monarchy.</t>
        </is>
      </c>
      <c r="I18" s="15"/>
      <c r="J18" s="15">
        <f>COUNTIF($G$5:$G$500,G18)</f>
        <v>1</v>
      </c>
      <c r="K18" s="15" t="str">
        <f>IF(G18="","REVIEW","OK")</f>
        <v>OK</v>
      </c>
    </row>
    <row r="19" ht="42" customHeight="1">
      <c r="A19" s="15" t="inlineStr">
        <is>
          <t xml:space="preserve">v0.1::SRC-DAVID-OVERVIEW</t>
        </is>
      </c>
      <c r="B19" s="15" t="inlineStr">
        <is>
          <t xml:space="preserve">v0.1</t>
        </is>
      </c>
      <c r="C19" s="15" t="inlineStr">
        <is>
          <t xml:space="preserve">Bible_Journey_Canon_Map_v0_1_Genesis_to_2Samuel.xlsx</t>
        </is>
      </c>
      <c r="D19" s="15" t="inlineStr">
        <is>
          <t xml:space="preserve">SRC-DAVID-OVERVIEW</t>
        </is>
      </c>
      <c r="E19" s="15" t="inlineStr">
        <is>
          <t xml:space="preserve">Scholarly overview</t>
        </is>
      </c>
      <c r="F19" s="15" t="inlineStr">
        <is>
          <t xml:space="preserve">David</t>
        </is>
      </c>
      <c r="G19" s="15" t="inlineStr">
        <is>
          <t xml:space="preserve">https://www.bibleodyssey.org/articles/david/</t>
        </is>
      </c>
      <c r="H19" s="15" t="inlineStr">
        <is>
          <t xml:space="preserve">Context for David's main narrative across Samuel and Kings.</t>
        </is>
      </c>
      <c r="I19" s="15"/>
      <c r="J19" s="15">
        <f>COUNTIF($G$5:$G$500,G19)</f>
        <v>1</v>
      </c>
      <c r="K19" s="15" t="str">
        <f>IF(G19="","REVIEW","OK")</f>
        <v>OK</v>
      </c>
    </row>
    <row r="20" ht="42" customHeight="1">
      <c r="A20" s="15" t="inlineStr">
        <is>
          <t xml:space="preserve">v0.1::SRC-CHRONICLES-OVERVIEW</t>
        </is>
      </c>
      <c r="B20" s="15" t="inlineStr">
        <is>
          <t xml:space="preserve">v0.1</t>
        </is>
      </c>
      <c r="C20" s="15" t="inlineStr">
        <is>
          <t xml:space="preserve">Bible_Journey_Canon_Map_v0_1_Genesis_to_2Samuel.xlsx</t>
        </is>
      </c>
      <c r="D20" s="15" t="inlineStr">
        <is>
          <t xml:space="preserve">SRC-CHRONICLES-OVERVIEW</t>
        </is>
      </c>
      <c r="E20" s="15" t="inlineStr">
        <is>
          <t xml:space="preserve">Scholarly overview</t>
        </is>
      </c>
      <c r="F20" s="15" t="inlineStr">
        <is>
          <t xml:space="preserve">Chronicles</t>
        </is>
      </c>
      <c r="G20" s="15" t="inlineStr">
        <is>
          <t xml:space="preserve">https://www.bibleodyssey.org/dictionary/chronicles/</t>
        </is>
      </c>
      <c r="H20" s="15" t="inlineStr">
        <is>
          <t xml:space="preserve">Support for treating Chronicles as a parallel / complementary historical account to Samuel and Kings.</t>
        </is>
      </c>
      <c r="I20" s="15" t="inlineStr">
        <is>
          <t xml:space="preserve">This map keeps accounts intact; it does not harmonize verses into a composite text.</t>
        </is>
      </c>
      <c r="J20" s="15">
        <f>COUNTIF($G$5:$G$500,G20)</f>
        <v>3</v>
      </c>
      <c r="K20" s="15" t="str">
        <f>IF(G20="","REVIEW","OK")</f>
        <v>OK</v>
      </c>
    </row>
    <row r="21" ht="42" customHeight="1">
      <c r="A21" s="15" t="inlineStr">
        <is>
          <t xml:space="preserve">v0.2::SRC-TEXT-1CHR</t>
        </is>
      </c>
      <c r="B21" s="15" t="inlineStr">
        <is>
          <t xml:space="preserve">v0.2</t>
        </is>
      </c>
      <c r="C21" s="15" t="inlineStr">
        <is>
          <t xml:space="preserve">Bible_Journey_Canon_Map_v0_2_Chronicles_Psalms_Job_1Kings.xlsx</t>
        </is>
      </c>
      <c r="D21" s="15" t="inlineStr">
        <is>
          <t xml:space="preserve">SRC-TEXT-1CHR</t>
        </is>
      </c>
      <c r="E21" s="15" t="inlineStr">
        <is>
          <t xml:space="preserve">Primary text reference</t>
        </is>
      </c>
      <c r="F21" s="15" t="inlineStr">
        <is>
          <t xml:space="preserve">1 Chronicles canonical text</t>
        </is>
      </c>
      <c r="G21" s="15" t="inlineStr">
        <is>
          <t xml:space="preserve">https://www.biblegateway.com/passage/?search=1%20Chronicles%201-29</t>
        </is>
      </c>
      <c r="H21" s="15" t="inlineStr">
        <is>
          <t xml:space="preserve">Primary passage locations for 1 Chronicles in this scope.</t>
        </is>
      </c>
      <c r="I21" s="15" t="inlineStr">
        <is>
          <t xml:space="preserve">Use only licensed or permitted display text in the app.</t>
        </is>
      </c>
      <c r="J21" s="15">
        <f>COUNTIF($G$5:$G$500,G21)</f>
        <v>1</v>
      </c>
      <c r="K21" s="15" t="str">
        <f>IF(G21="","REVIEW","OK")</f>
        <v>OK</v>
      </c>
    </row>
    <row r="22" ht="42" customHeight="1">
      <c r="A22" s="15" t="inlineStr">
        <is>
          <t xml:space="preserve">v0.2::SRC-TEXT-PSALMS</t>
        </is>
      </c>
      <c r="B22" s="15" t="inlineStr">
        <is>
          <t xml:space="preserve">v0.2</t>
        </is>
      </c>
      <c r="C22" s="15" t="inlineStr">
        <is>
          <t xml:space="preserve">Bible_Journey_Canon_Map_v0_2_Chronicles_Psalms_Job_1Kings.xlsx</t>
        </is>
      </c>
      <c r="D22" s="15" t="inlineStr">
        <is>
          <t xml:space="preserve">SRC-TEXT-PSALMS</t>
        </is>
      </c>
      <c r="E22" s="15" t="inlineStr">
        <is>
          <t xml:space="preserve">Primary text reference</t>
        </is>
      </c>
      <c r="F22" s="15" t="inlineStr">
        <is>
          <t xml:space="preserve">Psalms canonical text</t>
        </is>
      </c>
      <c r="G22" s="15" t="inlineStr">
        <is>
          <t xml:space="preserve">https://www.biblegateway.com/passage/?search=Psalms%201-150</t>
        </is>
      </c>
      <c r="H22" s="15" t="inlineStr">
        <is>
          <t xml:space="preserve">Primary passage locations for the Psalter.</t>
        </is>
      </c>
      <c r="I22" s="15" t="inlineStr">
        <is>
          <t xml:space="preserve">Use only licensed or permitted display text in the app.</t>
        </is>
      </c>
      <c r="J22" s="15">
        <f>COUNTIF($G$5:$G$500,G22)</f>
        <v>1</v>
      </c>
      <c r="K22" s="15" t="str">
        <f>IF(G22="","REVIEW","OK")</f>
        <v>OK</v>
      </c>
    </row>
    <row r="23" ht="42" customHeight="1">
      <c r="A23" s="15" t="inlineStr">
        <is>
          <t xml:space="preserve">v0.2::SRC-TEXT-JOB</t>
        </is>
      </c>
      <c r="B23" s="15" t="inlineStr">
        <is>
          <t xml:space="preserve">v0.2</t>
        </is>
      </c>
      <c r="C23" s="15" t="inlineStr">
        <is>
          <t xml:space="preserve">Bible_Journey_Canon_Map_v0_2_Chronicles_Psalms_Job_1Kings.xlsx</t>
        </is>
      </c>
      <c r="D23" s="15" t="inlineStr">
        <is>
          <t xml:space="preserve">SRC-TEXT-JOB</t>
        </is>
      </c>
      <c r="E23" s="15" t="inlineStr">
        <is>
          <t xml:space="preserve">Primary text reference</t>
        </is>
      </c>
      <c r="F23" s="15" t="inlineStr">
        <is>
          <t xml:space="preserve">Job canonical text</t>
        </is>
      </c>
      <c r="G23" s="15" t="inlineStr">
        <is>
          <t xml:space="preserve">https://www.biblegateway.com/passage/?search=Job%201-42</t>
        </is>
      </c>
      <c r="H23" s="15" t="inlineStr">
        <is>
          <t xml:space="preserve">Primary passage locations for Job.</t>
        </is>
      </c>
      <c r="I23" s="15" t="inlineStr">
        <is>
          <t xml:space="preserve">Use only licensed or permitted display text in the app.</t>
        </is>
      </c>
      <c r="J23" s="15">
        <f>COUNTIF($G$5:$G$500,G23)</f>
        <v>1</v>
      </c>
      <c r="K23" s="15" t="str">
        <f>IF(G23="","REVIEW","OK")</f>
        <v>OK</v>
      </c>
    </row>
    <row r="24" ht="42" customHeight="1">
      <c r="A24" s="15" t="inlineStr">
        <is>
          <t xml:space="preserve">v0.2::SRC-TEXT-1KGS</t>
        </is>
      </c>
      <c r="B24" s="15" t="inlineStr">
        <is>
          <t xml:space="preserve">v0.2</t>
        </is>
      </c>
      <c r="C24" s="15" t="inlineStr">
        <is>
          <t xml:space="preserve">Bible_Journey_Canon_Map_v0_2_Chronicles_Psalms_Job_1Kings.xlsx</t>
        </is>
      </c>
      <c r="D24" s="15" t="inlineStr">
        <is>
          <t xml:space="preserve">SRC-TEXT-1KGS</t>
        </is>
      </c>
      <c r="E24" s="15" t="inlineStr">
        <is>
          <t xml:space="preserve">Primary text reference</t>
        </is>
      </c>
      <c r="F24" s="15" t="inlineStr">
        <is>
          <t xml:space="preserve">1 Kings canonical text</t>
        </is>
      </c>
      <c r="G24" s="15" t="inlineStr">
        <is>
          <t xml:space="preserve">https://www.biblegateway.com/passage/?search=1%20Kings%201-22</t>
        </is>
      </c>
      <c r="H24" s="15" t="inlineStr">
        <is>
          <t xml:space="preserve">Primary passage locations for 1 Kings.</t>
        </is>
      </c>
      <c r="I24" s="15" t="inlineStr">
        <is>
          <t xml:space="preserve">Use only licensed or permitted display text in the app.</t>
        </is>
      </c>
      <c r="J24" s="15">
        <f>COUNTIF($G$5:$G$500,G24)</f>
        <v>1</v>
      </c>
      <c r="K24" s="15" t="str">
        <f>IF(G24="","REVIEW","OK")</f>
        <v>OK</v>
      </c>
    </row>
    <row r="25" ht="42" customHeight="1">
      <c r="A25" s="15" t="inlineStr">
        <is>
          <t xml:space="preserve">v0.2::SRC-TEXT-1SAM</t>
        </is>
      </c>
      <c r="B25" s="15" t="inlineStr">
        <is>
          <t xml:space="preserve">v0.2</t>
        </is>
      </c>
      <c r="C25" s="15" t="inlineStr">
        <is>
          <t xml:space="preserve">Bible_Journey_Canon_Map_v0_2_Chronicles_Psalms_Job_1Kings.xlsx</t>
        </is>
      </c>
      <c r="D25" s="15" t="inlineStr">
        <is>
          <t xml:space="preserve">SRC-TEXT-1SAM</t>
        </is>
      </c>
      <c r="E25" s="15" t="inlineStr">
        <is>
          <t xml:space="preserve">Primary text reference</t>
        </is>
      </c>
      <c r="F25" s="15" t="inlineStr">
        <is>
          <t xml:space="preserve">1 Samuel canonical text</t>
        </is>
      </c>
      <c r="G25" s="15" t="inlineStr">
        <is>
          <t xml:space="preserve">https://www.biblegateway.com/passage/?search=1%20Samuel%201-31</t>
        </is>
      </c>
      <c r="H25" s="15" t="inlineStr">
        <is>
          <t xml:space="preserve">Cross-map targets from Canon Map v0.1.</t>
        </is>
      </c>
      <c r="I25" s="15" t="inlineStr">
        <is>
          <t xml:space="preserve">Reference only in this workbook.</t>
        </is>
      </c>
      <c r="J25" s="15">
        <f>COUNTIF($G$5:$G$500,G25)</f>
        <v>2</v>
      </c>
      <c r="K25" s="15" t="str">
        <f>IF(G25="","REVIEW","OK")</f>
        <v>OK</v>
      </c>
    </row>
    <row r="26" ht="42" customHeight="1">
      <c r="A26" s="15" t="inlineStr">
        <is>
          <t xml:space="preserve">v0.2::SRC-TEXT-2SAM</t>
        </is>
      </c>
      <c r="B26" s="15" t="inlineStr">
        <is>
          <t xml:space="preserve">v0.2</t>
        </is>
      </c>
      <c r="C26" s="15" t="inlineStr">
        <is>
          <t xml:space="preserve">Bible_Journey_Canon_Map_v0_2_Chronicles_Psalms_Job_1Kings.xlsx</t>
        </is>
      </c>
      <c r="D26" s="15" t="inlineStr">
        <is>
          <t xml:space="preserve">SRC-TEXT-2SAM</t>
        </is>
      </c>
      <c r="E26" s="15" t="inlineStr">
        <is>
          <t xml:space="preserve">Primary text reference</t>
        </is>
      </c>
      <c r="F26" s="15" t="inlineStr">
        <is>
          <t xml:space="preserve">2 Samuel canonical text</t>
        </is>
      </c>
      <c r="G26" s="15" t="inlineStr">
        <is>
          <t xml:space="preserve">https://www.biblegateway.com/passage/?search=2%20Samuel%201-24</t>
        </is>
      </c>
      <c r="H26" s="15" t="inlineStr">
        <is>
          <t xml:space="preserve">Cross-map targets from Canon Map v0.1.</t>
        </is>
      </c>
      <c r="I26" s="15" t="inlineStr">
        <is>
          <t xml:space="preserve">Reference only in this workbook.</t>
        </is>
      </c>
      <c r="J26" s="15">
        <f>COUNTIF($G$5:$G$500,G26)</f>
        <v>2</v>
      </c>
      <c r="K26" s="15" t="str">
        <f>IF(G26="","REVIEW","OK")</f>
        <v>OK</v>
      </c>
    </row>
    <row r="27" ht="42" customHeight="1">
      <c r="A27" s="15" t="inlineStr">
        <is>
          <t xml:space="preserve">v0.2::SRC-CHRONICLES-OVERVIEW</t>
        </is>
      </c>
      <c r="B27" s="15" t="inlineStr">
        <is>
          <t xml:space="preserve">v0.2</t>
        </is>
      </c>
      <c r="C27" s="15" t="inlineStr">
        <is>
          <t xml:space="preserve">Bible_Journey_Canon_Map_v0_2_Chronicles_Psalms_Job_1Kings.xlsx</t>
        </is>
      </c>
      <c r="D27" s="15" t="inlineStr">
        <is>
          <t xml:space="preserve">SRC-CHRONICLES-OVERVIEW</t>
        </is>
      </c>
      <c r="E27" s="15" t="inlineStr">
        <is>
          <t xml:space="preserve">Scholarly overview</t>
        </is>
      </c>
      <c r="F27" s="15" t="inlineStr">
        <is>
          <t xml:space="preserve">Chronicles</t>
        </is>
      </c>
      <c r="G27" s="15" t="inlineStr">
        <is>
          <t xml:space="preserve">https://www.bibleodyssey.org/dictionary/chronicles/</t>
        </is>
      </c>
      <c r="H27" s="15" t="inlineStr">
        <is>
          <t xml:space="preserve">Chronicles as material parallel to Samuel/Kings with genealogical and temple interests.</t>
        </is>
      </c>
      <c r="I27" s="15" t="inlineStr">
        <is>
          <t xml:space="preserve">Use for structural/editorial context, not to eliminate differences between accounts.</t>
        </is>
      </c>
      <c r="J27" s="15">
        <f>COUNTIF($G$5:$G$500,G27)</f>
        <v>3</v>
      </c>
      <c r="K27" s="15" t="str">
        <f>IF(G27="","REVIEW","OK")</f>
        <v>OK</v>
      </c>
    </row>
    <row r="28" ht="42" customHeight="1">
      <c r="A28" s="15" t="inlineStr">
        <is>
          <t xml:space="preserve">v0.2::SRC-CHRONICLES-BP</t>
        </is>
      </c>
      <c r="B28" s="15" t="inlineStr">
        <is>
          <t xml:space="preserve">v0.2</t>
        </is>
      </c>
      <c r="C28" s="15" t="inlineStr">
        <is>
          <t xml:space="preserve">Bible_Journey_Canon_Map_v0_2_Chronicles_Psalms_Job_1Kings.xlsx</t>
        </is>
      </c>
      <c r="D28" s="15" t="inlineStr">
        <is>
          <t xml:space="preserve">SRC-CHRONICLES-BP</t>
        </is>
      </c>
      <c r="E28" s="15" t="inlineStr">
        <is>
          <t xml:space="preserve">Book overview</t>
        </is>
      </c>
      <c r="F28" s="15" t="inlineStr">
        <is>
          <t xml:space="preserve">Books of 1 &amp; 2 Chronicles</t>
        </is>
      </c>
      <c r="G28" s="15" t="inlineStr">
        <is>
          <t xml:space="preserve">https://bibleproject.com/guides/books-of-chronicles/</t>
        </is>
      </c>
      <c r="H28" s="15" t="inlineStr">
        <is>
          <t xml:space="preserve">Chronicles' genealogy, David, temple, and postexilic framing.</t>
        </is>
      </c>
      <c r="I28" s="15" t="inlineStr">
        <is>
          <t xml:space="preserve">Use for high-level book structure and user-facing orientation.</t>
        </is>
      </c>
      <c r="J28" s="15">
        <f>COUNTIF($G$5:$G$500,G28)</f>
        <v>1</v>
      </c>
      <c r="K28" s="15" t="str">
        <f>IF(G28="","REVIEW","OK")</f>
        <v>OK</v>
      </c>
    </row>
    <row r="29" ht="42" customHeight="1">
      <c r="A29" s="15" t="inlineStr">
        <is>
          <t xml:space="preserve">v0.2::SRC-PSALMS-OVERVIEW</t>
        </is>
      </c>
      <c r="B29" s="15" t="inlineStr">
        <is>
          <t xml:space="preserve">v0.2</t>
        </is>
      </c>
      <c r="C29" s="15" t="inlineStr">
        <is>
          <t xml:space="preserve">Bible_Journey_Canon_Map_v0_2_Chronicles_Psalms_Job_1Kings.xlsx</t>
        </is>
      </c>
      <c r="D29" s="15" t="inlineStr">
        <is>
          <t xml:space="preserve">SRC-PSALMS-OVERVIEW</t>
        </is>
      </c>
      <c r="E29" s="15" t="inlineStr">
        <is>
          <t xml:space="preserve">Book overview</t>
        </is>
      </c>
      <c r="F29" s="15" t="inlineStr">
        <is>
          <t xml:space="preserve">Book of Psalms</t>
        </is>
      </c>
      <c r="G29" s="15" t="inlineStr">
        <is>
          <t xml:space="preserve">https://bibleproject.com/guides/book-of-psalms/</t>
        </is>
      </c>
      <c r="H29" s="15" t="inlineStr">
        <is>
          <t xml:space="preserve">Five-book structure of the Psalter and literary grouping.</t>
        </is>
      </c>
      <c r="I29" s="15" t="inlineStr">
        <is>
          <t xml:space="preserve">Do not use book structure as a claim of historical chronology.</t>
        </is>
      </c>
      <c r="J29" s="15">
        <f>COUNTIF($G$5:$G$500,G29)</f>
        <v>1</v>
      </c>
      <c r="K29" s="15" t="str">
        <f>IF(G29="","REVIEW","OK")</f>
        <v>OK</v>
      </c>
    </row>
    <row r="30" ht="42" customHeight="1">
      <c r="A30" s="15" t="inlineStr">
        <is>
          <t xml:space="preserve">v0.2::SRC-PSALM-SUPERSCRIPTIONS</t>
        </is>
      </c>
      <c r="B30" s="15" t="inlineStr">
        <is>
          <t xml:space="preserve">v0.2</t>
        </is>
      </c>
      <c r="C30" s="15" t="inlineStr">
        <is>
          <t xml:space="preserve">Bible_Journey_Canon_Map_v0_2_Chronicles_Psalms_Job_1Kings.xlsx</t>
        </is>
      </c>
      <c r="D30" s="15" t="inlineStr">
        <is>
          <t xml:space="preserve">SRC-PSALM-SUPERSCRIPTIONS</t>
        </is>
      </c>
      <c r="E30" s="15" t="inlineStr">
        <is>
          <t xml:space="preserve">Primary text / editorial cue</t>
        </is>
      </c>
      <c r="F30" s="15" t="inlineStr">
        <is>
          <t xml:space="preserve">Selected Psalm superscriptions</t>
        </is>
      </c>
      <c r="G30" s="15" t="inlineStr">
        <is>
          <t xml:space="preserve">https://www.biblegateway.com/passage/?search=Psalm%203%3B18%3B34%3B51%3B52%3B54%3B56%3B57%3B59%3B60%3B72%3B90%3B96%3B105%3B106%3B127</t>
        </is>
      </c>
      <c r="H30" s="15" t="inlineStr">
        <is>
          <t xml:space="preserve">Traditional links between selected psalms and named settings or persons.</t>
        </is>
      </c>
      <c r="I30" s="15" t="inlineStr">
        <is>
          <t xml:space="preserve">Treat headings as evidence to be disclosed, not as automatic certainty.</t>
        </is>
      </c>
      <c r="J30" s="15">
        <f>COUNTIF($G$5:$G$500,G30)</f>
        <v>1</v>
      </c>
      <c r="K30" s="15" t="str">
        <f>IF(G30="","REVIEW","OK")</f>
        <v>OK</v>
      </c>
    </row>
    <row r="31" ht="42" customHeight="1">
      <c r="A31" s="15" t="inlineStr">
        <is>
          <t xml:space="preserve">v0.2::SRC-JOB-AUTHORSHIP</t>
        </is>
      </c>
      <c r="B31" s="15" t="inlineStr">
        <is>
          <t xml:space="preserve">v0.2</t>
        </is>
      </c>
      <c r="C31" s="15" t="inlineStr">
        <is>
          <t xml:space="preserve">Bible_Journey_Canon_Map_v0_2_Chronicles_Psalms_Job_1Kings.xlsx</t>
        </is>
      </c>
      <c r="D31" s="15" t="inlineStr">
        <is>
          <t xml:space="preserve">SRC-JOB-AUTHORSHIP</t>
        </is>
      </c>
      <c r="E31" s="15" t="inlineStr">
        <is>
          <t xml:space="preserve">Scholarly overview</t>
        </is>
      </c>
      <c r="F31" s="15" t="inlineStr">
        <is>
          <t xml:space="preserve">Authorship of Job</t>
        </is>
      </c>
      <c r="G31" s="15" t="inlineStr">
        <is>
          <t xml:space="preserve">https://www.bibleodyssey.org/articles/authorship-of-job/</t>
        </is>
      </c>
      <c r="H31" s="15" t="inlineStr">
        <is>
          <t xml:space="preserve">Why Job's composition/date and setting should not be forced into a settled global chronology.</t>
        </is>
      </c>
      <c r="I31" s="15" t="inlineStr">
        <is>
          <t xml:space="preserve">Supports Unresolved placement policy.</t>
        </is>
      </c>
      <c r="J31" s="15">
        <f>COUNTIF($G$5:$G$500,G31)</f>
        <v>1</v>
      </c>
      <c r="K31" s="15" t="str">
        <f>IF(G31="","REVIEW","OK")</f>
        <v>OK</v>
      </c>
    </row>
    <row r="32" ht="42" customHeight="1">
      <c r="A32" s="15" t="inlineStr">
        <is>
          <t xml:space="preserve">v0.2::SRC-JOB-OVERVIEW</t>
        </is>
      </c>
      <c r="B32" s="15" t="inlineStr">
        <is>
          <t xml:space="preserve">v0.2</t>
        </is>
      </c>
      <c r="C32" s="15" t="inlineStr">
        <is>
          <t xml:space="preserve">Bible_Journey_Canon_Map_v0_2_Chronicles_Psalms_Job_1Kings.xlsx</t>
        </is>
      </c>
      <c r="D32" s="15" t="inlineStr">
        <is>
          <t xml:space="preserve">SRC-JOB-OVERVIEW</t>
        </is>
      </c>
      <c r="E32" s="15" t="inlineStr">
        <is>
          <t xml:space="preserve">Book overview</t>
        </is>
      </c>
      <c r="F32" s="15" t="inlineStr">
        <is>
          <t xml:space="preserve">Book of Job</t>
        </is>
      </c>
      <c r="G32" s="15" t="inlineStr">
        <is>
          <t xml:space="preserve">https://bibleproject.com/guides/book-of-job/</t>
        </is>
      </c>
      <c r="H32" s="15" t="inlineStr">
        <is>
          <t xml:space="preserve">Job's internal narrative/dialogue structure.</t>
        </is>
      </c>
      <c r="I32" s="15" t="inlineStr">
        <is>
          <t xml:space="preserve">Supports book-level reading sets without a global date claim.</t>
        </is>
      </c>
      <c r="J32" s="15">
        <f>COUNTIF($G$5:$G$500,G32)</f>
        <v>1</v>
      </c>
      <c r="K32" s="15" t="str">
        <f>IF(G32="","REVIEW","OK")</f>
        <v>OK</v>
      </c>
    </row>
    <row r="33" ht="42" customHeight="1">
      <c r="A33" s="15" t="inlineStr">
        <is>
          <t xml:space="preserve">v0.2::SRC-KINGS-OVERVIEW</t>
        </is>
      </c>
      <c r="B33" s="15" t="inlineStr">
        <is>
          <t xml:space="preserve">v0.2</t>
        </is>
      </c>
      <c r="C33" s="15" t="inlineStr">
        <is>
          <t xml:space="preserve">Bible_Journey_Canon_Map_v0_2_Chronicles_Psalms_Job_1Kings.xlsx</t>
        </is>
      </c>
      <c r="D33" s="15" t="inlineStr">
        <is>
          <t xml:space="preserve">SRC-KINGS-OVERVIEW</t>
        </is>
      </c>
      <c r="E33" s="15" t="inlineStr">
        <is>
          <t xml:space="preserve">Book overview</t>
        </is>
      </c>
      <c r="F33" s="15" t="inlineStr">
        <is>
          <t xml:space="preserve">Books of 1 and 2 Kings</t>
        </is>
      </c>
      <c r="G33" s="15" t="inlineStr">
        <is>
          <t xml:space="preserve">https://bibleproject.com/guides/books-of-kings/</t>
        </is>
      </c>
      <c r="H33" s="15" t="inlineStr">
        <is>
          <t xml:space="preserve">High-level Kings structure from Solomon through the divided monarchy.</t>
        </is>
      </c>
      <c r="I33" s="15" t="inlineStr">
        <is>
          <t xml:space="preserve">Used for book architecture only.</t>
        </is>
      </c>
      <c r="J33" s="15">
        <f>COUNTIF($G$5:$G$500,G33)</f>
        <v>1</v>
      </c>
      <c r="K33" s="15" t="str">
        <f>IF(G33="","REVIEW","OK")</f>
        <v>OK</v>
      </c>
    </row>
    <row r="34" ht="42" customHeight="1">
      <c r="A34" s="15" t="inlineStr">
        <is>
          <t xml:space="preserve">v0.2::SRC-KINGS-REFERENCE</t>
        </is>
      </c>
      <c r="B34" s="15" t="inlineStr">
        <is>
          <t xml:space="preserve">v0.2</t>
        </is>
      </c>
      <c r="C34" s="15" t="inlineStr">
        <is>
          <t xml:space="preserve">Bible_Journey_Canon_Map_v0_2_Chronicles_Psalms_Job_1Kings.xlsx</t>
        </is>
      </c>
      <c r="D34" s="15" t="inlineStr">
        <is>
          <t xml:space="preserve">SRC-KINGS-REFERENCE</t>
        </is>
      </c>
      <c r="E34" s="15" t="inlineStr">
        <is>
          <t xml:space="preserve">Reference overview</t>
        </is>
      </c>
      <c r="F34" s="15" t="inlineStr">
        <is>
          <t xml:space="preserve">Kings, First and Second</t>
        </is>
      </c>
      <c r="G34" s="15" t="inlineStr">
        <is>
          <t xml:space="preserve">https://www.bibleodyssey.org/dictionary/kings-first-and-second/</t>
        </is>
      </c>
      <c r="H34" s="15" t="inlineStr">
        <is>
          <t xml:space="preserve">Kings' main movements, including divided monarchy and Elijah/Elisha cycles.</t>
        </is>
      </c>
      <c r="I34" s="15" t="inlineStr">
        <is>
          <t xml:space="preserve">Supports section boundaries in 1 Kings.</t>
        </is>
      </c>
      <c r="J34" s="15">
        <f>COUNTIF($G$5:$G$500,G34)</f>
        <v>2</v>
      </c>
      <c r="K34" s="15" t="str">
        <f>IF(G34="","REVIEW","OK")</f>
        <v>OK</v>
      </c>
    </row>
    <row r="35" ht="42" customHeight="1">
      <c r="A35" s="15" t="inlineStr">
        <is>
          <t xml:space="preserve">v0.2::SRC-SOLOMON-OVERVIEW</t>
        </is>
      </c>
      <c r="B35" s="15" t="inlineStr">
        <is>
          <t xml:space="preserve">v0.2</t>
        </is>
      </c>
      <c r="C35" s="15" t="inlineStr">
        <is>
          <t xml:space="preserve">Bible_Journey_Canon_Map_v0_2_Chronicles_Psalms_Job_1Kings.xlsx</t>
        </is>
      </c>
      <c r="D35" s="15" t="inlineStr">
        <is>
          <t xml:space="preserve">SRC-SOLOMON-OVERVIEW</t>
        </is>
      </c>
      <c r="E35" s="15" t="inlineStr">
        <is>
          <t xml:space="preserve">Scholarly overview</t>
        </is>
      </c>
      <c r="F35" s="15" t="inlineStr">
        <is>
          <t xml:space="preserve">Solomon</t>
        </is>
      </c>
      <c r="G35" s="15" t="inlineStr">
        <is>
          <t xml:space="preserve">https://www.bibleodyssey.org/articles/solomon/</t>
        </is>
      </c>
      <c r="H35" s="15" t="inlineStr">
        <is>
          <t xml:space="preserve">Solomon's reign, temple, decline, and division transition.</t>
        </is>
      </c>
      <c r="I35" s="15" t="inlineStr">
        <is>
          <t xml:space="preserve">Use to contextualize rather than settle exact chronology.</t>
        </is>
      </c>
      <c r="J35" s="15">
        <f>COUNTIF($G$5:$G$500,G35)</f>
        <v>1</v>
      </c>
      <c r="K35" s="15" t="str">
        <f>IF(G35="","REVIEW","OK")</f>
        <v>OK</v>
      </c>
    </row>
    <row r="36" ht="42" customHeight="1">
      <c r="A36" s="15" t="inlineStr">
        <is>
          <t xml:space="preserve">v0.2::SRC-DIVIDED-MONARCHY</t>
        </is>
      </c>
      <c r="B36" s="15" t="inlineStr">
        <is>
          <t xml:space="preserve">v0.2</t>
        </is>
      </c>
      <c r="C36" s="15" t="inlineStr">
        <is>
          <t xml:space="preserve">Bible_Journey_Canon_Map_v0_2_Chronicles_Psalms_Job_1Kings.xlsx</t>
        </is>
      </c>
      <c r="D36" s="15" t="inlineStr">
        <is>
          <t xml:space="preserve">SRC-DIVIDED-MONARCHY</t>
        </is>
      </c>
      <c r="E36" s="15" t="inlineStr">
        <is>
          <t xml:space="preserve">Reference overview</t>
        </is>
      </c>
      <c r="F36" s="15" t="inlineStr">
        <is>
          <t xml:space="preserve">Divided Kingdom / Divided Monarchy</t>
        </is>
      </c>
      <c r="G36" s="15" t="inlineStr">
        <is>
          <t xml:space="preserve">https://www.bibleodyssey.org/dictionary/divided-kingdom-divided-monarchy/</t>
        </is>
      </c>
      <c r="H36" s="15" t="inlineStr">
        <is>
          <t xml:space="preserve">Rehoboam/Jeroboam split and broader divided-monarchy frame.</t>
        </is>
      </c>
      <c r="I36" s="15" t="inlineStr">
        <is>
          <t xml:space="preserve">Supports 1 Kings 12 onward.</t>
        </is>
      </c>
      <c r="J36" s="15">
        <f>COUNTIF($G$5:$G$500,G36)</f>
        <v>1</v>
      </c>
      <c r="K36" s="15" t="str">
        <f>IF(G36="","REVIEW","OK")</f>
        <v>OK</v>
      </c>
    </row>
    <row r="37" ht="42" customHeight="1">
      <c r="A37" s="15" t="inlineStr">
        <is>
          <t xml:space="preserve">v0.2::SRC-KINGDOM-ISRAEL</t>
        </is>
      </c>
      <c r="B37" s="15" t="inlineStr">
        <is>
          <t xml:space="preserve">v0.2</t>
        </is>
      </c>
      <c r="C37" s="15" t="inlineStr">
        <is>
          <t xml:space="preserve">Bible_Journey_Canon_Map_v0_2_Chronicles_Psalms_Job_1Kings.xlsx</t>
        </is>
      </c>
      <c r="D37" s="15" t="inlineStr">
        <is>
          <t xml:space="preserve">SRC-KINGDOM-ISRAEL</t>
        </is>
      </c>
      <c r="E37" s="15" t="inlineStr">
        <is>
          <t xml:space="preserve">Scholarly overview</t>
        </is>
      </c>
      <c r="F37" s="15" t="inlineStr">
        <is>
          <t xml:space="preserve">Kingdom of Israel</t>
        </is>
      </c>
      <c r="G37" s="15" t="inlineStr">
        <is>
          <t xml:space="preserve">https://www.bibleodyssey.org/articles/kingdom-of-israel/</t>
        </is>
      </c>
      <c r="H37" s="15" t="inlineStr">
        <is>
          <t xml:space="preserve">Chronicles' relationship to Samuel/Kings and northern-kingdom selectivity.</t>
        </is>
      </c>
      <c r="I37" s="15" t="inlineStr">
        <is>
          <t xml:space="preserve">Use for cross-book comparison methodology.</t>
        </is>
      </c>
      <c r="J37" s="15">
        <f>COUNTIF($G$5:$G$500,G37)</f>
        <v>1</v>
      </c>
      <c r="K37" s="15" t="str">
        <f>IF(G37="","REVIEW","OK")</f>
        <v>OK</v>
      </c>
    </row>
    <row r="38" ht="42" customHeight="1">
      <c r="A38" s="15" t="inlineStr">
        <is>
          <t xml:space="preserve">v0.2::SRC-AHAB</t>
        </is>
      </c>
      <c r="B38" s="15" t="inlineStr">
        <is>
          <t xml:space="preserve">v0.2</t>
        </is>
      </c>
      <c r="C38" s="15" t="inlineStr">
        <is>
          <t xml:space="preserve">Bible_Journey_Canon_Map_v0_2_Chronicles_Psalms_Job_1Kings.xlsx</t>
        </is>
      </c>
      <c r="D38" s="15" t="inlineStr">
        <is>
          <t xml:space="preserve">SRC-AHAB</t>
        </is>
      </c>
      <c r="E38" s="15" t="inlineStr">
        <is>
          <t xml:space="preserve">Scholarly overview</t>
        </is>
      </c>
      <c r="F38" s="15" t="inlineStr">
        <is>
          <t xml:space="preserve">Ahab</t>
        </is>
      </c>
      <c r="G38" s="15" t="inlineStr">
        <is>
          <t xml:space="preserve">https://www.bibleodyssey.org/articles/ahab/</t>
        </is>
      </c>
      <c r="H38" s="15" t="inlineStr">
        <is>
          <t xml:space="preserve">Ahab's reign context.</t>
        </is>
      </c>
      <c r="I38" s="15" t="inlineStr">
        <is>
          <t xml:space="preserve">Supports Ahab / Elijah section orientation.</t>
        </is>
      </c>
      <c r="J38" s="15">
        <f>COUNTIF($G$5:$G$500,G38)</f>
        <v>1</v>
      </c>
      <c r="K38" s="15" t="str">
        <f>IF(G38="","REVIEW","OK")</f>
        <v>OK</v>
      </c>
    </row>
    <row r="39" ht="42" customHeight="1">
      <c r="A39" s="15" t="inlineStr">
        <is>
          <t xml:space="preserve">v0.2::SRC-NABOTH</t>
        </is>
      </c>
      <c r="B39" s="15" t="inlineStr">
        <is>
          <t xml:space="preserve">v0.2</t>
        </is>
      </c>
      <c r="C39" s="15" t="inlineStr">
        <is>
          <t xml:space="preserve">Bible_Journey_Canon_Map_v0_2_Chronicles_Psalms_Job_1Kings.xlsx</t>
        </is>
      </c>
      <c r="D39" s="15" t="inlineStr">
        <is>
          <t xml:space="preserve">SRC-NABOTH</t>
        </is>
      </c>
      <c r="E39" s="15" t="inlineStr">
        <is>
          <t xml:space="preserve">Passage and context overview</t>
        </is>
      </c>
      <c r="F39" s="15" t="inlineStr">
        <is>
          <t xml:space="preserve">Naboth's Vineyard</t>
        </is>
      </c>
      <c r="G39" s="15" t="inlineStr">
        <is>
          <t xml:space="preserve">https://www.bibleodyssey.org/articles/naboths-vineyard/</t>
        </is>
      </c>
      <c r="H39" s="15" t="inlineStr">
        <is>
          <t xml:space="preserve">1 Kings 21 context.</t>
        </is>
      </c>
      <c r="I39" s="15" t="inlineStr">
        <is>
          <t xml:space="preserve">Use for event naming and study-mode context.</t>
        </is>
      </c>
      <c r="J39" s="15">
        <f>COUNTIF($G$5:$G$500,G39)</f>
        <v>1</v>
      </c>
      <c r="K39" s="15" t="str">
        <f>IF(G39="","REVIEW","OK")</f>
        <v>OK</v>
      </c>
    </row>
    <row r="40" ht="42" customHeight="1">
      <c r="A40" s="15" t="inlineStr">
        <is>
          <t xml:space="preserve">v0.3::SRC-CANON-TEXT</t>
        </is>
      </c>
      <c r="B40" s="15" t="inlineStr">
        <is>
          <t xml:space="preserve">v0.3</t>
        </is>
      </c>
      <c r="C40" s="15" t="inlineStr">
        <is>
          <t xml:space="preserve">Bible_Journey_Canon_Map_v0_3_2Chronicles_Wisdom_2Kings.xlsx</t>
        </is>
      </c>
      <c r="D40" s="15" t="inlineStr">
        <is>
          <t xml:space="preserve">SRC-CANON-TEXT</t>
        </is>
      </c>
      <c r="E40" s="15" t="inlineStr">
        <is>
          <t xml:space="preserve">Canonical biblical text</t>
        </is>
      </c>
      <c r="F40" s="15" t="inlineStr">
        <is>
          <t xml:space="preserve">Primary text anchor</t>
        </is>
      </c>
      <c r="G40" s="15" t="inlineStr">
        <is>
          <t xml:space="preserve">https://www.biblegateway.com/passage/?search=2%20Kings%201-25%3B2%20Chronicles%201-36&amp;version=WEB</t>
        </is>
      </c>
      <c r="H40" s="15" t="inlineStr">
        <is>
          <t xml:space="preserve">Canonical references listed in each CRS / Reading Block; display text is license-dependent.</t>
        </is>
      </c>
      <c r="I40" s="15"/>
      <c r="J40" s="15">
        <f>COUNTIF($G$5:$G$500,G40)</f>
        <v>1</v>
      </c>
      <c r="K40" s="15" t="str">
        <f>IF(G40="","REVIEW","OK")</f>
        <v>OK</v>
      </c>
    </row>
    <row r="41" ht="42" customHeight="1">
      <c r="A41" s="15" t="inlineStr">
        <is>
          <t xml:space="preserve">v0.3::SRC-KINGS-OVERVIEW</t>
        </is>
      </c>
      <c r="B41" s="15" t="inlineStr">
        <is>
          <t xml:space="preserve">v0.3</t>
        </is>
      </c>
      <c r="C41" s="15" t="inlineStr">
        <is>
          <t xml:space="preserve">Bible_Journey_Canon_Map_v0_3_2Chronicles_Wisdom_2Kings.xlsx</t>
        </is>
      </c>
      <c r="D41" s="15" t="inlineStr">
        <is>
          <t xml:space="preserve">SRC-KINGS-OVERVIEW</t>
        </is>
      </c>
      <c r="E41" s="15" t="inlineStr">
        <is>
          <t xml:space="preserve">Bible Odyssey</t>
        </is>
      </c>
      <c r="F41" s="15" t="inlineStr">
        <is>
          <t xml:space="preserve">Kings, First and Second</t>
        </is>
      </c>
      <c r="G41" s="15" t="inlineStr">
        <is>
          <t xml:space="preserve">https://www.bibleodyssey.org/dictionary/kings-first-and-second/</t>
        </is>
      </c>
      <c r="H41" s="15" t="inlineStr">
        <is>
          <t xml:space="preserve">Overview of the monarchy narrative from Solomon through Jerusalem's fall.</t>
        </is>
      </c>
      <c r="I41" s="15"/>
      <c r="J41" s="15">
        <f>COUNTIF($G$5:$G$500,G41)</f>
        <v>2</v>
      </c>
      <c r="K41" s="15" t="str">
        <f>IF(G41="","REVIEW","OK")</f>
        <v>OK</v>
      </c>
    </row>
    <row r="42" ht="42" customHeight="1">
      <c r="A42" s="15" t="inlineStr">
        <is>
          <t xml:space="preserve">v0.3::SRC-CHRONICLES-OVERVIEW</t>
        </is>
      </c>
      <c r="B42" s="15" t="inlineStr">
        <is>
          <t xml:space="preserve">v0.3</t>
        </is>
      </c>
      <c r="C42" s="15" t="inlineStr">
        <is>
          <t xml:space="preserve">Bible_Journey_Canon_Map_v0_3_2Chronicles_Wisdom_2Kings.xlsx</t>
        </is>
      </c>
      <c r="D42" s="15" t="inlineStr">
        <is>
          <t xml:space="preserve">SRC-CHRONICLES-OVERVIEW</t>
        </is>
      </c>
      <c r="E42" s="15" t="inlineStr">
        <is>
          <t xml:space="preserve">Bible Odyssey</t>
        </is>
      </c>
      <c r="F42" s="15" t="inlineStr">
        <is>
          <t xml:space="preserve">Chronicles</t>
        </is>
      </c>
      <c r="G42" s="15" t="inlineStr">
        <is>
          <t xml:space="preserve">https://www.bibleodyssey.org/dictionary/chronicles/</t>
        </is>
      </c>
      <c r="H42" s="15" t="inlineStr">
        <is>
          <t xml:space="preserve">Chronicles parallels Samuel and Kings while emphasizing genealogy, the temple, and priestly/Levitical concerns.</t>
        </is>
      </c>
      <c r="I42" s="15"/>
      <c r="J42" s="15">
        <f>COUNTIF($G$5:$G$500,G42)</f>
        <v>3</v>
      </c>
      <c r="K42" s="15" t="str">
        <f>IF(G42="","REVIEW","OK")</f>
        <v>OK</v>
      </c>
    </row>
    <row r="43" ht="42" customHeight="1">
      <c r="A43" s="15" t="inlineStr">
        <is>
          <t xml:space="preserve">v0.3::SRC-HEZEKIAH</t>
        </is>
      </c>
      <c r="B43" s="15" t="inlineStr">
        <is>
          <t xml:space="preserve">v0.3</t>
        </is>
      </c>
      <c r="C43" s="15" t="inlineStr">
        <is>
          <t xml:space="preserve">Bible_Journey_Canon_Map_v0_3_2Chronicles_Wisdom_2Kings.xlsx</t>
        </is>
      </c>
      <c r="D43" s="15" t="inlineStr">
        <is>
          <t xml:space="preserve">SRC-HEZEKIAH</t>
        </is>
      </c>
      <c r="E43" s="15" t="inlineStr">
        <is>
          <t xml:space="preserve">Bible Odyssey</t>
        </is>
      </c>
      <c r="F43" s="15" t="inlineStr">
        <is>
          <t xml:space="preserve">Hezekiah</t>
        </is>
      </c>
      <c r="G43" s="15" t="inlineStr">
        <is>
          <t xml:space="preserve">https://www.bibleodyssey.org/articles/hezekiah/</t>
        </is>
      </c>
      <c r="H43" s="15" t="inlineStr">
        <is>
          <t xml:space="preserve">Context for Hezekiah in Kings and related traditions.</t>
        </is>
      </c>
      <c r="I43" s="15"/>
      <c r="J43" s="15">
        <f>COUNTIF($G$5:$G$500,G43)</f>
        <v>1</v>
      </c>
      <c r="K43" s="15" t="str">
        <f>IF(G43="","REVIEW","OK")</f>
        <v>OK</v>
      </c>
    </row>
    <row r="44" ht="42" customHeight="1">
      <c r="A44" s="15" t="inlineStr">
        <is>
          <t xml:space="preserve">v0.3::SRC-MANASSEH</t>
        </is>
      </c>
      <c r="B44" s="15" t="inlineStr">
        <is>
          <t xml:space="preserve">v0.3</t>
        </is>
      </c>
      <c r="C44" s="15" t="inlineStr">
        <is>
          <t xml:space="preserve">Bible_Journey_Canon_Map_v0_3_2Chronicles_Wisdom_2Kings.xlsx</t>
        </is>
      </c>
      <c r="D44" s="15" t="inlineStr">
        <is>
          <t xml:space="preserve">SRC-MANASSEH</t>
        </is>
      </c>
      <c r="E44" s="15" t="inlineStr">
        <is>
          <t xml:space="preserve">Bible Odyssey</t>
        </is>
      </c>
      <c r="F44" s="15" t="inlineStr">
        <is>
          <t xml:space="preserve">Manasseh</t>
        </is>
      </c>
      <c r="G44" s="15" t="inlineStr">
        <is>
          <t xml:space="preserve">https://www.bibleodyssey.org/articles/manasseh/</t>
        </is>
      </c>
      <c r="H44" s="15" t="inlineStr">
        <is>
          <t xml:space="preserve">Context for Manasseh in 2 Kings 21 and 2 Chronicles 33.</t>
        </is>
      </c>
      <c r="I44" s="15"/>
      <c r="J44" s="15">
        <f>COUNTIF($G$5:$G$500,G44)</f>
        <v>1</v>
      </c>
      <c r="K44" s="15" t="str">
        <f>IF(G44="","REVIEW","OK")</f>
        <v>OK</v>
      </c>
    </row>
    <row r="45" ht="42" customHeight="1">
      <c r="A45" s="15" t="inlineStr">
        <is>
          <t xml:space="preserve">v0.3::SRC-AHAZ</t>
        </is>
      </c>
      <c r="B45" s="15" t="inlineStr">
        <is>
          <t xml:space="preserve">v0.3</t>
        </is>
      </c>
      <c r="C45" s="15" t="inlineStr">
        <is>
          <t xml:space="preserve">Bible_Journey_Canon_Map_v0_3_2Chronicles_Wisdom_2Kings.xlsx</t>
        </is>
      </c>
      <c r="D45" s="15" t="inlineStr">
        <is>
          <t xml:space="preserve">SRC-AHAZ</t>
        </is>
      </c>
      <c r="E45" s="15" t="inlineStr">
        <is>
          <t xml:space="preserve">Bible Odyssey</t>
        </is>
      </c>
      <c r="F45" s="15" t="inlineStr">
        <is>
          <t xml:space="preserve">Ahaz</t>
        </is>
      </c>
      <c r="G45" s="15" t="inlineStr">
        <is>
          <t xml:space="preserve">https://www.bibleodyssey.org/articles/ahaz/</t>
        </is>
      </c>
      <c r="H45" s="15" t="inlineStr">
        <is>
          <t xml:space="preserve">Context for Ahaz and Assyrian pressure in the eighth century BCE.</t>
        </is>
      </c>
      <c r="I45" s="15"/>
      <c r="J45" s="15">
        <f>COUNTIF($G$5:$G$500,G45)</f>
        <v>2</v>
      </c>
      <c r="K45" s="15" t="str">
        <f>IF(G45="","REVIEW","OK")</f>
        <v>OK</v>
      </c>
    </row>
    <row r="46" ht="42" customHeight="1">
      <c r="A46" s="15" t="inlineStr">
        <is>
          <t xml:space="preserve">v0.3::SRC-JUDAH</t>
        </is>
      </c>
      <c r="B46" s="15" t="inlineStr">
        <is>
          <t xml:space="preserve">v0.3</t>
        </is>
      </c>
      <c r="C46" s="15" t="inlineStr">
        <is>
          <t xml:space="preserve">Bible_Journey_Canon_Map_v0_3_2Chronicles_Wisdom_2Kings.xlsx</t>
        </is>
      </c>
      <c r="D46" s="15" t="inlineStr">
        <is>
          <t xml:space="preserve">SRC-JUDAH</t>
        </is>
      </c>
      <c r="E46" s="15" t="inlineStr">
        <is>
          <t xml:space="preserve">Bible Odyssey</t>
        </is>
      </c>
      <c r="F46" s="15" t="inlineStr">
        <is>
          <t xml:space="preserve">The Kingdom of Judah</t>
        </is>
      </c>
      <c r="G46" s="15" t="inlineStr">
        <is>
          <t xml:space="preserve">https://www.bibleodyssey.org/articles/the-kingdom-of-judah/</t>
        </is>
      </c>
      <c r="H46" s="15" t="inlineStr">
        <is>
          <t xml:space="preserve">Assyrian and Babylonian context for Judah, including Sennacherib and the fall of Jerusalem.</t>
        </is>
      </c>
      <c r="I46" s="15"/>
      <c r="J46" s="15">
        <f>COUNTIF($G$5:$G$500,G46)</f>
        <v>1</v>
      </c>
      <c r="K46" s="15" t="str">
        <f>IF(G46="","REVIEW","OK")</f>
        <v>OK</v>
      </c>
    </row>
    <row r="47" ht="42" customHeight="1">
      <c r="A47" s="15" t="inlineStr">
        <is>
          <t xml:space="preserve">v0.3::SRC-WISDOM-CANON</t>
        </is>
      </c>
      <c r="B47" s="15" t="inlineStr">
        <is>
          <t xml:space="preserve">v0.3</t>
        </is>
      </c>
      <c r="C47" s="15" t="inlineStr">
        <is>
          <t xml:space="preserve">Bible_Journey_Canon_Map_v0_3_2Chronicles_Wisdom_2Kings.xlsx</t>
        </is>
      </c>
      <c r="D47" s="15" t="inlineStr">
        <is>
          <t xml:space="preserve">SRC-WISDOM-CANON</t>
        </is>
      </c>
      <c r="E47" s="15" t="inlineStr">
        <is>
          <t xml:space="preserve">Bible Odyssey</t>
        </is>
      </c>
      <c r="F47" s="15" t="inlineStr">
        <is>
          <t xml:space="preserve">Why Does the Bible Look the Way It Does?</t>
        </is>
      </c>
      <c r="G47" s="15" t="inlineStr">
        <is>
          <t xml:space="preserve">https://www.bibleodyssey.org/articles/why-does-the-bible-look-the-way-it-does/</t>
        </is>
      </c>
      <c r="H47" s="15" t="inlineStr">
        <is>
          <t xml:space="preserve">Notes that Proverbs, Ecclesiastes, and Song of Songs are grouped by presumed Solomonic authorship, while historical authorship is uncertain.</t>
        </is>
      </c>
      <c r="I47" s="15"/>
      <c r="J47" s="15">
        <f>COUNTIF($G$5:$G$500,G47)</f>
        <v>1</v>
      </c>
      <c r="K47" s="15" t="str">
        <f>IF(G47="","REVIEW","OK")</f>
        <v>OK</v>
      </c>
    </row>
    <row r="48" ht="42" customHeight="1">
      <c r="A48" s="15" t="inlineStr">
        <is>
          <t xml:space="preserve">v0.3::SRC-WHO-WROTE</t>
        </is>
      </c>
      <c r="B48" s="15" t="inlineStr">
        <is>
          <t xml:space="preserve">v0.3</t>
        </is>
      </c>
      <c r="C48" s="15" t="inlineStr">
        <is>
          <t xml:space="preserve">Bible_Journey_Canon_Map_v0_3_2Chronicles_Wisdom_2Kings.xlsx</t>
        </is>
      </c>
      <c r="D48" s="15" t="inlineStr">
        <is>
          <t xml:space="preserve">SRC-WHO-WROTE</t>
        </is>
      </c>
      <c r="E48" s="15" t="inlineStr">
        <is>
          <t xml:space="preserve">Bible Odyssey</t>
        </is>
      </c>
      <c r="F48" s="15" t="inlineStr">
        <is>
          <t xml:space="preserve">Who Wrote the Bible?</t>
        </is>
      </c>
      <c r="G48" s="15" t="inlineStr">
        <is>
          <t xml:space="preserve">https://www.bibleodyssey.org/articles/who-wrote-the-bible/</t>
        </is>
      </c>
      <c r="H48" s="15" t="inlineStr">
        <is>
          <t xml:space="preserve">Traditional Solomonic association of Proverbs, Ecclesiastes, and Song is not sufficient for a settled historical placement.</t>
        </is>
      </c>
      <c r="I48" s="15"/>
      <c r="J48" s="15">
        <f>COUNTIF($G$5:$G$500,G48)</f>
        <v>2</v>
      </c>
      <c r="K48" s="15" t="str">
        <f>IF(G48="","REVIEW","OK")</f>
        <v>OK</v>
      </c>
    </row>
    <row r="49" ht="42" customHeight="1">
      <c r="A49" s="15" t="inlineStr">
        <is>
          <t xml:space="preserve">v0.3::SRC-SONG</t>
        </is>
      </c>
      <c r="B49" s="15" t="inlineStr">
        <is>
          <t xml:space="preserve">v0.3</t>
        </is>
      </c>
      <c r="C49" s="15" t="inlineStr">
        <is>
          <t xml:space="preserve">Bible_Journey_Canon_Map_v0_3_2Chronicles_Wisdom_2Kings.xlsx</t>
        </is>
      </c>
      <c r="D49" s="15" t="inlineStr">
        <is>
          <t xml:space="preserve">SRC-SONG</t>
        </is>
      </c>
      <c r="E49" s="15" t="inlineStr">
        <is>
          <t xml:space="preserve">Bible Odyssey</t>
        </is>
      </c>
      <c r="F49" s="15" t="inlineStr">
        <is>
          <t xml:space="preserve">Jewish and Christian Interpretation of the Song of Songs</t>
        </is>
      </c>
      <c r="G49" s="15" t="inlineStr">
        <is>
          <t xml:space="preserve">https://www.bibleodyssey.org/articles/jewish-and-christian-interpretation-of-the-song-of-songs/</t>
        </is>
      </c>
      <c r="H49" s="15" t="inlineStr">
        <is>
          <t xml:space="preserve">Song of Songs as a collection of love poetry with subsequent interpretive traditions.</t>
        </is>
      </c>
      <c r="I49" s="15"/>
      <c r="J49" s="15">
        <f>COUNTIF($G$5:$G$500,G49)</f>
        <v>1</v>
      </c>
      <c r="K49" s="15" t="str">
        <f>IF(G49="","REVIEW","OK")</f>
        <v>OK</v>
      </c>
    </row>
    <row r="50" ht="42" customHeight="1">
      <c r="A50" s="15" t="inlineStr">
        <is>
          <t xml:space="preserve">v0.3::SRC-ISAIAH</t>
        </is>
      </c>
      <c r="B50" s="15" t="inlineStr">
        <is>
          <t xml:space="preserve">v0.3</t>
        </is>
      </c>
      <c r="C50" s="15" t="inlineStr">
        <is>
          <t xml:space="preserve">Bible_Journey_Canon_Map_v0_3_2Chronicles_Wisdom_2Kings.xlsx</t>
        </is>
      </c>
      <c r="D50" s="15" t="inlineStr">
        <is>
          <t xml:space="preserve">SRC-ISAIAH</t>
        </is>
      </c>
      <c r="E50" s="15" t="inlineStr">
        <is>
          <t xml:space="preserve">Bible Odyssey</t>
        </is>
      </c>
      <c r="F50" s="15" t="inlineStr">
        <is>
          <t xml:space="preserve">Isaiah</t>
        </is>
      </c>
      <c r="G50" s="15" t="inlineStr">
        <is>
          <t xml:space="preserve">https://www.bibleodyssey.org/articles/isaiah/</t>
        </is>
      </c>
      <c r="H50" s="15" t="inlineStr">
        <is>
          <t xml:space="preserve">Isaiah's association with the reigns of Ahaz and Hezekiah in the biblical presentation.</t>
        </is>
      </c>
      <c r="I50" s="15"/>
      <c r="J50" s="15">
        <f>COUNTIF($G$5:$G$500,G50)</f>
        <v>2</v>
      </c>
      <c r="K50" s="15" t="str">
        <f>IF(G50="","REVIEW","OK")</f>
        <v>OK</v>
      </c>
    </row>
    <row r="51" ht="42" customHeight="1">
      <c r="A51" s="15" t="inlineStr">
        <is>
          <t xml:space="preserve">v0.3::SRC-ARCHAEOLOGY-JUDAH</t>
        </is>
      </c>
      <c r="B51" s="15" t="inlineStr">
        <is>
          <t xml:space="preserve">v0.3</t>
        </is>
      </c>
      <c r="C51" s="15" t="inlineStr">
        <is>
          <t xml:space="preserve">Bible_Journey_Canon_Map_v0_3_2Chronicles_Wisdom_2Kings.xlsx</t>
        </is>
      </c>
      <c r="D51" s="15" t="inlineStr">
        <is>
          <t xml:space="preserve">SRC-ARCHAEOLOGY-JUDAH</t>
        </is>
      </c>
      <c r="E51" s="15" t="inlineStr">
        <is>
          <t xml:space="preserve">Bible Odyssey</t>
        </is>
      </c>
      <c r="F51" s="15" t="inlineStr">
        <is>
          <t xml:space="preserve">Babylonian Accounts of the Invasion of Judah</t>
        </is>
      </c>
      <c r="G51" s="15" t="inlineStr">
        <is>
          <t xml:space="preserve">https://www.bibleodyssey.org/articles/babylonian-accounts-of-the-invasion-of-judah/</t>
        </is>
      </c>
      <c r="H51" s="15" t="inlineStr">
        <is>
          <t xml:space="preserve">Context for Assyrian / Babylonian evidence and the Levantine setting.</t>
        </is>
      </c>
      <c r="I51" s="15"/>
      <c r="J51" s="15">
        <f>COUNTIF($G$5:$G$500,G51)</f>
        <v>1</v>
      </c>
      <c r="K51" s="15" t="str">
        <f>IF(G51="","REVIEW","OK")</f>
        <v>OK</v>
      </c>
    </row>
    <row r="52" ht="42" customHeight="1">
      <c r="A52" s="15" t="inlineStr">
        <is>
          <t xml:space="preserve">v0.3::SRC-KINGS-TIMELINE</t>
        </is>
      </c>
      <c r="B52" s="15" t="inlineStr">
        <is>
          <t xml:space="preserve">v0.3</t>
        </is>
      </c>
      <c r="C52" s="15" t="inlineStr">
        <is>
          <t xml:space="preserve">Bible_Journey_Canon_Map_v0_3_2Chronicles_Wisdom_2Kings.xlsx</t>
        </is>
      </c>
      <c r="D52" s="15" t="inlineStr">
        <is>
          <t xml:space="preserve">SRC-KINGS-TIMELINE</t>
        </is>
      </c>
      <c r="E52" s="15" t="inlineStr">
        <is>
          <t xml:space="preserve">Bible Odyssey</t>
        </is>
      </c>
      <c r="F52" s="15" t="inlineStr">
        <is>
          <t xml:space="preserve">Kings of Israel and Judah</t>
        </is>
      </c>
      <c r="G52" s="15" t="inlineStr">
        <is>
          <t xml:space="preserve">https://www.bibleodyssey.org/timeline-gallery/kings-of-israel-and-judah/</t>
        </is>
      </c>
      <c r="H52" s="15" t="inlineStr">
        <is>
          <t xml:space="preserve">Timeline overview for royal succession and exilic transition.</t>
        </is>
      </c>
      <c r="I52" s="15"/>
      <c r="J52" s="15">
        <f>COUNTIF($G$5:$G$500,G52)</f>
        <v>1</v>
      </c>
      <c r="K52" s="15" t="str">
        <f>IF(G52="","REVIEW","OK")</f>
        <v>OK</v>
      </c>
    </row>
    <row r="53" ht="42" customHeight="1">
      <c r="A53" s="15" t="inlineStr">
        <is>
          <t xml:space="preserve">v0.4::S1</t>
        </is>
      </c>
      <c r="B53" s="15" t="inlineStr">
        <is>
          <t xml:space="preserve">v0.4</t>
        </is>
      </c>
      <c r="C53" s="15" t="inlineStr">
        <is>
          <t xml:space="preserve">Bible_Journey_Canon_Map_v0_4_Prophets_Exile.xlsx</t>
        </is>
      </c>
      <c r="D53" s="15" t="inlineStr">
        <is>
          <t xml:space="preserve">S1</t>
        </is>
      </c>
      <c r="E53" s="15" t="inlineStr">
        <is>
          <t xml:space="preserve">Primary text</t>
        </is>
      </c>
      <c r="F53" s="15" t="inlineStr">
        <is>
          <t xml:space="preserve">Canonical text anchors</t>
        </is>
      </c>
      <c r="G53" s="15" t="inlineStr">
        <is>
          <t xml:space="preserve">https://www.biblegateway.com/</t>
        </is>
      </c>
      <c r="H53" s="15" t="inlineStr">
        <is>
          <t xml:space="preserve">Book superscriptions, dated narratives, and parallel accounts used only as primary textual anchors; not a claim that every unit has a recoverable historical date.</t>
        </is>
      </c>
      <c r="I53" s="15" t="inlineStr">
        <is>
          <t xml:space="preserve">Used for explicit internal anchors such as Isa 1:1, Hos 1:1, Amos 1:1, Mic 1:1, Zeph 1:1, Jer 1:2-3, and dated Jeremiah narratives.</t>
        </is>
      </c>
      <c r="J53" s="15">
        <f>COUNTIF($G$5:$G$500,G53)</f>
        <v>1</v>
      </c>
      <c r="K53" s="15" t="str">
        <f>IF(G53="","REVIEW","OK")</f>
        <v>OK</v>
      </c>
    </row>
    <row r="54" ht="42" customHeight="1">
      <c r="A54" s="15" t="inlineStr">
        <is>
          <t xml:space="preserve">v0.4::S2</t>
        </is>
      </c>
      <c r="B54" s="15" t="inlineStr">
        <is>
          <t xml:space="preserve">v0.4</t>
        </is>
      </c>
      <c r="C54" s="15" t="inlineStr">
        <is>
          <t xml:space="preserve">Bible_Journey_Canon_Map_v0_4_Prophets_Exile.xlsx</t>
        </is>
      </c>
      <c r="D54" s="15" t="inlineStr">
        <is>
          <t xml:space="preserve">S2</t>
        </is>
      </c>
      <c r="E54" s="15" t="inlineStr">
        <is>
          <t xml:space="preserve">Bible Odyssey / HarperCollins Bible Dictionary</t>
        </is>
      </c>
      <c r="F54" s="15" t="inlineStr">
        <is>
          <t xml:space="preserve">Isaiah, The Book of</t>
        </is>
      </c>
      <c r="G54" s="15" t="inlineStr">
        <is>
          <t xml:space="preserve">https://www.bibleodyssey.org/dictionary/isaiah-the-book-of/</t>
        </is>
      </c>
      <c r="H54" s="15" t="inlineStr">
        <is>
          <t xml:space="preserve">Overview of the common scholarly division of Isaiah 1-39, 40-55, and 56-66, including their broad historical horizons.</t>
        </is>
      </c>
      <c r="I54" s="15" t="inlineStr">
        <is>
          <t xml:space="preserve">Supports the workbook's separate placement treatment for First, Second, and Third Isaiah.</t>
        </is>
      </c>
      <c r="J54" s="15">
        <f>COUNTIF($G$5:$G$500,G54)</f>
        <v>1</v>
      </c>
      <c r="K54" s="15" t="str">
        <f>IF(G54="","REVIEW","OK")</f>
        <v>OK</v>
      </c>
    </row>
    <row r="55" ht="42" customHeight="1">
      <c r="A55" s="15" t="inlineStr">
        <is>
          <t xml:space="preserve">v0.4::S3</t>
        </is>
      </c>
      <c r="B55" s="15" t="inlineStr">
        <is>
          <t xml:space="preserve">v0.4</t>
        </is>
      </c>
      <c r="C55" s="15" t="inlineStr">
        <is>
          <t xml:space="preserve">Bible_Journey_Canon_Map_v0_4_Prophets_Exile.xlsx</t>
        </is>
      </c>
      <c r="D55" s="15" t="inlineStr">
        <is>
          <t xml:space="preserve">S3</t>
        </is>
      </c>
      <c r="E55" s="15" t="inlineStr">
        <is>
          <t xml:space="preserve">Bible Odyssey</t>
        </is>
      </c>
      <c r="F55" s="15" t="inlineStr">
        <is>
          <t xml:space="preserve">Isaiah</t>
        </is>
      </c>
      <c r="G55" s="15" t="inlineStr">
        <is>
          <t xml:space="preserve">https://www.bibleodyssey.org/articles/isaiah/</t>
        </is>
      </c>
      <c r="H55" s="15" t="inlineStr">
        <is>
          <t xml:space="preserve">Historical overview of Isaiah son of Amoz in the Assyrian period, including the Syro-Ephraimite crisis and Sennacherib's 701 BCE campaign.</t>
        </is>
      </c>
      <c r="I55" s="15" t="inlineStr">
        <is>
          <t xml:space="preserve">Supports the eighth-century placement of Isaiah 1-39 and narrative links to Ahaz and Hezekiah.</t>
        </is>
      </c>
      <c r="J55" s="15">
        <f>COUNTIF($G$5:$G$500,G55)</f>
        <v>2</v>
      </c>
      <c r="K55" s="15" t="str">
        <f>IF(G55="","REVIEW","OK")</f>
        <v>OK</v>
      </c>
    </row>
    <row r="56" ht="42" customHeight="1">
      <c r="A56" s="15" t="inlineStr">
        <is>
          <t xml:space="preserve">v0.4::S4</t>
        </is>
      </c>
      <c r="B56" s="15" t="inlineStr">
        <is>
          <t xml:space="preserve">v0.4</t>
        </is>
      </c>
      <c r="C56" s="15" t="inlineStr">
        <is>
          <t xml:space="preserve">Bible_Journey_Canon_Map_v0_4_Prophets_Exile.xlsx</t>
        </is>
      </c>
      <c r="D56" s="15" t="inlineStr">
        <is>
          <t xml:space="preserve">S4</t>
        </is>
      </c>
      <c r="E56" s="15" t="inlineStr">
        <is>
          <t xml:space="preserve">Bible Odyssey</t>
        </is>
      </c>
      <c r="F56" s="15" t="inlineStr">
        <is>
          <t xml:space="preserve">How Many Isaiahs Were There?</t>
        </is>
      </c>
      <c r="G56" s="15" t="inlineStr">
        <is>
          <t xml:space="preserve">https://www.bibleodyssey.org/articles/how-many-isaiahs-were-there/</t>
        </is>
      </c>
      <c r="H56" s="15" t="inlineStr">
        <is>
          <t xml:space="preserve">Explains that multiple contributors and editorial stages are part of scholarly discussion of the book of Isaiah.</t>
        </is>
      </c>
      <c r="I56" s="15" t="inlineStr">
        <is>
          <t xml:space="preserve">Supports non-dogmatic labeling of Isaiah 40-66.</t>
        </is>
      </c>
      <c r="J56" s="15">
        <f>COUNTIF($G$5:$G$500,G56)</f>
        <v>1</v>
      </c>
      <c r="K56" s="15" t="str">
        <f>IF(G56="","REVIEW","OK")</f>
        <v>OK</v>
      </c>
    </row>
    <row r="57" ht="42" customHeight="1">
      <c r="A57" s="15" t="inlineStr">
        <is>
          <t xml:space="preserve">v0.4::S5</t>
        </is>
      </c>
      <c r="B57" s="15" t="inlineStr">
        <is>
          <t xml:space="preserve">v0.4</t>
        </is>
      </c>
      <c r="C57" s="15" t="inlineStr">
        <is>
          <t xml:space="preserve">Bible_Journey_Canon_Map_v0_4_Prophets_Exile.xlsx</t>
        </is>
      </c>
      <c r="D57" s="15" t="inlineStr">
        <is>
          <t xml:space="preserve">S5</t>
        </is>
      </c>
      <c r="E57" s="15" t="inlineStr">
        <is>
          <t xml:space="preserve">Bible Odyssey</t>
        </is>
      </c>
      <c r="F57" s="15" t="inlineStr">
        <is>
          <t xml:space="preserve">Jeremiah and Loss</t>
        </is>
      </c>
      <c r="G57" s="15" t="inlineStr">
        <is>
          <t xml:space="preserve">https://www.bibleodyssey.org/articles/jeremiah-and-loss/</t>
        </is>
      </c>
      <c r="H57" s="15" t="inlineStr">
        <is>
          <t xml:space="preserve">Overview of Jeremiah's long ministry from 627 BCE through Judah's defeat and exile in 586 BCE.</t>
        </is>
      </c>
      <c r="I57" s="15" t="inlineStr">
        <is>
          <t xml:space="preserve">Supports the broad temporal frame for Jeremiah and Lamentations.</t>
        </is>
      </c>
      <c r="J57" s="15">
        <f>COUNTIF($G$5:$G$500,G57)</f>
        <v>1</v>
      </c>
      <c r="K57" s="15" t="str">
        <f>IF(G57="","REVIEW","OK")</f>
        <v>OK</v>
      </c>
    </row>
    <row r="58" ht="42" customHeight="1">
      <c r="A58" s="15" t="inlineStr">
        <is>
          <t xml:space="preserve">v0.4::S6</t>
        </is>
      </c>
      <c r="B58" s="15" t="inlineStr">
        <is>
          <t xml:space="preserve">v0.4</t>
        </is>
      </c>
      <c r="C58" s="15" t="inlineStr">
        <is>
          <t xml:space="preserve">Bible_Journey_Canon_Map_v0_4_Prophets_Exile.xlsx</t>
        </is>
      </c>
      <c r="D58" s="15" t="inlineStr">
        <is>
          <t xml:space="preserve">S6</t>
        </is>
      </c>
      <c r="E58" s="15" t="inlineStr">
        <is>
          <t xml:space="preserve">Bible Odyssey</t>
        </is>
      </c>
      <c r="F58" s="15" t="inlineStr">
        <is>
          <t xml:space="preserve">Who Wrote the Bible?</t>
        </is>
      </c>
      <c r="G58" s="15" t="inlineStr">
        <is>
          <t xml:space="preserve">https://www.bibleodyssey.org/articles/who-wrote-the-bible/</t>
        </is>
      </c>
      <c r="H58" s="15" t="inlineStr">
        <is>
          <t xml:space="preserve">Notes that Jeremiah includes explicit scribal traditions but also reflects more than a simple single-author model.</t>
        </is>
      </c>
      <c r="I58" s="15" t="inlineStr">
        <is>
          <t xml:space="preserve">Supports treating Jeremiah as an edited collection rather than a chapter-by-chapter diary.</t>
        </is>
      </c>
      <c r="J58" s="15">
        <f>COUNTIF($G$5:$G$500,G58)</f>
        <v>2</v>
      </c>
      <c r="K58" s="15" t="str">
        <f>IF(G58="","REVIEW","OK")</f>
        <v>OK</v>
      </c>
    </row>
    <row r="59" ht="42" customHeight="1">
      <c r="A59" s="15" t="inlineStr">
        <is>
          <t xml:space="preserve">v0.4::S7</t>
        </is>
      </c>
      <c r="B59" s="15" t="inlineStr">
        <is>
          <t xml:space="preserve">v0.4</t>
        </is>
      </c>
      <c r="C59" s="15" t="inlineStr">
        <is>
          <t xml:space="preserve">Bible_Journey_Canon_Map_v0_4_Prophets_Exile.xlsx</t>
        </is>
      </c>
      <c r="D59" s="15" t="inlineStr">
        <is>
          <t xml:space="preserve">S7</t>
        </is>
      </c>
      <c r="E59" s="15" t="inlineStr">
        <is>
          <t xml:space="preserve">Bible Odyssey</t>
        </is>
      </c>
      <c r="F59" s="15" t="inlineStr">
        <is>
          <t xml:space="preserve">How to Recognize a Biblical Prophet</t>
        </is>
      </c>
      <c r="G59" s="15" t="inlineStr">
        <is>
          <t xml:space="preserve">https://www.bibleodyssey.org/articles/how-to-recognize-a-biblical-prophet/</t>
        </is>
      </c>
      <c r="H59" s="15" t="inlineStr">
        <is>
          <t xml:space="preserve">Explains that prophetic collections often lack enough historical setting to date every oracle precisely.</t>
        </is>
      </c>
      <c r="I59" s="15" t="inlineStr">
        <is>
          <t xml:space="preserve">Supports the workbook's confidence labels and unresolved-placement policy.</t>
        </is>
      </c>
      <c r="J59" s="15">
        <f>COUNTIF($G$5:$G$500,G59)</f>
        <v>1</v>
      </c>
      <c r="K59" s="15" t="str">
        <f>IF(G59="","REVIEW","OK")</f>
        <v>OK</v>
      </c>
    </row>
    <row r="60" ht="42" customHeight="1">
      <c r="A60" s="15" t="inlineStr">
        <is>
          <t xml:space="preserve">v0.4::S8</t>
        </is>
      </c>
      <c r="B60" s="15" t="inlineStr">
        <is>
          <t xml:space="preserve">v0.4</t>
        </is>
      </c>
      <c r="C60" s="15" t="inlineStr">
        <is>
          <t xml:space="preserve">Bible_Journey_Canon_Map_v0_4_Prophets_Exile.xlsx</t>
        </is>
      </c>
      <c r="D60" s="15" t="inlineStr">
        <is>
          <t xml:space="preserve">S8</t>
        </is>
      </c>
      <c r="E60" s="15" t="inlineStr">
        <is>
          <t xml:space="preserve">Bible Odyssey / HarperCollins Bible Dictionary</t>
        </is>
      </c>
      <c r="F60" s="15" t="inlineStr">
        <is>
          <t xml:space="preserve">Jeroboam II</t>
        </is>
      </c>
      <c r="G60" s="15" t="inlineStr">
        <is>
          <t xml:space="preserve">https://www.bibleodyssey.org/dictionary/jeroboam-ii/</t>
        </is>
      </c>
      <c r="H60" s="15" t="inlineStr">
        <is>
          <t xml:space="preserve">Places Jeroboam II in the eighth century BCE and connects the prosperity of his reign with Amos's critique.</t>
        </is>
      </c>
      <c r="I60" s="15" t="inlineStr">
        <is>
          <t xml:space="preserve">Supports the Israelite prosperity anchor for Amos, Jonah's narrative setting, and early Hosea.</t>
        </is>
      </c>
      <c r="J60" s="15">
        <f>COUNTIF($G$5:$G$500,G60)</f>
        <v>1</v>
      </c>
      <c r="K60" s="15" t="str">
        <f>IF(G60="","REVIEW","OK")</f>
        <v>OK</v>
      </c>
    </row>
    <row r="61" ht="42" customHeight="1">
      <c r="A61" s="15" t="inlineStr">
        <is>
          <t xml:space="preserve">v0.4::S9</t>
        </is>
      </c>
      <c r="B61" s="15" t="inlineStr">
        <is>
          <t xml:space="preserve">v0.4</t>
        </is>
      </c>
      <c r="C61" s="15" t="inlineStr">
        <is>
          <t xml:space="preserve">Bible_Journey_Canon_Map_v0_4_Prophets_Exile.xlsx</t>
        </is>
      </c>
      <c r="D61" s="15" t="inlineStr">
        <is>
          <t xml:space="preserve">S9</t>
        </is>
      </c>
      <c r="E61" s="15" t="inlineStr">
        <is>
          <t xml:space="preserve">Bible Odyssey</t>
        </is>
      </c>
      <c r="F61" s="15" t="inlineStr">
        <is>
          <t xml:space="preserve">Let Justice Roll Down Like Waters</t>
        </is>
      </c>
      <c r="G61" s="15" t="inlineStr">
        <is>
          <t xml:space="preserve">https://www.bibleodyssey.org/articles/let-justice-roll-down-like-waters/</t>
        </is>
      </c>
      <c r="H61" s="15" t="inlineStr">
        <is>
          <t xml:space="preserve">Describes Amos as an eighth-century prophet from Judah who preached judgment to prosperous northern Israel.</t>
        </is>
      </c>
      <c r="I61" s="15" t="inlineStr">
        <is>
          <t xml:space="preserve">Supports eighth-century placement for Amos.</t>
        </is>
      </c>
      <c r="J61" s="15">
        <f>COUNTIF($G$5:$G$500,G61)</f>
        <v>1</v>
      </c>
      <c r="K61" s="15" t="str">
        <f>IF(G61="","REVIEW","OK")</f>
        <v>OK</v>
      </c>
    </row>
    <row r="62" ht="42" customHeight="1">
      <c r="A62" s="15" t="inlineStr">
        <is>
          <t xml:space="preserve">v0.4::S10</t>
        </is>
      </c>
      <c r="B62" s="15" t="inlineStr">
        <is>
          <t xml:space="preserve">v0.4</t>
        </is>
      </c>
      <c r="C62" s="15" t="inlineStr">
        <is>
          <t xml:space="preserve">Bible_Journey_Canon_Map_v0_4_Prophets_Exile.xlsx</t>
        </is>
      </c>
      <c r="D62" s="15" t="inlineStr">
        <is>
          <t xml:space="preserve">S10</t>
        </is>
      </c>
      <c r="E62" s="15" t="inlineStr">
        <is>
          <t xml:space="preserve">Bible Odyssey</t>
        </is>
      </c>
      <c r="F62" s="15" t="inlineStr">
        <is>
          <t xml:space="preserve">Second Temple Judaism</t>
        </is>
      </c>
      <c r="G62" s="15" t="inlineStr">
        <is>
          <t xml:space="preserve">https://www.bibleodyssey.org/timeline-gallery/second-temple-judaism/</t>
        </is>
      </c>
      <c r="H62" s="15" t="inlineStr">
        <is>
          <t xml:space="preserve">Places Isaiah 40-55 near the end of the Babylonian exile in common scholarly discussions.</t>
        </is>
      </c>
      <c r="I62" s="15" t="inlineStr">
        <is>
          <t xml:space="preserve">Supports the exilic bridge for Isaiah 40-55.</t>
        </is>
      </c>
      <c r="J62" s="15">
        <f>COUNTIF($G$5:$G$500,G62)</f>
        <v>2</v>
      </c>
      <c r="K62" s="15" t="str">
        <f>IF(G62="","REVIEW","OK")</f>
        <v>OK</v>
      </c>
    </row>
    <row r="63" ht="42" customHeight="1">
      <c r="A63" s="15" t="inlineStr">
        <is>
          <t xml:space="preserve">v0.4::S11</t>
        </is>
      </c>
      <c r="B63" s="15" t="inlineStr">
        <is>
          <t xml:space="preserve">v0.4</t>
        </is>
      </c>
      <c r="C63" s="15" t="inlineStr">
        <is>
          <t xml:space="preserve">Bible_Journey_Canon_Map_v0_4_Prophets_Exile.xlsx</t>
        </is>
      </c>
      <c r="D63" s="15" t="inlineStr">
        <is>
          <t xml:space="preserve">S11</t>
        </is>
      </c>
      <c r="E63" s="15" t="inlineStr">
        <is>
          <t xml:space="preserve">Bible Odyssey</t>
        </is>
      </c>
      <c r="F63" s="15" t="inlineStr">
        <is>
          <t xml:space="preserve">Ahaz</t>
        </is>
      </c>
      <c r="G63" s="15" t="inlineStr">
        <is>
          <t xml:space="preserve">https://www.bibleodyssey.org/articles/ahaz/</t>
        </is>
      </c>
      <c r="H63" s="15" t="inlineStr">
        <is>
          <t xml:space="preserve">Reviews Ahaz's reign and links 2 Kings 16, 2 Chronicles 28, and Isaiah 7 in the Syro-Ephraimite crisis.</t>
        </is>
      </c>
      <c r="I63" s="15" t="inlineStr">
        <is>
          <t xml:space="preserve">Supports the Ahaz integration point for Isaiah 7-12.</t>
        </is>
      </c>
      <c r="J63" s="15">
        <f>COUNTIF($G$5:$G$500,G63)</f>
        <v>2</v>
      </c>
      <c r="K63" s="15" t="str">
        <f>IF(G63="","REVIEW","OK")</f>
        <v>OK</v>
      </c>
    </row>
    <row r="64" ht="42" customHeight="1">
      <c r="A64" s="15" t="inlineStr">
        <is>
          <t xml:space="preserve">v0.4::S12</t>
        </is>
      </c>
      <c r="B64" s="15" t="inlineStr">
        <is>
          <t xml:space="preserve">v0.4</t>
        </is>
      </c>
      <c r="C64" s="15" t="inlineStr">
        <is>
          <t xml:space="preserve">Bible_Journey_Canon_Map_v0_4_Prophets_Exile.xlsx</t>
        </is>
      </c>
      <c r="D64" s="15" t="inlineStr">
        <is>
          <t xml:space="preserve">S12</t>
        </is>
      </c>
      <c r="E64" s="15" t="inlineStr">
        <is>
          <t xml:space="preserve">Bible Odyssey</t>
        </is>
      </c>
      <c r="F64" s="15" t="inlineStr">
        <is>
          <t xml:space="preserve">What Was a Prophet?</t>
        </is>
      </c>
      <c r="G64" s="15" t="inlineStr">
        <is>
          <t xml:space="preserve">https://www.bibleodyssey.org/articles/what-was-a-prophet/</t>
        </is>
      </c>
      <c r="H64" s="15" t="inlineStr">
        <is>
          <t xml:space="preserve">Notes prophetic activity and themes of exile and restoration, including Cyrus in Isaiah 45.</t>
        </is>
      </c>
      <c r="I64" s="15" t="inlineStr">
        <is>
          <t xml:space="preserve">Supports the exilic-to-return bridge and the need to distinguish historical setting from later editorial form.</t>
        </is>
      </c>
      <c r="J64" s="15">
        <f>COUNTIF($G$5:$G$500,G64)</f>
        <v>1</v>
      </c>
      <c r="K64" s="15" t="str">
        <f>IF(G64="","REVIEW","OK")</f>
        <v>OK</v>
      </c>
    </row>
    <row r="65" ht="42" customHeight="1">
      <c r="A65" s="15" t="inlineStr">
        <is>
          <t xml:space="preserve">v0.6::SRC-06-01</t>
        </is>
      </c>
      <c r="B65" s="15" t="inlineStr">
        <is>
          <t xml:space="preserve">v0.6</t>
        </is>
      </c>
      <c r="C65" s="15" t="inlineStr">
        <is>
          <t xml:space="preserve">Bible_Journey_Canon_Map_v0_6_Esther_Intertestamental_Bridge.xlsx</t>
        </is>
      </c>
      <c r="D65" s="15" t="inlineStr">
        <is>
          <t xml:space="preserve">SRC-06-01</t>
        </is>
      </c>
      <c r="E65" s="15" t="inlineStr">
        <is>
          <t xml:space="preserve">Bible Odyssey / HarperCollins Bible Dictionary</t>
        </is>
      </c>
      <c r="F65" s="15" t="inlineStr">
        <is>
          <t xml:space="preserve">Persia</t>
        </is>
      </c>
      <c r="G65" s="15" t="inlineStr">
        <is>
          <t xml:space="preserve">https://www.bibleodyssey.org/dictionary/persia/</t>
        </is>
      </c>
      <c r="H65" s="15" t="inlineStr">
        <is>
          <t xml:space="preserve">Ahasuerus/Xerxes setting and Persian-period framing for Esther.</t>
        </is>
      </c>
      <c r="I65" s="15"/>
      <c r="J65" s="15">
        <f>COUNTIF($G$5:$G$500,G65)</f>
        <v>1</v>
      </c>
      <c r="K65" s="15" t="str">
        <f>IF(G65="","REVIEW","OK")</f>
        <v>OK</v>
      </c>
    </row>
    <row r="66" ht="42" customHeight="1">
      <c r="A66" s="15" t="inlineStr">
        <is>
          <t xml:space="preserve">v0.6::SRC-06-02</t>
        </is>
      </c>
      <c r="B66" s="15" t="inlineStr">
        <is>
          <t xml:space="preserve">v0.6</t>
        </is>
      </c>
      <c r="C66" s="15" t="inlineStr">
        <is>
          <t xml:space="preserve">Bible_Journey_Canon_Map_v0_6_Esther_Intertestamental_Bridge.xlsx</t>
        </is>
      </c>
      <c r="D66" s="15" t="inlineStr">
        <is>
          <t xml:space="preserve">SRC-06-02</t>
        </is>
      </c>
      <c r="E66" s="15" t="inlineStr">
        <is>
          <t xml:space="preserve">Bible Odyssey</t>
        </is>
      </c>
      <c r="F66" s="15" t="inlineStr">
        <is>
          <t xml:space="preserve">Esther</t>
        </is>
      </c>
      <c r="G66" s="15" t="inlineStr">
        <is>
          <t xml:space="preserve">https://www.bibleodyssey.org/articles/esther/</t>
        </is>
      </c>
      <c r="H66" s="15" t="inlineStr">
        <is>
          <t xml:space="preserve">Narrative overview and Susa court setting.</t>
        </is>
      </c>
      <c r="I66" s="15"/>
      <c r="J66" s="15">
        <f>COUNTIF($G$5:$G$500,G66)</f>
        <v>1</v>
      </c>
      <c r="K66" s="15" t="str">
        <f>IF(G66="","REVIEW","OK")</f>
        <v>OK</v>
      </c>
    </row>
    <row r="67" ht="42" customHeight="1">
      <c r="A67" s="15" t="inlineStr">
        <is>
          <t xml:space="preserve">v0.6::SRC-06-03</t>
        </is>
      </c>
      <c r="B67" s="15" t="inlineStr">
        <is>
          <t xml:space="preserve">v0.6</t>
        </is>
      </c>
      <c r="C67" s="15" t="inlineStr">
        <is>
          <t xml:space="preserve">Bible_Journey_Canon_Map_v0_6_Esther_Intertestamental_Bridge.xlsx</t>
        </is>
      </c>
      <c r="D67" s="15" t="inlineStr">
        <is>
          <t xml:space="preserve">SRC-06-03</t>
        </is>
      </c>
      <c r="E67" s="15" t="inlineStr">
        <is>
          <t xml:space="preserve">Bible Odyssey / Donald C. Polaski</t>
        </is>
      </c>
      <c r="F67" s="15" t="inlineStr">
        <is>
          <t xml:space="preserve">Fiction in a Time of Persecution</t>
        </is>
      </c>
      <c r="G67" s="15" t="inlineStr">
        <is>
          <t xml:space="preserve">https://www.bibleodyssey.org/articles/fiction-in-a-time-of-persecution/</t>
        </is>
      </c>
      <c r="H67" s="15" t="inlineStr">
        <is>
          <t xml:space="preserve">Cautions on authorship/historicity and literary aims of Esther.</t>
        </is>
      </c>
      <c r="I67" s="15"/>
      <c r="J67" s="15">
        <f>COUNTIF($G$5:$G$500,G67)</f>
        <v>1</v>
      </c>
      <c r="K67" s="15" t="str">
        <f>IF(G67="","REVIEW","OK")</f>
        <v>OK</v>
      </c>
    </row>
    <row r="68" ht="42" customHeight="1">
      <c r="A68" s="15" t="inlineStr">
        <is>
          <t xml:space="preserve">v0.6::SRC-06-04</t>
        </is>
      </c>
      <c r="B68" s="15" t="inlineStr">
        <is>
          <t xml:space="preserve">v0.6</t>
        </is>
      </c>
      <c r="C68" s="15" t="inlineStr">
        <is>
          <t xml:space="preserve">Bible_Journey_Canon_Map_v0_6_Esther_Intertestamental_Bridge.xlsx</t>
        </is>
      </c>
      <c r="D68" s="15" t="inlineStr">
        <is>
          <t xml:space="preserve">SRC-06-04</t>
        </is>
      </c>
      <c r="E68" s="15" t="inlineStr">
        <is>
          <t xml:space="preserve">Bible Odyssey</t>
        </is>
      </c>
      <c r="F68" s="15" t="inlineStr">
        <is>
          <t xml:space="preserve">Life under Empire</t>
        </is>
      </c>
      <c r="G68" s="15" t="inlineStr">
        <is>
          <t xml:space="preserve">https://www.bibleodyssey.org/articles/life-under-empire/</t>
        </is>
      </c>
      <c r="H68" s="15" t="inlineStr">
        <is>
          <t xml:space="preserve">Diaspora and empire context relevant to Esther.</t>
        </is>
      </c>
      <c r="I68" s="15"/>
      <c r="J68" s="15">
        <f>COUNTIF($G$5:$G$500,G68)</f>
        <v>1</v>
      </c>
      <c r="K68" s="15" t="str">
        <f>IF(G68="","REVIEW","OK")</f>
        <v>OK</v>
      </c>
    </row>
    <row r="69" ht="42" customHeight="1">
      <c r="A69" s="15" t="inlineStr">
        <is>
          <t xml:space="preserve">v0.6::SRC-06-05</t>
        </is>
      </c>
      <c r="B69" s="15" t="inlineStr">
        <is>
          <t xml:space="preserve">v0.6</t>
        </is>
      </c>
      <c r="C69" s="15" t="inlineStr">
        <is>
          <t xml:space="preserve">Bible_Journey_Canon_Map_v0_6_Esther_Intertestamental_Bridge.xlsx</t>
        </is>
      </c>
      <c r="D69" s="15" t="inlineStr">
        <is>
          <t xml:space="preserve">SRC-06-05</t>
        </is>
      </c>
      <c r="E69" s="15" t="inlineStr">
        <is>
          <t xml:space="preserve">Bible Odyssey</t>
        </is>
      </c>
      <c r="F69" s="15" t="inlineStr">
        <is>
          <t xml:space="preserve">Second Temple Judaism</t>
        </is>
      </c>
      <c r="G69" s="15" t="inlineStr">
        <is>
          <t xml:space="preserve">https://www.bibleodyssey.org/timeline-gallery/second-temple-judaism/</t>
        </is>
      </c>
      <c r="H69" s="15" t="inlineStr">
        <is>
          <t xml:space="preserve">High-level timeline for foreign rule and Second Temple period.</t>
        </is>
      </c>
      <c r="I69" s="15"/>
      <c r="J69" s="15">
        <f>COUNTIF($G$5:$G$500,G69)</f>
        <v>2</v>
      </c>
      <c r="K69" s="15" t="str">
        <f>IF(G69="","REVIEW","OK")</f>
        <v>OK</v>
      </c>
    </row>
    <row r="70" ht="42" customHeight="1">
      <c r="A70" s="15" t="inlineStr">
        <is>
          <t xml:space="preserve">v0.6::SRC-06-06</t>
        </is>
      </c>
      <c r="B70" s="15" t="inlineStr">
        <is>
          <t xml:space="preserve">v0.6</t>
        </is>
      </c>
      <c r="C70" s="15" t="inlineStr">
        <is>
          <t xml:space="preserve">Bible_Journey_Canon_Map_v0_6_Esther_Intertestamental_Bridge.xlsx</t>
        </is>
      </c>
      <c r="D70" s="15" t="inlineStr">
        <is>
          <t xml:space="preserve">SRC-06-06</t>
        </is>
      </c>
      <c r="E70" s="15" t="inlineStr">
        <is>
          <t xml:space="preserve">Bible Odyssey</t>
        </is>
      </c>
      <c r="F70" s="15" t="inlineStr">
        <is>
          <t xml:space="preserve">Alexander the Great</t>
        </is>
      </c>
      <c r="G70" s="15" t="inlineStr">
        <is>
          <t xml:space="preserve">https://www.bibleodyssey.org/articles/alexander-the-great/</t>
        </is>
      </c>
      <c r="H70" s="15" t="inlineStr">
        <is>
          <t xml:space="preserve">Hellenistic transition context.</t>
        </is>
      </c>
      <c r="I70" s="15"/>
      <c r="J70" s="15">
        <f>COUNTIF($G$5:$G$500,G70)</f>
        <v>1</v>
      </c>
      <c r="K70" s="15" t="str">
        <f>IF(G70="","REVIEW","OK")</f>
        <v>OK</v>
      </c>
    </row>
    <row r="71" ht="42" customHeight="1">
      <c r="A71" s="15" t="inlineStr">
        <is>
          <t xml:space="preserve">v0.6::SRC-06-07</t>
        </is>
      </c>
      <c r="B71" s="15" t="inlineStr">
        <is>
          <t xml:space="preserve">v0.6</t>
        </is>
      </c>
      <c r="C71" s="15" t="inlineStr">
        <is>
          <t xml:space="preserve">Bible_Journey_Canon_Map_v0_6_Esther_Intertestamental_Bridge.xlsx</t>
        </is>
      </c>
      <c r="D71" s="15" t="inlineStr">
        <is>
          <t xml:space="preserve">SRC-06-07</t>
        </is>
      </c>
      <c r="E71" s="15" t="inlineStr">
        <is>
          <t xml:space="preserve">Bible Odyssey / Chris Seeman</t>
        </is>
      </c>
      <c r="F71" s="15" t="inlineStr">
        <is>
          <t xml:space="preserve">Maccabees</t>
        </is>
      </c>
      <c r="G71" s="15" t="inlineStr">
        <is>
          <t xml:space="preserve">https://www.bibleodyssey.org/articles/maccabees/</t>
        </is>
      </c>
      <c r="H71" s="15" t="inlineStr">
        <is>
          <t xml:space="preserve">Maccabean/Hasmonean history and impact.</t>
        </is>
      </c>
      <c r="I71" s="15"/>
      <c r="J71" s="15">
        <f>COUNTIF($G$5:$G$500,G71)</f>
        <v>1</v>
      </c>
      <c r="K71" s="15" t="str">
        <f>IF(G71="","REVIEW","OK")</f>
        <v>OK</v>
      </c>
    </row>
    <row r="72" ht="42" customHeight="1">
      <c r="A72" s="15" t="inlineStr">
        <is>
          <t xml:space="preserve">v0.6::SRC-06-08</t>
        </is>
      </c>
      <c r="B72" s="15" t="inlineStr">
        <is>
          <t xml:space="preserve">v0.6</t>
        </is>
      </c>
      <c r="C72" s="15" t="inlineStr">
        <is>
          <t xml:space="preserve">Bible_Journey_Canon_Map_v0_6_Esther_Intertestamental_Bridge.xlsx</t>
        </is>
      </c>
      <c r="D72" s="15" t="inlineStr">
        <is>
          <t xml:space="preserve">SRC-06-08</t>
        </is>
      </c>
      <c r="E72" s="15" t="inlineStr">
        <is>
          <t xml:space="preserve">Bible Odyssey</t>
        </is>
      </c>
      <c r="F72" s="15" t="inlineStr">
        <is>
          <t xml:space="preserve">Herod the Great</t>
        </is>
      </c>
      <c r="G72" s="15" t="inlineStr">
        <is>
          <t xml:space="preserve">https://www.bibleodyssey.org/articles/herod-the-great/</t>
        </is>
      </c>
      <c r="H72" s="15" t="inlineStr">
        <is>
          <t xml:space="preserve">Herod's rule and temple-building context.</t>
        </is>
      </c>
      <c r="I72" s="15"/>
      <c r="J72" s="15">
        <f>COUNTIF($G$5:$G$500,G72)</f>
        <v>1</v>
      </c>
      <c r="K72" s="15" t="str">
        <f>IF(G72="","REVIEW","OK")</f>
        <v>OK</v>
      </c>
    </row>
    <row r="73" ht="42" customHeight="1">
      <c r="A73" s="15" t="inlineStr">
        <is>
          <t xml:space="preserve">v0.6::SRC-06-09</t>
        </is>
      </c>
      <c r="B73" s="15" t="inlineStr">
        <is>
          <t xml:space="preserve">v0.6</t>
        </is>
      </c>
      <c r="C73" s="15" t="inlineStr">
        <is>
          <t xml:space="preserve">Bible_Journey_Canon_Map_v0_6_Esther_Intertestamental_Bridge.xlsx</t>
        </is>
      </c>
      <c r="D73" s="15" t="inlineStr">
        <is>
          <t xml:space="preserve">SRC-06-09</t>
        </is>
      </c>
      <c r="E73" s="15" t="inlineStr">
        <is>
          <t xml:space="preserve">Bible Odyssey / HarperCollins Bible Dictionary</t>
        </is>
      </c>
      <c r="F73" s="15" t="inlineStr">
        <is>
          <t xml:space="preserve">Herod</t>
        </is>
      </c>
      <c r="G73" s="15" t="inlineStr">
        <is>
          <t xml:space="preserve">https://www.bibleodyssey.org/dictionary/herod/</t>
        </is>
      </c>
      <c r="H73" s="15" t="inlineStr">
        <is>
          <t xml:space="preserve">Dates for Herod's rule, 37-4 BCE.</t>
        </is>
      </c>
      <c r="I73" s="15"/>
      <c r="J73" s="15">
        <f>COUNTIF($G$5:$G$500,G73)</f>
        <v>1</v>
      </c>
      <c r="K73" s="15" t="str">
        <f>IF(G73="","REVIEW","OK")</f>
        <v>OK</v>
      </c>
    </row>
    <row r="74" ht="42" customHeight="1">
      <c r="A74" s="15" t="inlineStr">
        <is>
          <t xml:space="preserve">v0.6::SRC-06-10</t>
        </is>
      </c>
      <c r="B74" s="15" t="inlineStr">
        <is>
          <t xml:space="preserve">v0.6</t>
        </is>
      </c>
      <c r="C74" s="15" t="inlineStr">
        <is>
          <t xml:space="preserve">Bible_Journey_Canon_Map_v0_6_Esther_Intertestamental_Bridge.xlsx</t>
        </is>
      </c>
      <c r="D74" s="15" t="inlineStr">
        <is>
          <t xml:space="preserve">SRC-06-10</t>
        </is>
      </c>
      <c r="E74" s="15" t="inlineStr">
        <is>
          <t xml:space="preserve">Metropolitan Museum of Art</t>
        </is>
      </c>
      <c r="F74" s="15" t="inlineStr">
        <is>
          <t xml:space="preserve">Royal City of Susa: Ancient Near Eastern Treasures in the Louvre</t>
        </is>
      </c>
      <c r="G74" s="15" t="inlineStr">
        <is>
          <t xml:space="preserve">https://www.metmuseum.org/met-publications/royal-city-of-susa-ancient-near-eastern-treasures-in-the-louvre</t>
        </is>
      </c>
      <c r="H74" s="15" t="inlineStr">
        <is>
          <t xml:space="preserve">Susa / Shushan background.</t>
        </is>
      </c>
      <c r="I74" s="15"/>
      <c r="J74" s="15">
        <f>COUNTIF($G$5:$G$500,G74)</f>
        <v>1</v>
      </c>
      <c r="K74" s="15" t="str">
        <f>IF(G74="","REVIEW","OK")</f>
        <v>OK</v>
      </c>
    </row>
    <row r="75" ht="42" customHeight="1">
      <c r="A75" s="15" t="inlineStr">
        <is>
          <t xml:space="preserve">v0.6::SRC-06-11</t>
        </is>
      </c>
      <c r="B75" s="15" t="inlineStr">
        <is>
          <t xml:space="preserve">v0.6</t>
        </is>
      </c>
      <c r="C75" s="15" t="inlineStr">
        <is>
          <t xml:space="preserve">Bible_Journey_Canon_Map_v0_6_Esther_Intertestamental_Bridge.xlsx</t>
        </is>
      </c>
      <c r="D75" s="15" t="inlineStr">
        <is>
          <t xml:space="preserve">SRC-06-11</t>
        </is>
      </c>
      <c r="E75" s="15" t="inlineStr">
        <is>
          <t xml:space="preserve">Bible Odyssey</t>
        </is>
      </c>
      <c r="F75" s="15" t="inlineStr">
        <is>
          <t xml:space="preserve">The Second Temple</t>
        </is>
      </c>
      <c r="G75" s="15" t="inlineStr">
        <is>
          <t xml:space="preserve">https://www.bibleodyssey.org/articles/the-second-temple/</t>
        </is>
      </c>
      <c r="H75" s="15" t="inlineStr">
        <is>
          <t xml:space="preserve">Second Temple social and institutional context.</t>
        </is>
      </c>
      <c r="I75" s="15"/>
      <c r="J75" s="15">
        <f>COUNTIF($G$5:$G$500,G75)</f>
        <v>1</v>
      </c>
      <c r="K75" s="15" t="str">
        <f>IF(G75="","REVIEW","OK")</f>
        <v>OK</v>
      </c>
    </row>
    <row r="76" ht="42" customHeight="1">
      <c r="A76" s="15" t="inlineStr">
        <is>
          <t xml:space="preserve">v0.6::SRC-06-12</t>
        </is>
      </c>
      <c r="B76" s="15" t="inlineStr">
        <is>
          <t xml:space="preserve">v0.6</t>
        </is>
      </c>
      <c r="C76" s="15" t="inlineStr">
        <is>
          <t xml:space="preserve">Bible_Journey_Canon_Map_v0_6_Esther_Intertestamental_Bridge.xlsx</t>
        </is>
      </c>
      <c r="D76" s="15" t="inlineStr">
        <is>
          <t xml:space="preserve">SRC-06-12</t>
        </is>
      </c>
      <c r="E76" s="15" t="inlineStr">
        <is>
          <t xml:space="preserve">Bible Odyssey</t>
        </is>
      </c>
      <c r="F76" s="15" t="inlineStr">
        <is>
          <t xml:space="preserve">The Commemoration of War in Early Jewish Festivals</t>
        </is>
      </c>
      <c r="G76" s="15" t="inlineStr">
        <is>
          <t xml:space="preserve">https://www.bibleodyssey.org/articles/the-commemoration-of-war-in-early-jewish-festivals/</t>
        </is>
      </c>
      <c r="H76" s="15" t="inlineStr">
        <is>
          <t xml:space="preserve">Hanukkah / rededication context.</t>
        </is>
      </c>
      <c r="I76" s="15"/>
      <c r="J76" s="15">
        <f>COUNTIF($G$5:$G$500,G76)</f>
        <v>1</v>
      </c>
      <c r="K76" s="15" t="str">
        <f>IF(G76="","REVIEW","OK")</f>
        <v>OK</v>
      </c>
    </row>
    <row r="77" ht="42" customHeight="1">
      <c r="A77" s="15" t="inlineStr">
        <is>
          <t xml:space="preserve">v0.6::SRC-06-13</t>
        </is>
      </c>
      <c r="B77" s="15" t="inlineStr">
        <is>
          <t xml:space="preserve">v0.6</t>
        </is>
      </c>
      <c r="C77" s="15" t="inlineStr">
        <is>
          <t xml:space="preserve">Bible_Journey_Canon_Map_v0_6_Esther_Intertestamental_Bridge.xlsx</t>
        </is>
      </c>
      <c r="D77" s="15" t="inlineStr">
        <is>
          <t xml:space="preserve">SRC-06-13</t>
        </is>
      </c>
      <c r="E77" s="15" t="inlineStr">
        <is>
          <t xml:space="preserve">Bible Odyssey</t>
        </is>
      </c>
      <c r="F77" s="15" t="inlineStr">
        <is>
          <t xml:space="preserve">How Was the Bible Formed?</t>
        </is>
      </c>
      <c r="G77" s="15" t="inlineStr">
        <is>
          <t xml:space="preserve">https://www.bibleodyssey.org/articles/how-was-the-bible-formed/</t>
        </is>
      </c>
      <c r="H77" s="15" t="inlineStr">
        <is>
          <t xml:space="preserve">Persian/Hellenistic composition and editing context.</t>
        </is>
      </c>
      <c r="I77" s="15"/>
      <c r="J77" s="15">
        <f>COUNTIF($G$5:$G$500,G77)</f>
        <v>1</v>
      </c>
      <c r="K77" s="15" t="str">
        <f>IF(G77="","REVIEW","OK")</f>
        <v>OK</v>
      </c>
    </row>
    <row r="78" ht="42" customHeight="1">
      <c r="A78" s="15" t="inlineStr">
        <is>
          <t xml:space="preserve">v0.6::SRC-06-14</t>
        </is>
      </c>
      <c r="B78" s="15" t="inlineStr">
        <is>
          <t xml:space="preserve">v0.6</t>
        </is>
      </c>
      <c r="C78" s="15" t="inlineStr">
        <is>
          <t xml:space="preserve">Bible_Journey_Canon_Map_v0_6_Esther_Intertestamental_Bridge.xlsx</t>
        </is>
      </c>
      <c r="D78" s="15" t="inlineStr">
        <is>
          <t xml:space="preserve">SRC-06-14</t>
        </is>
      </c>
      <c r="E78" s="15" t="inlineStr">
        <is>
          <t xml:space="preserve">Bible Odyssey</t>
        </is>
      </c>
      <c r="F78" s="15" t="inlineStr">
        <is>
          <t xml:space="preserve">Folklore in the Book of Esther</t>
        </is>
      </c>
      <c r="G78" s="15" t="inlineStr">
        <is>
          <t xml:space="preserve">https://www.bibleodyssey.org/articles/folklore-in-the-book-of-esther/</t>
        </is>
      </c>
      <c r="H78" s="15" t="inlineStr">
        <is>
          <t xml:space="preserve">Purim context.</t>
        </is>
      </c>
      <c r="I78" s="15"/>
      <c r="J78" s="15">
        <f>COUNTIF($G$5:$G$500,G78)</f>
        <v>1</v>
      </c>
      <c r="K78" s="15" t="str">
        <f>IF(G78="","REVIEW","OK")</f>
        <v>OK</v>
      </c>
    </row>
    <row r="79" ht="42" customHeight="1">
      <c r="A79" s="15" t="inlineStr">
        <is>
          <t xml:space="preserve">v0.6::SRC-06-15</t>
        </is>
      </c>
      <c r="B79" s="15" t="inlineStr">
        <is>
          <t xml:space="preserve">v0.6</t>
        </is>
      </c>
      <c r="C79" s="15" t="inlineStr">
        <is>
          <t xml:space="preserve">Bible_Journey_Canon_Map_v0_6_Esther_Intertestamental_Bridge.xlsx</t>
        </is>
      </c>
      <c r="D79" s="15" t="inlineStr">
        <is>
          <t xml:space="preserve">SRC-06-15</t>
        </is>
      </c>
      <c r="E79" s="15" t="inlineStr">
        <is>
          <t xml:space="preserve">Bible Odyssey / HarperCollins Bible Dictionary</t>
        </is>
      </c>
      <c r="F79" s="15" t="inlineStr">
        <is>
          <t xml:space="preserve">Esther, The Book of</t>
        </is>
      </c>
      <c r="G79" s="15" t="inlineStr">
        <is>
          <t xml:space="preserve">https://www.bibleodyssey.org/dictionary/esther-the-book-of/</t>
        </is>
      </c>
      <c r="H79" s="15" t="inlineStr">
        <is>
          <t xml:space="preserve">Structure of Esther and Purim framing.</t>
        </is>
      </c>
      <c r="I79" s="15"/>
      <c r="J79" s="15">
        <f>COUNTIF($G$5:$G$500,G79)</f>
        <v>1</v>
      </c>
      <c r="K79" s="15" t="str">
        <f>IF(G79="","REVIEW","OK")</f>
        <v>OK</v>
      </c>
    </row>
    <row r="80" ht="42" customHeight="1">
      <c r="A80" s="15" t="inlineStr">
        <is>
          <t xml:space="preserve">v0.6::SRC-06-16</t>
        </is>
      </c>
      <c r="B80" s="15" t="inlineStr">
        <is>
          <t xml:space="preserve">v0.6</t>
        </is>
      </c>
      <c r="C80" s="15" t="inlineStr">
        <is>
          <t xml:space="preserve">Bible_Journey_Canon_Map_v0_6_Esther_Intertestamental_Bridge.xlsx</t>
        </is>
      </c>
      <c r="D80" s="15" t="inlineStr">
        <is>
          <t xml:space="preserve">SRC-06-16</t>
        </is>
      </c>
      <c r="E80" s="15" t="inlineStr">
        <is>
          <t xml:space="preserve">Bible Odyssey</t>
        </is>
      </c>
      <c r="F80" s="15" t="inlineStr">
        <is>
          <t xml:space="preserve">The Destruction and Reconstruction of the Temple</t>
        </is>
      </c>
      <c r="G80" s="15" t="inlineStr">
        <is>
          <t xml:space="preserve">https://www.bibleodyssey.org/articles/the-destruction-and-reconstruction-of-the-temple/</t>
        </is>
      </c>
      <c r="H80" s="15" t="inlineStr">
        <is>
          <t xml:space="preserve">Second Temple rebuilding background and later continuity.</t>
        </is>
      </c>
      <c r="I80" s="15"/>
      <c r="J80" s="15">
        <f>COUNTIF($G$5:$G$500,G80)</f>
        <v>1</v>
      </c>
      <c r="K80" s="15" t="str">
        <f>IF(G80="","REVIEW","OK")</f>
        <v>OK</v>
      </c>
    </row>
    <row r="81" ht="42" customHeight="1">
      <c r="A81" s="15" t="inlineStr">
        <is>
          <t xml:space="preserve">v0.6::SRC-06-17</t>
        </is>
      </c>
      <c r="B81" s="15" t="inlineStr">
        <is>
          <t xml:space="preserve">v0.6</t>
        </is>
      </c>
      <c r="C81" s="15" t="inlineStr">
        <is>
          <t xml:space="preserve">Bible_Journey_Canon_Map_v0_6_Esther_Intertestamental_Bridge.xlsx</t>
        </is>
      </c>
      <c r="D81" s="15" t="inlineStr">
        <is>
          <t xml:space="preserve">SRC-06-17</t>
        </is>
      </c>
      <c r="E81" s="15" t="inlineStr">
        <is>
          <t xml:space="preserve">Bible Odyssey</t>
        </is>
      </c>
      <c r="F81" s="15" t="inlineStr">
        <is>
          <t xml:space="preserve">The Emergence of Judaism</t>
        </is>
      </c>
      <c r="G81" s="15" t="inlineStr">
        <is>
          <t xml:space="preserve">https://www.bibleodyssey.org/articles/the-emergence-of-judaism/</t>
        </is>
      </c>
      <c r="H81" s="15" t="inlineStr">
        <is>
          <t xml:space="preserve">Broad Persian/Hellenistic formation of Jewish identity context.</t>
        </is>
      </c>
      <c r="I81" s="15"/>
      <c r="J81" s="15">
        <f>COUNTIF($G$5:$G$500,G81)</f>
        <v>1</v>
      </c>
      <c r="K81" s="15" t="str">
        <f>IF(G81="","REVIEW","OK")</f>
        <v>OK</v>
      </c>
    </row>
    <row r="82" ht="42" customHeight="1">
      <c r="A82" s="15" t="inlineStr">
        <is>
          <t xml:space="preserve">v0.6::SRC-06-18</t>
        </is>
      </c>
      <c r="B82" s="15" t="inlineStr">
        <is>
          <t xml:space="preserve">v0.6</t>
        </is>
      </c>
      <c r="C82" s="15" t="inlineStr">
        <is>
          <t xml:space="preserve">Bible_Journey_Canon_Map_v0_6_Esther_Intertestamental_Bridge.xlsx</t>
        </is>
      </c>
      <c r="D82" s="15" t="inlineStr">
        <is>
          <t xml:space="preserve">SRC-06-18</t>
        </is>
      </c>
      <c r="E82" s="15" t="inlineStr">
        <is>
          <t xml:space="preserve">Bible Odyssey</t>
        </is>
      </c>
      <c r="F82" s="15" t="inlineStr">
        <is>
          <t xml:space="preserve">The Torah/The Pentateuch</t>
        </is>
      </c>
      <c r="G82" s="15" t="inlineStr">
        <is>
          <t xml:space="preserve">https://www.bibleodyssey.org/articles/the-torah-the-pentateuch/</t>
        </is>
      </c>
      <c r="H82" s="15" t="inlineStr">
        <is>
          <t xml:space="preserve">Persian / early Hellenistic textual and institutional context.</t>
        </is>
      </c>
      <c r="I82" s="15"/>
      <c r="J82" s="15">
        <f>COUNTIF($G$5:$G$500,G82)</f>
        <v>2</v>
      </c>
      <c r="K82" s="15" t="str">
        <f>IF(G82="","REVIEW","OK")</f>
        <v>OK</v>
      </c>
    </row>
    <row r="83" ht="42" customHeight="1">
      <c r="A83" s="15" t="inlineStr">
        <is>
          <t xml:space="preserve">v0.6::SRC-06-19</t>
        </is>
      </c>
      <c r="B83" s="15" t="inlineStr">
        <is>
          <t xml:space="preserve">v0.6</t>
        </is>
      </c>
      <c r="C83" s="15" t="inlineStr">
        <is>
          <t xml:space="preserve">Bible_Journey_Canon_Map_v0_6_Esther_Intertestamental_Bridge.xlsx</t>
        </is>
      </c>
      <c r="D83" s="15" t="inlineStr">
        <is>
          <t xml:space="preserve">SRC-06-19</t>
        </is>
      </c>
      <c r="E83" s="15" t="inlineStr">
        <is>
          <t xml:space="preserve">Bible Odyssey / HarperCollins Bible Dictionary</t>
        </is>
      </c>
      <c r="F83" s="15" t="inlineStr">
        <is>
          <t xml:space="preserve">Maccabees, The Second Book of the</t>
        </is>
      </c>
      <c r="G83" s="15" t="inlineStr">
        <is>
          <t xml:space="preserve">https://www.bibleodyssey.org/dictionary/maccabees-the-second-book-of-the/</t>
        </is>
      </c>
      <c r="H83" s="15" t="inlineStr">
        <is>
          <t xml:space="preserve">Canon-profile distinction and second Maccabean account.</t>
        </is>
      </c>
      <c r="I83" s="15"/>
      <c r="J83" s="15">
        <f>COUNTIF($G$5:$G$500,G83)</f>
        <v>1</v>
      </c>
      <c r="K83" s="15" t="str">
        <f>IF(G83="","REVIEW","OK")</f>
        <v>OK</v>
      </c>
    </row>
    <row r="84" ht="42" customHeight="1">
      <c r="A84" s="15" t="inlineStr">
        <is>
          <t xml:space="preserve">v0.7::SRC-07-01</t>
        </is>
      </c>
      <c r="B84" s="15" t="inlineStr">
        <is>
          <t xml:space="preserve">v0.7</t>
        </is>
      </c>
      <c r="C84" s="15" t="inlineStr">
        <is>
          <t xml:space="preserve">Bible_Journey_Canon_Map_v0_7_Gospel_Chronology.xlsx</t>
        </is>
      </c>
      <c r="D84" s="15" t="inlineStr">
        <is>
          <t xml:space="preserve">SRC-07-01</t>
        </is>
      </c>
      <c r="E84" s="15" t="inlineStr">
        <is>
          <t xml:space="preserve">Bible Odyssey</t>
        </is>
      </c>
      <c r="F84" s="15" t="inlineStr">
        <is>
          <t xml:space="preserve">Did the Authors of the Canonical Gospels Know Each Other?</t>
        </is>
      </c>
      <c r="G84" s="15" t="inlineStr">
        <is>
          <t xml:space="preserve">https://www.bibleodyssey.org/articles/did-the-authors-of-the-canonical-gospels-know-each-other/</t>
        </is>
      </c>
      <c r="H84" s="15" t="inlineStr">
        <is>
          <t xml:space="preserve">Synoptic relationship, Mark chronology as a shared outline, source-critical cautions.</t>
        </is>
      </c>
      <c r="I84" s="15"/>
      <c r="J84" s="15">
        <f>COUNTIF($G$5:$G$500,G84)</f>
        <v>1</v>
      </c>
      <c r="K84" s="15" t="str">
        <f>IF(G84="","REVIEW","OK")</f>
        <v>OK</v>
      </c>
    </row>
    <row r="85" ht="42" customHeight="1">
      <c r="A85" s="15" t="inlineStr">
        <is>
          <t xml:space="preserve">v0.7::SRC-07-02</t>
        </is>
      </c>
      <c r="B85" s="15" t="inlineStr">
        <is>
          <t xml:space="preserve">v0.7</t>
        </is>
      </c>
      <c r="C85" s="15" t="inlineStr">
        <is>
          <t xml:space="preserve">Bible_Journey_Canon_Map_v0_7_Gospel_Chronology.xlsx</t>
        </is>
      </c>
      <c r="D85" s="15" t="inlineStr">
        <is>
          <t xml:space="preserve">SRC-07-02</t>
        </is>
      </c>
      <c r="E85" s="15" t="inlineStr">
        <is>
          <t xml:space="preserve">Bible Odyssey</t>
        </is>
      </c>
      <c r="F85" s="15" t="inlineStr">
        <is>
          <t xml:space="preserve">The Synoptic Problem</t>
        </is>
      </c>
      <c r="G85" s="15" t="inlineStr">
        <is>
          <t xml:space="preserve">https://www.bibleodyssey.org/video-gallery/the-synoptic-problem/</t>
        </is>
      </c>
      <c r="H85" s="15" t="inlineStr">
        <is>
          <t xml:space="preserve">Why Matthew, Mark, and Luke need account-aware comparison; John's distinctiveness.</t>
        </is>
      </c>
      <c r="I85" s="15"/>
      <c r="J85" s="15">
        <f>COUNTIF($G$5:$G$500,G85)</f>
        <v>1</v>
      </c>
      <c r="K85" s="15" t="str">
        <f>IF(G85="","REVIEW","OK")</f>
        <v>OK</v>
      </c>
    </row>
    <row r="86" ht="42" customHeight="1">
      <c r="A86" s="15" t="inlineStr">
        <is>
          <t xml:space="preserve">v0.7::SRC-07-03</t>
        </is>
      </c>
      <c r="B86" s="15" t="inlineStr">
        <is>
          <t xml:space="preserve">v0.7</t>
        </is>
      </c>
      <c r="C86" s="15" t="inlineStr">
        <is>
          <t xml:space="preserve">Bible_Journey_Canon_Map_v0_7_Gospel_Chronology.xlsx</t>
        </is>
      </c>
      <c r="D86" s="15" t="inlineStr">
        <is>
          <t xml:space="preserve">SRC-07-03</t>
        </is>
      </c>
      <c r="E86" s="15" t="inlineStr">
        <is>
          <t xml:space="preserve">Bible Odyssey</t>
        </is>
      </c>
      <c r="F86" s="15" t="inlineStr">
        <is>
          <t xml:space="preserve">Jesus</t>
        </is>
      </c>
      <c r="G86" s="15" t="inlineStr">
        <is>
          <t xml:space="preserve">https://www.bibleodyssey.org/articles/jesus/</t>
        </is>
      </c>
      <c r="H86" s="15" t="inlineStr">
        <is>
          <t xml:space="preserve">High-level canonical-Gospel overlap and distinctive emphases.</t>
        </is>
      </c>
      <c r="I86" s="15"/>
      <c r="J86" s="15">
        <f>COUNTIF($G$5:$G$500,G86)</f>
        <v>1</v>
      </c>
      <c r="K86" s="15" t="str">
        <f>IF(G86="","REVIEW","OK")</f>
        <v>OK</v>
      </c>
    </row>
    <row r="87" ht="42" customHeight="1">
      <c r="A87" s="15" t="inlineStr">
        <is>
          <t xml:space="preserve">v0.7::SRC-07-04</t>
        </is>
      </c>
      <c r="B87" s="15" t="inlineStr">
        <is>
          <t xml:space="preserve">v0.7</t>
        </is>
      </c>
      <c r="C87" s="15" t="inlineStr">
        <is>
          <t xml:space="preserve">Bible_Journey_Canon_Map_v0_7_Gospel_Chronology.xlsx</t>
        </is>
      </c>
      <c r="D87" s="15" t="inlineStr">
        <is>
          <t xml:space="preserve">SRC-07-04</t>
        </is>
      </c>
      <c r="E87" s="15" t="inlineStr">
        <is>
          <t xml:space="preserve">Bible Odyssey</t>
        </is>
      </c>
      <c r="F87" s="15" t="inlineStr">
        <is>
          <t xml:space="preserve">The Nativity</t>
        </is>
      </c>
      <c r="G87" s="15" t="inlineStr">
        <is>
          <t xml:space="preserve">https://www.bibleodyssey.org/articles/the-nativity/</t>
        </is>
      </c>
      <c r="H87" s="15" t="inlineStr">
        <is>
          <t xml:space="preserve">Infancy narratives and cautions about reconstructing dates.</t>
        </is>
      </c>
      <c r="I87" s="15"/>
      <c r="J87" s="15">
        <f>COUNTIF($G$5:$G$500,G87)</f>
        <v>1</v>
      </c>
      <c r="K87" s="15" t="str">
        <f>IF(G87="","REVIEW","OK")</f>
        <v>OK</v>
      </c>
    </row>
    <row r="88" ht="42" customHeight="1">
      <c r="A88" s="15" t="inlineStr">
        <is>
          <t xml:space="preserve">v0.7::SRC-07-05</t>
        </is>
      </c>
      <c r="B88" s="15" t="inlineStr">
        <is>
          <t xml:space="preserve">v0.7</t>
        </is>
      </c>
      <c r="C88" s="15" t="inlineStr">
        <is>
          <t xml:space="preserve">Bible_Journey_Canon_Map_v0_7_Gospel_Chronology.xlsx</t>
        </is>
      </c>
      <c r="D88" s="15" t="inlineStr">
        <is>
          <t xml:space="preserve">SRC-07-05</t>
        </is>
      </c>
      <c r="E88" s="15" t="inlineStr">
        <is>
          <t xml:space="preserve">Bible Odyssey</t>
        </is>
      </c>
      <c r="F88" s="15" t="inlineStr">
        <is>
          <t xml:space="preserve">Last Supper</t>
        </is>
      </c>
      <c r="G88" s="15" t="inlineStr">
        <is>
          <t xml:space="preserve">https://www.bibleodyssey.org/articles/last-supper/</t>
        </is>
      </c>
      <c r="H88" s="15" t="inlineStr">
        <is>
          <t xml:space="preserve">Synoptic Last Supper framing and Passover context; passion sequence research.</t>
        </is>
      </c>
      <c r="I88" s="15"/>
      <c r="J88" s="15">
        <f>COUNTIF($G$5:$G$500,G88)</f>
        <v>1</v>
      </c>
      <c r="K88" s="15" t="str">
        <f>IF(G88="","REVIEW","OK")</f>
        <v>OK</v>
      </c>
    </row>
    <row r="89" ht="42" customHeight="1">
      <c r="A89" s="15" t="inlineStr">
        <is>
          <t xml:space="preserve">v0.7::SRC-07-06</t>
        </is>
      </c>
      <c r="B89" s="15" t="inlineStr">
        <is>
          <t xml:space="preserve">v0.7</t>
        </is>
      </c>
      <c r="C89" s="15" t="inlineStr">
        <is>
          <t xml:space="preserve">Bible_Journey_Canon_Map_v0_7_Gospel_Chronology.xlsx</t>
        </is>
      </c>
      <c r="D89" s="15" t="inlineStr">
        <is>
          <t xml:space="preserve">SRC-07-06</t>
        </is>
      </c>
      <c r="E89" s="15" t="inlineStr">
        <is>
          <t xml:space="preserve">Bible Odyssey</t>
        </is>
      </c>
      <c r="F89" s="15" t="inlineStr">
        <is>
          <t xml:space="preserve">The Transfiguration of Jesus</t>
        </is>
      </c>
      <c r="G89" s="15" t="inlineStr">
        <is>
          <t xml:space="preserve">https://www.bibleodyssey.org/articles/the-transfiguration-of-jesus/</t>
        </is>
      </c>
      <c r="H89" s="15" t="inlineStr">
        <is>
          <t xml:space="preserve">Transfiguration's Synoptic presentation and narrative importance.</t>
        </is>
      </c>
      <c r="I89" s="15"/>
      <c r="J89" s="15">
        <f>COUNTIF($G$5:$G$500,G89)</f>
        <v>1</v>
      </c>
      <c r="K89" s="15" t="str">
        <f>IF(G89="","REVIEW","OK")</f>
        <v>OK</v>
      </c>
    </row>
    <row r="90" ht="42" customHeight="1">
      <c r="A90" s="15" t="inlineStr">
        <is>
          <t xml:space="preserve">v0.7::SRC-07-07</t>
        </is>
      </c>
      <c r="B90" s="15" t="inlineStr">
        <is>
          <t xml:space="preserve">v0.7</t>
        </is>
      </c>
      <c r="C90" s="15" t="inlineStr">
        <is>
          <t xml:space="preserve">Bible_Journey_Canon_Map_v0_7_Gospel_Chronology.xlsx</t>
        </is>
      </c>
      <c r="D90" s="15" t="inlineStr">
        <is>
          <t xml:space="preserve">SRC-07-07</t>
        </is>
      </c>
      <c r="E90" s="15" t="inlineStr">
        <is>
          <t xml:space="preserve">Bible Odyssey</t>
        </is>
      </c>
      <c r="F90" s="15" t="inlineStr">
        <is>
          <t xml:space="preserve">The Woman Caught in Adultery</t>
        </is>
      </c>
      <c r="G90" s="15" t="inlineStr">
        <is>
          <t xml:space="preserve">https://www.bibleodyssey.org/articles/the-woman-caught-in-adultery/</t>
        </is>
      </c>
      <c r="H90" s="15" t="inlineStr">
        <is>
          <t xml:space="preserve">Textual-history note for John 7:53-8:11; analogous handling for text-critical note surfaces.</t>
        </is>
      </c>
      <c r="I90" s="15"/>
      <c r="J90" s="15">
        <f>COUNTIF($G$5:$G$500,G90)</f>
        <v>1</v>
      </c>
      <c r="K90" s="15" t="str">
        <f>IF(G90="","REVIEW","OK")</f>
        <v>OK</v>
      </c>
    </row>
    <row r="91" ht="42" customHeight="1">
      <c r="A91" s="15" t="inlineStr">
        <is>
          <t xml:space="preserve">v0.7::SRC-07-08</t>
        </is>
      </c>
      <c r="B91" s="15" t="inlineStr">
        <is>
          <t xml:space="preserve">v0.7</t>
        </is>
      </c>
      <c r="C91" s="15" t="inlineStr">
        <is>
          <t xml:space="preserve">Bible_Journey_Canon_Map_v0_7_Gospel_Chronology.xlsx</t>
        </is>
      </c>
      <c r="D91" s="15" t="inlineStr">
        <is>
          <t xml:space="preserve">SRC-07-08</t>
        </is>
      </c>
      <c r="E91" s="15" t="inlineStr">
        <is>
          <t xml:space="preserve">Bible Odyssey</t>
        </is>
      </c>
      <c r="F91" s="15" t="inlineStr">
        <is>
          <t xml:space="preserve">Caiaphas</t>
        </is>
      </c>
      <c r="G91" s="15" t="inlineStr">
        <is>
          <t xml:space="preserve">https://www.bibleodyssey.org/articles/caiaphas/</t>
        </is>
      </c>
      <c r="H91" s="15" t="inlineStr">
        <is>
          <t xml:space="preserve">Passion narrative historical setting / hearing context.</t>
        </is>
      </c>
      <c r="I91" s="15"/>
      <c r="J91" s="15">
        <f>COUNTIF($G$5:$G$500,G91)</f>
        <v>1</v>
      </c>
      <c r="K91" s="15" t="str">
        <f>IF(G91="","REVIEW","OK")</f>
        <v>OK</v>
      </c>
    </row>
    <row r="92" ht="42" customHeight="1">
      <c r="A92" s="15" t="inlineStr">
        <is>
          <t xml:space="preserve">v0.7::SRC-07-09</t>
        </is>
      </c>
      <c r="B92" s="15" t="inlineStr">
        <is>
          <t xml:space="preserve">v0.7</t>
        </is>
      </c>
      <c r="C92" s="15" t="inlineStr">
        <is>
          <t xml:space="preserve">Bible_Journey_Canon_Map_v0_7_Gospel_Chronology.xlsx</t>
        </is>
      </c>
      <c r="D92" s="15" t="inlineStr">
        <is>
          <t xml:space="preserve">SRC-07-09</t>
        </is>
      </c>
      <c r="E92" s="15" t="inlineStr">
        <is>
          <t xml:space="preserve">Bible Odyssey</t>
        </is>
      </c>
      <c r="F92" s="15" t="inlineStr">
        <is>
          <t xml:space="preserve">The Kiss of Judas</t>
        </is>
      </c>
      <c r="G92" s="15" t="inlineStr">
        <is>
          <t xml:space="preserve">https://www.bibleodyssey.org/articles/the-kiss-of-judas/</t>
        </is>
      </c>
      <c r="H92" s="15" t="inlineStr">
        <is>
          <t xml:space="preserve">Passion account sequence and Judas context.</t>
        </is>
      </c>
      <c r="I92" s="15"/>
      <c r="J92" s="15">
        <f>COUNTIF($G$5:$G$500,G92)</f>
        <v>1</v>
      </c>
      <c r="K92" s="15" t="str">
        <f>IF(G92="","REVIEW","OK")</f>
        <v>OK</v>
      </c>
    </row>
    <row r="93" ht="42" customHeight="1">
      <c r="A93" s="15" t="inlineStr">
        <is>
          <t xml:space="preserve">v0.7::SRC-07-10</t>
        </is>
      </c>
      <c r="B93" s="15" t="inlineStr">
        <is>
          <t xml:space="preserve">v0.7</t>
        </is>
      </c>
      <c r="C93" s="15" t="inlineStr">
        <is>
          <t xml:space="preserve">Bible_Journey_Canon_Map_v0_7_Gospel_Chronology.xlsx</t>
        </is>
      </c>
      <c r="D93" s="15" t="inlineStr">
        <is>
          <t xml:space="preserve">SRC-07-10</t>
        </is>
      </c>
      <c r="E93" s="15" t="inlineStr">
        <is>
          <t xml:space="preserve">United States Conference of Catholic Bishops</t>
        </is>
      </c>
      <c r="F93" s="15" t="inlineStr">
        <is>
          <t xml:space="preserve">John, Introduction</t>
        </is>
      </c>
      <c r="G93" s="15" t="inlineStr">
        <is>
          <t xml:space="preserve">https://bible.usccb.org/bible/john/0</t>
        </is>
      </c>
      <c r="H93" s="15" t="inlineStr">
        <is>
          <t xml:space="preserve">John's macro-structure and Gospel-specific narrative architecture.</t>
        </is>
      </c>
      <c r="I93" s="15"/>
      <c r="J93" s="15">
        <f>COUNTIF($G$5:$G$500,G93)</f>
        <v>1</v>
      </c>
      <c r="K93" s="15" t="str">
        <f>IF(G93="","REVIEW","OK")</f>
        <v>OK</v>
      </c>
    </row>
    <row r="94" ht="42" customHeight="1">
      <c r="A94" s="15" t="inlineStr">
        <is>
          <t xml:space="preserve">v0.7::SRC-07-11</t>
        </is>
      </c>
      <c r="B94" s="15" t="inlineStr">
        <is>
          <t xml:space="preserve">v0.7</t>
        </is>
      </c>
      <c r="C94" s="15" t="inlineStr">
        <is>
          <t xml:space="preserve">Bible_Journey_Canon_Map_v0_7_Gospel_Chronology.xlsx</t>
        </is>
      </c>
      <c r="D94" s="15" t="inlineStr">
        <is>
          <t xml:space="preserve">SRC-07-11</t>
        </is>
      </c>
      <c r="E94" s="15" t="inlineStr">
        <is>
          <t xml:space="preserve">Bible Odyssey</t>
        </is>
      </c>
      <c r="F94" s="15" t="inlineStr">
        <is>
          <t xml:space="preserve">Authorship</t>
        </is>
      </c>
      <c r="G94" s="15" t="inlineStr">
        <is>
          <t xml:space="preserve">https://www.bibleodyssey.org/articles/authorship/</t>
        </is>
      </c>
      <c r="H94" s="15" t="inlineStr">
        <is>
          <t xml:space="preserve">Caution on claims about traditional Gospel authorship.</t>
        </is>
      </c>
      <c r="I94" s="15"/>
      <c r="J94" s="15">
        <f>COUNTIF($G$5:$G$500,G94)</f>
        <v>1</v>
      </c>
      <c r="K94" s="15" t="str">
        <f>IF(G94="","REVIEW","OK")</f>
        <v>OK</v>
      </c>
    </row>
    <row r="95" ht="42" customHeight="1">
      <c r="A95" s="15" t="inlineStr">
        <is>
          <t xml:space="preserve">v0.7::SRC-07-12</t>
        </is>
      </c>
      <c r="B95" s="15" t="inlineStr">
        <is>
          <t xml:space="preserve">v0.7</t>
        </is>
      </c>
      <c r="C95" s="15" t="inlineStr">
        <is>
          <t xml:space="preserve">Bible_Journey_Canon_Map_v0_7_Gospel_Chronology.xlsx</t>
        </is>
      </c>
      <c r="D95" s="15" t="inlineStr">
        <is>
          <t xml:space="preserve">SRC-07-12</t>
        </is>
      </c>
      <c r="E95" s="15" t="inlineStr">
        <is>
          <t xml:space="preserve">BibleProject</t>
        </is>
      </c>
      <c r="F95" s="15" t="inlineStr">
        <is>
          <t xml:space="preserve">John 1-12</t>
        </is>
      </c>
      <c r="G95" s="15" t="inlineStr">
        <is>
          <t xml:space="preserve">https://bibleproject.com/videos/john-1-12/</t>
        </is>
      </c>
      <c r="H95" s="15" t="inlineStr">
        <is>
          <t xml:space="preserve">Optional story-design reference for product UX; not a primary source for historical claims.</t>
        </is>
      </c>
      <c r="I95" s="15"/>
      <c r="J95" s="15">
        <f>COUNTIF($G$5:$G$500,G95)</f>
        <v>1</v>
      </c>
      <c r="K95" s="15" t="str">
        <f>IF(G95="","REVIEW","OK")</f>
        <v>OK</v>
      </c>
    </row>
    <row r="96" ht="42" customHeight="1">
      <c r="A96" s="15" t="inlineStr">
        <is>
          <t xml:space="preserve">v0.7::SRC-07-13</t>
        </is>
      </c>
      <c r="B96" s="15" t="inlineStr">
        <is>
          <t xml:space="preserve">v0.7</t>
        </is>
      </c>
      <c r="C96" s="15" t="inlineStr">
        <is>
          <t xml:space="preserve">Bible_Journey_Canon_Map_v0_7_Gospel_Chronology.xlsx</t>
        </is>
      </c>
      <c r="D96" s="15" t="inlineStr">
        <is>
          <t xml:space="preserve">SRC-07-13</t>
        </is>
      </c>
      <c r="E96" s="15" t="inlineStr">
        <is>
          <t xml:space="preserve">Bible Odyssey</t>
        </is>
      </c>
      <c r="F96" s="15" t="inlineStr">
        <is>
          <t xml:space="preserve">Gospel</t>
        </is>
      </c>
      <c r="G96" s="15" t="inlineStr">
        <is>
          <t xml:space="preserve">https://www.bibleodyssey.org/dictionary/gospel-3/</t>
        </is>
      </c>
      <c r="H96" s="15" t="inlineStr">
        <is>
          <t xml:space="preserve">Canonical Gospel overview and genre definition.</t>
        </is>
      </c>
      <c r="I96" s="15"/>
      <c r="J96" s="15">
        <f>COUNTIF($G$5:$G$500,G96)</f>
        <v>1</v>
      </c>
      <c r="K96" s="15" t="str">
        <f>IF(G96="","REVIEW","OK")</f>
        <v>OK</v>
      </c>
    </row>
    <row r="97" ht="42" customHeight="1">
      <c r="A97" s="15" t="inlineStr">
        <is>
          <t xml:space="preserve">v0.8::S01</t>
        </is>
      </c>
      <c r="B97" s="15" t="inlineStr">
        <is>
          <t xml:space="preserve">v0.8</t>
        </is>
      </c>
      <c r="C97" s="15" t="inlineStr">
        <is>
          <t xml:space="preserve">Bible_Journey_Canon_Map_v0_8_Acts_Pauline_Letters.xlsx</t>
        </is>
      </c>
      <c r="D97" s="15" t="inlineStr">
        <is>
          <t xml:space="preserve">S01</t>
        </is>
      </c>
      <c r="E97" s="15"/>
      <c r="F97" s="15" t="inlineStr">
        <is>
          <t xml:space="preserve">Paul and Acts</t>
        </is>
      </c>
      <c r="G97" s="15" t="inlineStr">
        <is>
          <t xml:space="preserve">https://www.bibleodyssey.org/articles/paul-and-acts/</t>
        </is>
      </c>
      <c r="H97" s="15" t="inlineStr">
        <is>
          <t xml:space="preserve">Used for the methodological guardrail that Acts and Paul's letters have notable divergences and should not be flattened into one account.</t>
        </is>
      </c>
      <c r="I97" s="15"/>
      <c r="J97" s="15">
        <f>COUNTIF($G$5:$G$500,G97)</f>
        <v>1</v>
      </c>
      <c r="K97" s="15" t="str">
        <f>IF(G97="","REVIEW","OK")</f>
        <v>OK</v>
      </c>
    </row>
    <row r="98" ht="42" customHeight="1">
      <c r="A98" s="15" t="inlineStr">
        <is>
          <t xml:space="preserve">v0.8::S02</t>
        </is>
      </c>
      <c r="B98" s="15" t="inlineStr">
        <is>
          <t xml:space="preserve">v0.8</t>
        </is>
      </c>
      <c r="C98" s="15" t="inlineStr">
        <is>
          <t xml:space="preserve">Bible_Journey_Canon_Map_v0_8_Acts_Pauline_Letters.xlsx</t>
        </is>
      </c>
      <c r="D98" s="15" t="inlineStr">
        <is>
          <t xml:space="preserve">S02</t>
        </is>
      </c>
      <c r="E98" s="15"/>
      <c r="F98" s="15" t="inlineStr">
        <is>
          <t xml:space="preserve">The Importance of Thinking about Paul's Chronology</t>
        </is>
      </c>
      <c r="G98" s="15" t="inlineStr">
        <is>
          <t xml:space="preserve">https://www.bibleodyssey.org/video-gallery/the-importance-of-thinking-about-pauls-chronology/</t>
        </is>
      </c>
      <c r="H98" s="15" t="inlineStr">
        <is>
          <t xml:space="preserve">Used for the principle that Paul's letters are not arranged in chronological order and chronology needs explicit reasoning.</t>
        </is>
      </c>
      <c r="I98" s="15"/>
      <c r="J98" s="15">
        <f>COUNTIF($G$5:$G$500,G98)</f>
        <v>1</v>
      </c>
      <c r="K98" s="15" t="str">
        <f>IF(G98="","REVIEW","OK")</f>
        <v>OK</v>
      </c>
    </row>
    <row r="99" ht="42" customHeight="1">
      <c r="A99" s="15" t="inlineStr">
        <is>
          <t xml:space="preserve">v0.8::S03</t>
        </is>
      </c>
      <c r="B99" s="15" t="inlineStr">
        <is>
          <t xml:space="preserve">v0.8</t>
        </is>
      </c>
      <c r="C99" s="15" t="inlineStr">
        <is>
          <t xml:space="preserve">Bible_Journey_Canon_Map_v0_8_Acts_Pauline_Letters.xlsx</t>
        </is>
      </c>
      <c r="D99" s="15" t="inlineStr">
        <is>
          <t xml:space="preserve">S03</t>
        </is>
      </c>
      <c r="E99" s="15"/>
      <c r="F99" s="15" t="inlineStr">
        <is>
          <t xml:space="preserve">Galatians: Introduction</t>
        </is>
      </c>
      <c r="G99" s="15" t="inlineStr">
        <is>
          <t xml:space="preserve">https://www.cambridge.org/core/books/galatians/introduction/5BBCD56A241100DFE422FB4126749519</t>
        </is>
      </c>
      <c r="H99" s="15" t="inlineStr">
        <is>
          <t xml:space="preserve">Used for the Acts/Galatians relationship as a live scholarly issue; access may be limited.</t>
        </is>
      </c>
      <c r="I99" s="15"/>
      <c r="J99" s="15">
        <f>COUNTIF($G$5:$G$500,G99)</f>
        <v>1</v>
      </c>
      <c r="K99" s="15" t="str">
        <f>IF(G99="","REVIEW","OK")</f>
        <v>OK</v>
      </c>
    </row>
    <row r="100" ht="42" customHeight="1">
      <c r="A100" s="15" t="inlineStr">
        <is>
          <t xml:space="preserve">v0.8::S04</t>
        </is>
      </c>
      <c r="B100" s="15" t="inlineStr">
        <is>
          <t xml:space="preserve">v0.8</t>
        </is>
      </c>
      <c r="C100" s="15" t="inlineStr">
        <is>
          <t xml:space="preserve">Bible_Journey_Canon_Map_v0_8_Acts_Pauline_Letters.xlsx</t>
        </is>
      </c>
      <c r="D100" s="15" t="inlineStr">
        <is>
          <t xml:space="preserve">S04</t>
        </is>
      </c>
      <c r="E100" s="15"/>
      <c r="F100" s="15" t="inlineStr">
        <is>
          <t xml:space="preserve">Ephesus</t>
        </is>
      </c>
      <c r="G100" s="15" t="inlineStr">
        <is>
          <t xml:space="preserve">https://www.bibleodyssey.org/articles/ephesus/</t>
        </is>
      </c>
      <c r="H100" s="15" t="inlineStr">
        <is>
          <t xml:space="preserve">Used for Ephesus as a major base for Paul's activity and letter-writing context.</t>
        </is>
      </c>
      <c r="I100" s="15"/>
      <c r="J100" s="15">
        <f>COUNTIF($G$5:$G$500,G100)</f>
        <v>1</v>
      </c>
      <c r="K100" s="15" t="str">
        <f>IF(G100="","REVIEW","OK")</f>
        <v>OK</v>
      </c>
    </row>
    <row r="101" ht="42" customHeight="1">
      <c r="A101" s="15" t="inlineStr">
        <is>
          <t xml:space="preserve">v0.8::S05</t>
        </is>
      </c>
      <c r="B101" s="15" t="inlineStr">
        <is>
          <t xml:space="preserve">v0.8</t>
        </is>
      </c>
      <c r="C101" s="15" t="inlineStr">
        <is>
          <t xml:space="preserve">Bible_Journey_Canon_Map_v0_8_Acts_Pauline_Letters.xlsx</t>
        </is>
      </c>
      <c r="D101" s="15" t="inlineStr">
        <is>
          <t xml:space="preserve">S05</t>
        </is>
      </c>
      <c r="E101" s="15"/>
      <c r="F101" s="15" t="inlineStr">
        <is>
          <t xml:space="preserve">Corinth in Acts: Paul's Financial Support</t>
        </is>
      </c>
      <c r="G101" s="15" t="inlineStr">
        <is>
          <t xml:space="preserve">https://www.bibleodyssey.org/articles/corinth-in-acts-pauls-financial-support/</t>
        </is>
      </c>
      <c r="H101" s="15" t="inlineStr">
        <is>
          <t xml:space="preserve">Used for Corinth's significance in Acts and the extended stay reported in Acts 18.</t>
        </is>
      </c>
      <c r="I101" s="15"/>
      <c r="J101" s="15">
        <f>COUNTIF($G$5:$G$500,G101)</f>
        <v>1</v>
      </c>
      <c r="K101" s="15" t="str">
        <f>IF(G101="","REVIEW","OK")</f>
        <v>OK</v>
      </c>
    </row>
    <row r="102" ht="42" customHeight="1">
      <c r="A102" s="15" t="inlineStr">
        <is>
          <t xml:space="preserve">v0.8::S06</t>
        </is>
      </c>
      <c r="B102" s="15" t="inlineStr">
        <is>
          <t xml:space="preserve">v0.8</t>
        </is>
      </c>
      <c r="C102" s="15" t="inlineStr">
        <is>
          <t xml:space="preserve">Bible_Journey_Canon_Map_v0_8_Acts_Pauline_Letters.xlsx</t>
        </is>
      </c>
      <c r="D102" s="15" t="inlineStr">
        <is>
          <t xml:space="preserve">S06</t>
        </is>
      </c>
      <c r="E102" s="15"/>
      <c r="F102" s="15" t="inlineStr">
        <is>
          <t xml:space="preserve">Paul and Authorship</t>
        </is>
      </c>
      <c r="G102" s="15" t="inlineStr">
        <is>
          <t xml:space="preserve">https://www.bibleodyssey.org/articles/paul-and-authorship/</t>
        </is>
      </c>
      <c r="H102" s="15" t="inlineStr">
        <is>
          <t xml:space="preserve">Used for authorship debates within the Pauline corpus; the article identifies seven letters widely treated as undisputedly Pauline.</t>
        </is>
      </c>
      <c r="I102" s="15"/>
      <c r="J102" s="15">
        <f>COUNTIF($G$5:$G$500,G102)</f>
        <v>1</v>
      </c>
      <c r="K102" s="15" t="str">
        <f>IF(G102="","REVIEW","OK")</f>
        <v>OK</v>
      </c>
    </row>
    <row r="103" ht="42" customHeight="1">
      <c r="A103" s="15" t="inlineStr">
        <is>
          <t xml:space="preserve">v0.8::S07</t>
        </is>
      </c>
      <c r="B103" s="15" t="inlineStr">
        <is>
          <t xml:space="preserve">v0.8</t>
        </is>
      </c>
      <c r="C103" s="15" t="inlineStr">
        <is>
          <t xml:space="preserve">Bible_Journey_Canon_Map_v0_8_Acts_Pauline_Letters.xlsx</t>
        </is>
      </c>
      <c r="D103" s="15" t="inlineStr">
        <is>
          <t xml:space="preserve">S07</t>
        </is>
      </c>
      <c r="E103" s="15"/>
      <c r="F103" s="15" t="inlineStr">
        <is>
          <t xml:space="preserve">Reconstructing Paul's Life</t>
        </is>
      </c>
      <c r="G103" s="15" t="inlineStr">
        <is>
          <t xml:space="preserve">https://www.bibleodyssey.org/video-gallery/reconstructing-pauls-life/</t>
        </is>
      </c>
      <c r="H103" s="15" t="inlineStr">
        <is>
          <t xml:space="preserve">Used for the methodological statement that reconstructing Paul's chronology relies on Acts and the letters.</t>
        </is>
      </c>
      <c r="I103" s="15"/>
      <c r="J103" s="15">
        <f>COUNTIF($G$5:$G$500,G103)</f>
        <v>1</v>
      </c>
      <c r="K103" s="15" t="str">
        <f>IF(G103="","REVIEW","OK")</f>
        <v>OK</v>
      </c>
    </row>
    <row r="104" ht="42" customHeight="1">
      <c r="A104" s="15" t="inlineStr">
        <is>
          <t xml:space="preserve">v0.8::S08</t>
        </is>
      </c>
      <c r="B104" s="15" t="inlineStr">
        <is>
          <t xml:space="preserve">v0.8</t>
        </is>
      </c>
      <c r="C104" s="15" t="inlineStr">
        <is>
          <t xml:space="preserve">Bible_Journey_Canon_Map_v0_8_Acts_Pauline_Letters.xlsx</t>
        </is>
      </c>
      <c r="D104" s="15" t="inlineStr">
        <is>
          <t xml:space="preserve">S08</t>
        </is>
      </c>
      <c r="E104" s="15"/>
      <c r="F104" s="15" t="inlineStr">
        <is>
          <t xml:space="preserve">Antioch</t>
        </is>
      </c>
      <c r="G104" s="15" t="inlineStr">
        <is>
          <t xml:space="preserve">https://www.bibleodyssey.org/articles/antioch/</t>
        </is>
      </c>
      <c r="H104" s="15" t="inlineStr">
        <is>
          <t xml:space="preserve">Used for Antioch as a context in the Acts/Galatians reconstruction discussion.</t>
        </is>
      </c>
      <c r="I104" s="15"/>
      <c r="J104" s="15">
        <f>COUNTIF($G$5:$G$500,G104)</f>
        <v>1</v>
      </c>
      <c r="K104" s="15" t="str">
        <f>IF(G104="","REVIEW","OK")</f>
        <v>OK</v>
      </c>
    </row>
    <row r="105" ht="42" customHeight="1">
      <c r="A105" s="15" t="inlineStr">
        <is>
          <t xml:space="preserve">v0.8::S09</t>
        </is>
      </c>
      <c r="B105" s="15" t="inlineStr">
        <is>
          <t xml:space="preserve">v0.8</t>
        </is>
      </c>
      <c r="C105" s="15" t="inlineStr">
        <is>
          <t xml:space="preserve">Bible_Journey_Canon_Map_v0_8_Acts_Pauline_Letters.xlsx</t>
        </is>
      </c>
      <c r="D105" s="15" t="inlineStr">
        <is>
          <t xml:space="preserve">S09</t>
        </is>
      </c>
      <c r="E105" s="15"/>
      <c r="F105" s="15" t="inlineStr">
        <is>
          <t xml:space="preserve">Lycaonia</t>
        </is>
      </c>
      <c r="G105" s="15" t="inlineStr">
        <is>
          <t xml:space="preserve">https://www.bibleodyssey.org/dictionary/lycaonia/</t>
        </is>
      </c>
      <c r="H105" s="15" t="inlineStr">
        <is>
          <t xml:space="preserve">Used for the first/second mission geography relevant to Galatia models.</t>
        </is>
      </c>
      <c r="I105" s="15"/>
      <c r="J105" s="15">
        <f>COUNTIF($G$5:$G$500,G105)</f>
        <v>1</v>
      </c>
      <c r="K105" s="15" t="str">
        <f>IF(G105="","REVIEW","OK")</f>
        <v>OK</v>
      </c>
    </row>
    <row r="106" ht="42" customHeight="1">
      <c r="A106" s="15" t="inlineStr">
        <is>
          <t xml:space="preserve">v0.8::S28</t>
        </is>
      </c>
      <c r="B106" s="15" t="inlineStr">
        <is>
          <t xml:space="preserve">v0.8</t>
        </is>
      </c>
      <c r="C106" s="15" t="inlineStr">
        <is>
          <t xml:space="preserve">Bible_Journey_Canon_Map_v0_8_Acts_Pauline_Letters.xlsx</t>
        </is>
      </c>
      <c r="D106" s="15" t="inlineStr">
        <is>
          <t xml:space="preserve">S28</t>
        </is>
      </c>
      <c r="E106" s="15"/>
      <c r="F106" s="15" t="inlineStr">
        <is>
          <t xml:space="preserve">Sea Travel and Shipwrecks in the Ancient World</t>
        </is>
      </c>
      <c r="G106" s="15" t="inlineStr">
        <is>
          <t xml:space="preserve">https://www.bibleodyssey.org/articles/sea-travel-and-shipwrecks-in-the-ancient-world/</t>
        </is>
      </c>
      <c r="H106" s="15" t="inlineStr">
        <is>
          <t xml:space="preserve">Used for the ancient travel context around Acts 27 and the caution that Acts does not narrate every journey implied by letters.</t>
        </is>
      </c>
      <c r="I106" s="15"/>
      <c r="J106" s="15">
        <f>COUNTIF($G$5:$G$500,G106)</f>
        <v>1</v>
      </c>
      <c r="K106" s="15" t="str">
        <f>IF(G106="","REVIEW","OK")</f>
        <v>OK</v>
      </c>
    </row>
    <row r="107" ht="42" customHeight="1">
      <c r="A107" s="15" t="inlineStr">
        <is>
          <t xml:space="preserve">v0.8::S35</t>
        </is>
      </c>
      <c r="B107" s="15" t="inlineStr">
        <is>
          <t xml:space="preserve">v0.8</t>
        </is>
      </c>
      <c r="C107" s="15" t="inlineStr">
        <is>
          <t xml:space="preserve">Bible_Journey_Canon_Map_v0_8_Acts_Pauline_Letters.xlsx</t>
        </is>
      </c>
      <c r="D107" s="15" t="inlineStr">
        <is>
          <t xml:space="preserve">S35</t>
        </is>
      </c>
      <c r="E107" s="15"/>
      <c r="F107" s="15" t="inlineStr">
        <is>
          <t xml:space="preserve">Mark the Man</t>
        </is>
      </c>
      <c r="G107" s="15" t="inlineStr">
        <is>
          <t xml:space="preserve">https://www.bibleodyssey.org/dictionary/mark-the-man/</t>
        </is>
      </c>
      <c r="H107" s="15" t="inlineStr">
        <is>
          <t xml:space="preserve">Used for Acts 12–15 travel context and the Paul/Barnabas split.</t>
        </is>
      </c>
      <c r="I107" s="15"/>
      <c r="J107" s="15">
        <f>COUNTIF($G$5:$G$500,G107)</f>
        <v>1</v>
      </c>
      <c r="K107" s="15" t="str">
        <f>IF(G107="","REVIEW","OK")</f>
        <v>OK</v>
      </c>
    </row>
    <row r="108" ht="42" customHeight="1">
      <c r="A108" s="15" t="inlineStr">
        <is>
          <t xml:space="preserve">v0.9::S01</t>
        </is>
      </c>
      <c r="B108" s="15" t="inlineStr">
        <is>
          <t xml:space="preserve">v0.9</t>
        </is>
      </c>
      <c r="C108" s="15" t="inlineStr">
        <is>
          <t xml:space="preserve">Bible_Journey_Canon_Map_v0_9_General_Letters_Revelation.xlsx</t>
        </is>
      </c>
      <c r="D108" s="15" t="inlineStr">
        <is>
          <t xml:space="preserve">S01</t>
        </is>
      </c>
      <c r="E108" s="15"/>
      <c r="F108" s="15" t="inlineStr">
        <is>
          <t xml:space="preserve">Hebrews: Relation of Christianity to Judaism</t>
        </is>
      </c>
      <c r="G108" s="15" t="inlineStr">
        <is>
          <t xml:space="preserve">https://www.cambridge.org/highereducation/books/an-introduction-to-the-new-testament-and-the-origins-of-christianity/32A6751C4FE08D443DC4BDD934A3C343/relation-of-christianity-to-judaism-1-hebrews/DD5EEA2B9D734706CE91E91AA2109319</t>
        </is>
      </c>
      <c r="H108" s="15" t="inlineStr">
        <is>
          <t xml:space="preserve">Used for Hebrews as a distinct early-Christian text requiring separate historical and theological framing.</t>
        </is>
      </c>
      <c r="I108" s="15"/>
      <c r="J108" s="15">
        <f>COUNTIF($G$5:$G$500,G108)</f>
        <v>1</v>
      </c>
      <c r="K108" s="15" t="str">
        <f>IF(G108="","REVIEW","OK")</f>
        <v>OK</v>
      </c>
    </row>
    <row r="109" ht="42" customHeight="1">
      <c r="A109" s="15" t="inlineStr">
        <is>
          <t xml:space="preserve">v0.9::S02</t>
        </is>
      </c>
      <c r="B109" s="15" t="inlineStr">
        <is>
          <t xml:space="preserve">v0.9</t>
        </is>
      </c>
      <c r="C109" s="15" t="inlineStr">
        <is>
          <t xml:space="preserve">Bible_Journey_Canon_Map_v0_9_General_Letters_Revelation.xlsx</t>
        </is>
      </c>
      <c r="D109" s="15" t="inlineStr">
        <is>
          <t xml:space="preserve">S02</t>
        </is>
      </c>
      <c r="E109" s="15"/>
      <c r="F109" s="15" t="inlineStr">
        <is>
          <t xml:space="preserve">Jeremiah's New Covenant and the New Testament</t>
        </is>
      </c>
      <c r="G109" s="15" t="inlineStr">
        <is>
          <t xml:space="preserve">https://www.bibleodyssey.org/articles/jeremiahs-new-covenant-and-the-new-testament/</t>
        </is>
      </c>
      <c r="H109" s="15" t="inlineStr">
        <is>
          <t xml:space="preserve">Used for Hebrews' substantial engagement with Jeremiah 31 and the new-covenant argument.</t>
        </is>
      </c>
      <c r="I109" s="15"/>
      <c r="J109" s="15">
        <f>COUNTIF($G$5:$G$500,G109)</f>
        <v>1</v>
      </c>
      <c r="K109" s="15" t="str">
        <f>IF(G109="","REVIEW","OK")</f>
        <v>OK</v>
      </c>
    </row>
    <row r="110" ht="42" customHeight="1">
      <c r="A110" s="15" t="inlineStr">
        <is>
          <t xml:space="preserve">v0.9::S03</t>
        </is>
      </c>
      <c r="B110" s="15" t="inlineStr">
        <is>
          <t xml:space="preserve">v0.9</t>
        </is>
      </c>
      <c r="C110" s="15" t="inlineStr">
        <is>
          <t xml:space="preserve">Bible_Journey_Canon_Map_v0_9_General_Letters_Revelation.xlsx</t>
        </is>
      </c>
      <c r="D110" s="15" t="inlineStr">
        <is>
          <t xml:space="preserve">S03</t>
        </is>
      </c>
      <c r="E110" s="15"/>
      <c r="F110" s="15" t="inlineStr">
        <is>
          <t xml:space="preserve">Who Wrote the Letter of James?</t>
        </is>
      </c>
      <c r="G110" s="15" t="inlineStr">
        <is>
          <t xml:space="preserve">https://www.bibleodyssey.org/articles/who-wrote-the-letter-of-james/</t>
        </is>
      </c>
      <c r="H110" s="15" t="inlineStr">
        <is>
          <t xml:space="preserve">Used for James as a document of uncertain age with limited clues for exact date, location, and audience.</t>
        </is>
      </c>
      <c r="I110" s="15"/>
      <c r="J110" s="15">
        <f>COUNTIF($G$5:$G$500,G110)</f>
        <v>1</v>
      </c>
      <c r="K110" s="15" t="str">
        <f>IF(G110="","REVIEW","OK")</f>
        <v>OK</v>
      </c>
    </row>
    <row r="111" ht="42" customHeight="1">
      <c r="A111" s="15" t="inlineStr">
        <is>
          <t xml:space="preserve">v0.9::S04</t>
        </is>
      </c>
      <c r="B111" s="15" t="inlineStr">
        <is>
          <t xml:space="preserve">v0.9</t>
        </is>
      </c>
      <c r="C111" s="15" t="inlineStr">
        <is>
          <t xml:space="preserve">Bible_Journey_Canon_Map_v0_9_General_Letters_Revelation.xlsx</t>
        </is>
      </c>
      <c r="D111" s="15" t="inlineStr">
        <is>
          <t xml:space="preserve">S04</t>
        </is>
      </c>
      <c r="E111" s="15"/>
      <c r="F111" s="15" t="inlineStr">
        <is>
          <t xml:space="preserve">James</t>
        </is>
      </c>
      <c r="G111" s="15" t="inlineStr">
        <is>
          <t xml:space="preserve">https://www.bibleodyssey.org/articles/james/</t>
        </is>
      </c>
      <c r="H111" s="15" t="inlineStr">
        <is>
          <t xml:space="preserve">Used for James as a major early-Christian figure and its relation to early Jesus movement leadership.</t>
        </is>
      </c>
      <c r="I111" s="15"/>
      <c r="J111" s="15">
        <f>COUNTIF($G$5:$G$500,G111)</f>
        <v>1</v>
      </c>
      <c r="K111" s="15" t="str">
        <f>IF(G111="","REVIEW","OK")</f>
        <v>OK</v>
      </c>
    </row>
    <row r="112" ht="42" customHeight="1">
      <c r="A112" s="15" t="inlineStr">
        <is>
          <t xml:space="preserve">v0.9::S05</t>
        </is>
      </c>
      <c r="B112" s="15" t="inlineStr">
        <is>
          <t xml:space="preserve">v0.9</t>
        </is>
      </c>
      <c r="C112" s="15" t="inlineStr">
        <is>
          <t xml:space="preserve">Bible_Journey_Canon_Map_v0_9_General_Letters_Revelation.xlsx</t>
        </is>
      </c>
      <c r="D112" s="15" t="inlineStr">
        <is>
          <t xml:space="preserve">S05</t>
        </is>
      </c>
      <c r="E112" s="15"/>
      <c r="F112" s="15" t="inlineStr">
        <is>
          <t xml:space="preserve">Introduction: 1 Peter</t>
        </is>
      </c>
      <c r="G112" s="15" t="inlineStr">
        <is>
          <t xml:space="preserve">https://www.cambridge.org/core/books/1-peter/introduction/FCEB67AD0421D1F20CBFB27D0B1351D3</t>
        </is>
      </c>
      <c r="H112" s="15" t="inlineStr">
        <is>
          <t xml:space="preserve">Used for the range of historical questions tied to 1 Peter: genre, destination, authorship, and setting.</t>
        </is>
      </c>
      <c r="I112" s="15"/>
      <c r="J112" s="15">
        <f>COUNTIF($G$5:$G$500,G112)</f>
        <v>1</v>
      </c>
      <c r="K112" s="15" t="str">
        <f>IF(G112="","REVIEW","OK")</f>
        <v>OK</v>
      </c>
    </row>
    <row r="113" ht="42" customHeight="1">
      <c r="A113" s="15" t="inlineStr">
        <is>
          <t xml:space="preserve">v0.9::S06</t>
        </is>
      </c>
      <c r="B113" s="15" t="inlineStr">
        <is>
          <t xml:space="preserve">v0.9</t>
        </is>
      </c>
      <c r="C113" s="15" t="inlineStr">
        <is>
          <t xml:space="preserve">Bible_Journey_Canon_Map_v0_9_General_Letters_Revelation.xlsx</t>
        </is>
      </c>
      <c r="D113" s="15" t="inlineStr">
        <is>
          <t xml:space="preserve">S06</t>
        </is>
      </c>
      <c r="E113" s="15"/>
      <c r="F113" s="15" t="inlineStr">
        <is>
          <t xml:space="preserve">1 Peter</t>
        </is>
      </c>
      <c r="G113" s="15" t="inlineStr">
        <is>
          <t xml:space="preserve">https://www.bibleodyssey.org/articles/1-peter/</t>
        </is>
      </c>
      <c r="H113" s="15" t="inlineStr">
        <is>
          <t xml:space="preserve">Used for high-level themes in 1 Peter and its people-of-God identity language.</t>
        </is>
      </c>
      <c r="I113" s="15"/>
      <c r="J113" s="15">
        <f>COUNTIF($G$5:$G$500,G113)</f>
        <v>1</v>
      </c>
      <c r="K113" s="15" t="str">
        <f>IF(G113="","REVIEW","OK")</f>
        <v>OK</v>
      </c>
    </row>
    <row r="114" ht="42" customHeight="1">
      <c r="A114" s="15" t="inlineStr">
        <is>
          <t xml:space="preserve">v0.9::S07</t>
        </is>
      </c>
      <c r="B114" s="15" t="inlineStr">
        <is>
          <t xml:space="preserve">v0.9</t>
        </is>
      </c>
      <c r="C114" s="15" t="inlineStr">
        <is>
          <t xml:space="preserve">Bible_Journey_Canon_Map_v0_9_General_Letters_Revelation.xlsx</t>
        </is>
      </c>
      <c r="D114" s="15" t="inlineStr">
        <is>
          <t xml:space="preserve">S07</t>
        </is>
      </c>
      <c r="E114" s="15"/>
      <c r="F114" s="15" t="inlineStr">
        <is>
          <t xml:space="preserve">2 Peter</t>
        </is>
      </c>
      <c r="G114" s="15" t="inlineStr">
        <is>
          <t xml:space="preserve">https://www.bibleodyssey.org/articles/2-peter/</t>
        </is>
      </c>
      <c r="H114" s="15" t="inlineStr">
        <is>
          <t xml:space="preserve">Used for the caution that 2 Peter's authorship and date are disputed.</t>
        </is>
      </c>
      <c r="I114" s="15"/>
      <c r="J114" s="15">
        <f>COUNTIF($G$5:$G$500,G114)</f>
        <v>1</v>
      </c>
      <c r="K114" s="15" t="str">
        <f>IF(G114="","REVIEW","OK")</f>
        <v>OK</v>
      </c>
    </row>
    <row r="115" ht="42" customHeight="1">
      <c r="A115" s="15" t="inlineStr">
        <is>
          <t xml:space="preserve">v0.9::S08</t>
        </is>
      </c>
      <c r="B115" s="15" t="inlineStr">
        <is>
          <t xml:space="preserve">v0.9</t>
        </is>
      </c>
      <c r="C115" s="15" t="inlineStr">
        <is>
          <t xml:space="preserve">Bible_Journey_Canon_Map_v0_9_General_Letters_Revelation.xlsx</t>
        </is>
      </c>
      <c r="D115" s="15" t="inlineStr">
        <is>
          <t xml:space="preserve">S08</t>
        </is>
      </c>
      <c r="E115" s="15"/>
      <c r="F115" s="15" t="inlineStr">
        <is>
          <t xml:space="preserve">The General Epistles</t>
        </is>
      </c>
      <c r="G115" s="15" t="inlineStr">
        <is>
          <t xml:space="preserve">https://www.cambridge.org/core/books/cambridge-companion-to-the-new-testament/general-epistles/F11CEBD0AF10C9F5244CEEDFA73998F4</t>
        </is>
      </c>
      <c r="H115" s="15" t="inlineStr">
        <is>
          <t xml:space="preserve">Used for framing James, 1–2 Peter, 1–3 John, and Jude as a corpus with distinct historical and literary issues.</t>
        </is>
      </c>
      <c r="I115" s="15"/>
      <c r="J115" s="15">
        <f>COUNTIF($G$5:$G$500,G115)</f>
        <v>1</v>
      </c>
      <c r="K115" s="15" t="str">
        <f>IF(G115="","REVIEW","OK")</f>
        <v>OK</v>
      </c>
    </row>
    <row r="116" ht="42" customHeight="1">
      <c r="A116" s="15" t="inlineStr">
        <is>
          <t xml:space="preserve">v0.9::S09</t>
        </is>
      </c>
      <c r="B116" s="15" t="inlineStr">
        <is>
          <t xml:space="preserve">v0.9</t>
        </is>
      </c>
      <c r="C116" s="15" t="inlineStr">
        <is>
          <t xml:space="preserve">Bible_Journey_Canon_Map_v0_9_General_Letters_Revelation.xlsx</t>
        </is>
      </c>
      <c r="D116" s="15" t="inlineStr">
        <is>
          <t xml:space="preserve">S09</t>
        </is>
      </c>
      <c r="E116" s="15"/>
      <c r="F116" s="15" t="inlineStr">
        <is>
          <t xml:space="preserve">1–3 John Overview</t>
        </is>
      </c>
      <c r="G116" s="15" t="inlineStr">
        <is>
          <t xml:space="preserve">https://bibleproject.com/videos/1-3-john/</t>
        </is>
      </c>
      <c r="H116" s="15" t="inlineStr">
        <is>
          <t xml:space="preserve">Used only for high-level thematic summary of 1–3 John; not used as a scholarly authority for dating.</t>
        </is>
      </c>
      <c r="I116" s="15"/>
      <c r="J116" s="15">
        <f>COUNTIF($G$5:$G$500,G116)</f>
        <v>1</v>
      </c>
      <c r="K116" s="15" t="str">
        <f>IF(G116="","REVIEW","OK")</f>
        <v>OK</v>
      </c>
    </row>
    <row r="117" ht="42" customHeight="1">
      <c r="A117" s="15" t="inlineStr">
        <is>
          <t xml:space="preserve">v0.9::S10</t>
        </is>
      </c>
      <c r="B117" s="15" t="inlineStr">
        <is>
          <t xml:space="preserve">v0.9</t>
        </is>
      </c>
      <c r="C117" s="15" t="inlineStr">
        <is>
          <t xml:space="preserve">Bible_Journey_Canon_Map_v0_9_General_Letters_Revelation.xlsx</t>
        </is>
      </c>
      <c r="D117" s="15" t="inlineStr">
        <is>
          <t xml:space="preserve">S10</t>
        </is>
      </c>
      <c r="E117" s="15"/>
      <c r="F117" s="15" t="inlineStr">
        <is>
          <t xml:space="preserve">New Testament Canon / Johannine Writings</t>
        </is>
      </c>
      <c r="G117" s="15" t="inlineStr">
        <is>
          <t xml:space="preserve">https://resolve.cambridge.org/core/services/aop-cambridge-core/content/view/119BDEE152C6B6C058B49FD42A89E0E0/9781139055901c4b_p284-308_CBO.pdf/new_testament_canon.pdf</t>
        </is>
      </c>
      <c r="H117" s="15" t="inlineStr">
        <is>
          <t xml:space="preserve">Used for canonical and Johannine-writing context; access may vary.</t>
        </is>
      </c>
      <c r="I117" s="15"/>
      <c r="J117" s="15">
        <f>COUNTIF($G$5:$G$500,G117)</f>
        <v>1</v>
      </c>
      <c r="K117" s="15" t="str">
        <f>IF(G117="","REVIEW","OK")</f>
        <v>OK</v>
      </c>
    </row>
    <row r="118" ht="42" customHeight="1">
      <c r="A118" s="15" t="inlineStr">
        <is>
          <t xml:space="preserve">v0.9::S11</t>
        </is>
      </c>
      <c r="B118" s="15" t="inlineStr">
        <is>
          <t xml:space="preserve">v0.9</t>
        </is>
      </c>
      <c r="C118" s="15" t="inlineStr">
        <is>
          <t xml:space="preserve">Bible_Journey_Canon_Map_v0_9_General_Letters_Revelation.xlsx</t>
        </is>
      </c>
      <c r="D118" s="15" t="inlineStr">
        <is>
          <t xml:space="preserve">S11</t>
        </is>
      </c>
      <c r="E118" s="15"/>
      <c r="F118" s="15" t="inlineStr">
        <is>
          <t xml:space="preserve">Jude, The Letter of</t>
        </is>
      </c>
      <c r="G118" s="15" t="inlineStr">
        <is>
          <t xml:space="preserve">https://www.bibleodyssey.org/dictionary/jude-the-letter-of/</t>
        </is>
      </c>
      <c r="H118" s="15" t="inlineStr">
        <is>
          <t xml:space="preserve">Used for Jude's significant overlap with 2 Peter and its false-teacher concern.</t>
        </is>
      </c>
      <c r="I118" s="15"/>
      <c r="J118" s="15">
        <f>COUNTIF($G$5:$G$500,G118)</f>
        <v>1</v>
      </c>
      <c r="K118" s="15" t="str">
        <f>IF(G118="","REVIEW","OK")</f>
        <v>OK</v>
      </c>
    </row>
    <row r="119" ht="42" customHeight="1">
      <c r="A119" s="15" t="inlineStr">
        <is>
          <t xml:space="preserve">v0.9::S12</t>
        </is>
      </c>
      <c r="B119" s="15" t="inlineStr">
        <is>
          <t xml:space="preserve">v0.9</t>
        </is>
      </c>
      <c r="C119" s="15" t="inlineStr">
        <is>
          <t xml:space="preserve">Bible_Journey_Canon_Map_v0_9_General_Letters_Revelation.xlsx</t>
        </is>
      </c>
      <c r="D119" s="15" t="inlineStr">
        <is>
          <t xml:space="preserve">S12</t>
        </is>
      </c>
      <c r="E119" s="15"/>
      <c r="F119" s="15" t="inlineStr">
        <is>
          <t xml:space="preserve">What Is an Apocalypse?</t>
        </is>
      </c>
      <c r="G119" s="15" t="inlineStr">
        <is>
          <t xml:space="preserve">https://www.bibleodyssey.org/articles/what-is-an-apocalypse/</t>
        </is>
      </c>
      <c r="H119" s="15" t="inlineStr">
        <is>
          <t xml:space="preserve">Used for the literary-genre policy: apocalypse involves revelatory otherworldly knowledge and must not be reduced to a plain timeline.</t>
        </is>
      </c>
      <c r="I119" s="15"/>
      <c r="J119" s="15">
        <f>COUNTIF($G$5:$G$500,G119)</f>
        <v>1</v>
      </c>
      <c r="K119" s="15" t="str">
        <f>IF(G119="","REVIEW","OK")</f>
        <v>OK</v>
      </c>
    </row>
    <row r="120" ht="42" customHeight="1">
      <c r="A120" s="15" t="inlineStr">
        <is>
          <t xml:space="preserve">v0.9::S13</t>
        </is>
      </c>
      <c r="B120" s="15" t="inlineStr">
        <is>
          <t xml:space="preserve">v0.9</t>
        </is>
      </c>
      <c r="C120" s="15" t="inlineStr">
        <is>
          <t xml:space="preserve">Bible_Journey_Canon_Map_v0_9_General_Letters_Revelation.xlsx</t>
        </is>
      </c>
      <c r="D120" s="15" t="inlineStr">
        <is>
          <t xml:space="preserve">S13</t>
        </is>
      </c>
      <c r="E120" s="15"/>
      <c r="F120" s="15" t="inlineStr">
        <is>
          <t xml:space="preserve">The Seven Cities of Revelation</t>
        </is>
      </c>
      <c r="G120" s="15" t="inlineStr">
        <is>
          <t xml:space="preserve">https://www.bibleodyssey.org/articles/the-seven-cities-of-revelation/</t>
        </is>
      </c>
      <c r="H120" s="15" t="inlineStr">
        <is>
          <t xml:space="preserve">Used for the seven Asia Minor cities as a historical context layer.</t>
        </is>
      </c>
      <c r="I120" s="15"/>
      <c r="J120" s="15">
        <f>COUNTIF($G$5:$G$500,G120)</f>
        <v>1</v>
      </c>
      <c r="K120" s="15" t="str">
        <f>IF(G120="","REVIEW","OK")</f>
        <v>OK</v>
      </c>
    </row>
    <row r="121" ht="42" customHeight="1">
      <c r="A121" s="15" t="inlineStr">
        <is>
          <t xml:space="preserve">v0.9::S14</t>
        </is>
      </c>
      <c r="B121" s="15" t="inlineStr">
        <is>
          <t xml:space="preserve">v0.9</t>
        </is>
      </c>
      <c r="C121" s="15" t="inlineStr">
        <is>
          <t xml:space="preserve">Bible_Journey_Canon_Map_v0_9_General_Letters_Revelation.xlsx</t>
        </is>
      </c>
      <c r="D121" s="15" t="inlineStr">
        <is>
          <t xml:space="preserve">S14</t>
        </is>
      </c>
      <c r="E121" s="15"/>
      <c r="F121" s="15" t="inlineStr">
        <is>
          <t xml:space="preserve">The Sign of the Beast</t>
        </is>
      </c>
      <c r="G121" s="15" t="inlineStr">
        <is>
          <t xml:space="preserve">https://www.bibleodyssey.org/articles/the-sign-of-the-beast/</t>
        </is>
      </c>
      <c r="H121" s="15" t="inlineStr">
        <is>
          <t xml:space="preserve">Used for contextual caution around Revelation's first-century congregational setting and symbolic interpretation.</t>
        </is>
      </c>
      <c r="I121" s="15"/>
      <c r="J121" s="15">
        <f>COUNTIF($G$5:$G$500,G121)</f>
        <v>1</v>
      </c>
      <c r="K121" s="15" t="str">
        <f>IF(G121="","REVIEW","OK")</f>
        <v>OK</v>
      </c>
    </row>
    <row r="122" ht="42" customHeight="1">
      <c r="A122" s="15" t="inlineStr">
        <is>
          <t xml:space="preserve">v0.9::S15</t>
        </is>
      </c>
      <c r="B122" s="15" t="inlineStr">
        <is>
          <t xml:space="preserve">v0.9</t>
        </is>
      </c>
      <c r="C122" s="15" t="inlineStr">
        <is>
          <t xml:space="preserve">Bible_Journey_Canon_Map_v0_9_General_Letters_Revelation.xlsx</t>
        </is>
      </c>
      <c r="D122" s="15" t="inlineStr">
        <is>
          <t xml:space="preserve">S15</t>
        </is>
      </c>
      <c r="E122" s="15"/>
      <c r="F122" s="15" t="inlineStr">
        <is>
          <t xml:space="preserve">Revelation</t>
        </is>
      </c>
      <c r="G122" s="15" t="inlineStr">
        <is>
          <t xml:space="preserve">https://www.bibleodyssey.org/video-gallery/revelation/</t>
        </is>
      </c>
      <c r="H122" s="15" t="inlineStr">
        <is>
          <t xml:space="preserve">Used for high-level identification of Revelation as apocalyptic prophecy; not for settling denominational interpretive claims.</t>
        </is>
      </c>
      <c r="I122" s="15"/>
      <c r="J122" s="15">
        <f>COUNTIF($G$5:$G$500,G122)</f>
        <v>1</v>
      </c>
      <c r="K122" s="15" t="str">
        <f>IF(G122="","REVIEW","OK")</f>
        <v>OK</v>
      </c>
    </row>
  </sheetData>
  <autoFilter ref="A4:K122"/>
  <mergeCells count="2">
    <mergeCell ref="A1:K1"/>
    <mergeCell ref="A2:K2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2"/>
  <sheetViews>
    <sheetView workbookViewId="0">
      <pane ySplit="4" topLeftCell="A5" activePane="bottomLeft" state="frozen"/>
      <selection pane="bottomLeft" activeCell="A5" sqref="A5"/>
    </sheetView>
  </sheetViews>
  <cols>
    <col min="1" max="1" width="14" customWidth="1"/>
    <col min="2" max="2" width="32" customWidth="1"/>
    <col min="3" max="3" width="60" customWidth="1"/>
    <col min="4" max="4" width="20" customWidth="1"/>
    <col min="5" max="5" width="26" customWidth="1"/>
    <col min="6" max="6" width="62" customWidth="1"/>
    <col min="7" max="7" width="64" customWidth="1"/>
  </cols>
  <sheetData>
    <row r="1" ht="30" customHeight="1">
      <c r="A1" s="1" t="inlineStr">
        <is>
          <t xml:space="preserve">RELEASE GATES</t>
        </is>
      </c>
    </row>
    <row r="2" ht="30" customHeight="1">
      <c r="A2" s="2" t="inlineStr">
        <is>
          <t xml:space="preserve">Master release checklist. The product can look complete before it is editorially safe; this sheet separates visual progress from canonical, legal, and theological readiness.</t>
        </is>
      </c>
    </row>
    <row r="4">
      <c r="A4" s="3" t="inlineStr">
        <is>
          <t xml:space="preserve">Gate ID</t>
        </is>
      </c>
      <c r="B4" s="3" t="inlineStr">
        <is>
          <t xml:space="preserve">Release Gate</t>
        </is>
      </c>
      <c r="C4" s="3" t="inlineStr">
        <is>
          <t xml:space="preserve">Metric / Evidence</t>
        </is>
      </c>
      <c r="D4" s="3" t="inlineStr">
        <is>
          <t xml:space="preserve">Current Status</t>
        </is>
      </c>
      <c r="E4" s="3" t="inlineStr">
        <is>
          <t xml:space="preserve">Owner</t>
        </is>
      </c>
      <c r="F4" s="3" t="inlineStr">
        <is>
          <t xml:space="preserve">Blocking Reason</t>
        </is>
      </c>
      <c r="G4" s="3" t="inlineStr">
        <is>
          <t xml:space="preserve">Required Next Move</t>
        </is>
      </c>
    </row>
    <row r="5" ht="42" customHeight="1">
      <c r="A5" s="15" t="inlineStr">
        <is>
          <t xml:space="preserve">GATE-001</t>
        </is>
      </c>
      <c r="B5" s="15" t="inlineStr">
        <is>
          <t xml:space="preserve">Canonical chapter coverage</t>
        </is>
      </c>
      <c r="C5" s="15" t="inlineStr">
        <is>
          <t xml:space="preserve">Expected 1,189 | Master ledger rows 1189 | Missing 0 | Duplicate source keys 0</t>
        </is>
      </c>
      <c r="D5" s="10" t="inlineStr">
        <is>
          <t xml:space="preserve">PASS</t>
        </is>
      </c>
      <c r="E5" s="15" t="inlineStr">
        <is>
          <t xml:space="preserve">Editorial QA</t>
        </is>
      </c>
      <c r="F5" s="15" t="inlineStr">
        <is>
          <t xml:space="preserve">Any missing/duplicate canonical chapter invalidates a whole-canon claim.</t>
        </is>
      </c>
      <c r="G5" s="15" t="inlineStr">
        <is>
          <t xml:space="preserve">Run this audit automatically on every import.</t>
        </is>
      </c>
    </row>
    <row r="6" ht="42" customHeight="1">
      <c r="A6" s="15" t="inlineStr">
        <is>
          <t xml:space="preserve">GATE-002</t>
        </is>
      </c>
      <c r="B6" s="15" t="inlineStr">
        <is>
          <t xml:space="preserve">Book completeness</t>
        </is>
      </c>
      <c r="C6" s="15" t="inlineStr">
        <is>
          <t xml:space="preserve">66 canonical books expected; Book Summary should show 66 PASS records.</t>
        </is>
      </c>
      <c r="D6" s="10" t="inlineStr">
        <is>
          <t xml:space="preserve">PASS</t>
        </is>
      </c>
      <c r="E6" s="15" t="inlineStr">
        <is>
          <t xml:space="preserve">Editorial QA</t>
        </is>
      </c>
      <c r="F6" s="15" t="inlineStr">
        <is>
          <t xml:space="preserve">Book-level coverage must match canonical catalog.</t>
        </is>
      </c>
      <c r="G6" s="15" t="inlineStr">
        <is>
          <t xml:space="preserve">Review any mismatch by map provenance.</t>
        </is>
      </c>
    </row>
    <row r="7" ht="42" customHeight="1">
      <c r="A7" s="15" t="inlineStr">
        <is>
          <t xml:space="preserve">GATE-003</t>
        </is>
      </c>
      <c r="B7" s="15" t="inlineStr">
        <is>
          <t xml:space="preserve">Verse-level continuity</t>
        </is>
      </c>
      <c r="C7" s="15" t="inlineStr">
        <is>
          <t xml:space="preserve">Coverage is chapter-level. Gospel segments and split chapters need verse-interval validation.</t>
        </is>
      </c>
      <c r="D7" s="12" t="inlineStr">
        <is>
          <t xml:space="preserve">BLOCKED</t>
        </is>
      </c>
      <c r="E7" s="15" t="inlineStr">
        <is>
          <t xml:space="preserve">Editorial + Engineering</t>
        </is>
      </c>
      <c r="F7" s="15" t="inlineStr">
        <is>
          <t xml:space="preserve">Chapter coverage cannot detect missing or overlapping verse intervals.</t>
        </is>
      </c>
      <c r="G7" s="15" t="inlineStr">
        <is>
          <t xml:space="preserve">Build PassageBlock / verse-range validator.</t>
        </is>
      </c>
    </row>
    <row r="8" ht="42" customHeight="1">
      <c r="A8" s="15" t="inlineStr">
        <is>
          <t xml:space="preserve">GATE-004</t>
        </is>
      </c>
      <c r="B8" s="15" t="inlineStr">
        <is>
          <t xml:space="preserve">Global stream resolver</t>
        </is>
      </c>
      <c r="C8" s="15" t="inlineStr">
        <is>
          <t xml:space="preserve">Map records are unified but cross-map attachments are not one finalized user-facing chronology.</t>
        </is>
      </c>
      <c r="D8" s="12" t="inlineStr">
        <is>
          <t xml:space="preserve">BLOCKED</t>
        </is>
      </c>
      <c r="E8" s="15" t="inlineStr">
        <is>
          <t xml:space="preserve">Editorial Council</t>
        </is>
      </c>
      <c r="F8" s="15" t="inlineStr">
        <is>
          <t xml:space="preserve">Source map order is not a final event order.</t>
        </is>
      </c>
      <c r="G8" s="15" t="inlineStr">
        <is>
          <t xml:space="preserve">Create Harmonization Engine v1.0.</t>
        </is>
      </c>
    </row>
    <row r="9" ht="42" customHeight="1">
      <c r="A9" s="15" t="inlineStr">
        <is>
          <t xml:space="preserve">GATE-005</t>
        </is>
      </c>
      <c r="B9" s="15" t="inlineStr">
        <is>
          <t xml:space="preserve">Open decision disposition</t>
        </is>
      </c>
      <c r="C9" s="15" t="inlineStr">
        <is>
          <t xml:space="preserve">92 imported decision records require triage by risk and release scope.</t>
        </is>
      </c>
      <c r="D9" s="12" t="inlineStr">
        <is>
          <t xml:space="preserve">BLOCKED</t>
        </is>
      </c>
      <c r="E9" s="15" t="inlineStr">
        <is>
          <t xml:space="preserve">Editorial Council</t>
        </is>
      </c>
      <c r="F9" s="15" t="inlineStr">
        <is>
          <t xml:space="preserve">Unreviewed chronology and interpretation decisions cannot be silently shipped.</t>
        </is>
      </c>
      <c r="G9" s="15" t="inlineStr">
        <is>
          <t xml:space="preserve">Classify every record: resolve / disclose / out-of-scope.</t>
        </is>
      </c>
    </row>
    <row r="10" ht="42" customHeight="1">
      <c r="A10" s="15" t="inlineStr">
        <is>
          <t xml:space="preserve">GATE-006</t>
        </is>
      </c>
      <c r="B10" s="15" t="inlineStr">
        <is>
          <t xml:space="preserve">Translation licensing</t>
        </is>
      </c>
      <c r="C10" s="15" t="inlineStr">
        <is>
          <t xml:space="preserve">RVR60/NVI and protected text display require written permissions.</t>
        </is>
      </c>
      <c r="D10" s="13" t="inlineStr">
        <is>
          <t xml:space="preserve">IN PROGRESS</t>
        </is>
      </c>
      <c r="E10" s="15" t="inlineStr">
        <is>
          <t xml:space="preserve">Legal + Partnerships</t>
        </is>
      </c>
      <c r="F10" s="15" t="inlineStr">
        <is>
          <t xml:space="preserve">Reader text availability is an external rights dependency.</t>
        </is>
      </c>
      <c r="G10" s="15" t="inlineStr">
        <is>
          <t xml:space="preserve">Continue license pilot workflow; retain reference mode fallback.</t>
        </is>
      </c>
    </row>
    <row r="11" ht="42" customHeight="1">
      <c r="A11" s="15" t="inlineStr">
        <is>
          <t xml:space="preserve">GATE-007</t>
        </is>
      </c>
      <c r="B11" s="15" t="inlineStr">
        <is>
          <t xml:space="preserve">Ezra claim controls</t>
        </is>
      </c>
      <c r="C11" s="15" t="inlineStr">
        <is>
          <t xml:space="preserve">Direct text, context, inference, interpretation, and application must be visibly classified.</t>
        </is>
      </c>
      <c r="D11" s="12" t="inlineStr">
        <is>
          <t xml:space="preserve">BLOCKED</t>
        </is>
      </c>
      <c r="E11" s="15" t="inlineStr">
        <is>
          <t xml:space="preserve">AI + Theology QA</t>
        </is>
      </c>
      <c r="F11" s="15" t="inlineStr">
        <is>
          <t xml:space="preserve">AI can blur confidence and theology.</t>
        </is>
      </c>
      <c r="G11" s="15" t="inlineStr">
        <is>
          <t xml:space="preserve">Implement source-aware response schema and claim-type tests.</t>
        </is>
      </c>
    </row>
    <row r="12" ht="42" customHeight="1">
      <c r="A12" s="15" t="inlineStr">
        <is>
          <t xml:space="preserve">GATE-008</t>
        </is>
      </c>
      <c r="B12" s="15" t="inlineStr">
        <is>
          <t xml:space="preserve">Apocalyptic policy</t>
        </is>
      </c>
      <c r="C12" s="15" t="inlineStr">
        <is>
          <t xml:space="preserve">Revelation default reader remains literary; interpretation lenses are opt-in and sourced.</t>
        </is>
      </c>
      <c r="D12" s="10" t="inlineStr">
        <is>
          <t xml:space="preserve">PASS</t>
        </is>
      </c>
      <c r="E12" s="15" t="inlineStr">
        <is>
          <t xml:space="preserve">Editorial + Product</t>
        </is>
      </c>
      <c r="F12" s="15" t="inlineStr">
        <is>
          <t xml:space="preserve">Implementation can drift into a default prophecy timeline.</t>
        </is>
      </c>
      <c r="G12" s="15" t="inlineStr">
        <is>
          <t xml:space="preserve">Enforce v0.9 Revelation Policy at API, prompt, and UI layers.</t>
        </is>
      </c>
    </row>
  </sheetData>
  <autoFilter ref="A4:G12"/>
  <mergeCells count="2">
    <mergeCell ref="A1:G1"/>
    <mergeCell ref="A2:G2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pane ySplit="4" topLeftCell="A5" activePane="bottomLeft" state="frozen"/>
      <selection pane="bottomLeft" activeCell="A5" sqref="A5"/>
    </sheetView>
  </sheetViews>
  <cols>
    <col min="1" max="1" width="14" customWidth="1"/>
    <col min="2" max="2" width="34" customWidth="1"/>
    <col min="3" max="3" width="125" customWidth="1"/>
  </cols>
  <sheetData>
    <row r="1" ht="30" customHeight="1">
      <c r="A1" s="1" t="inlineStr">
        <is>
          <t xml:space="preserve">NORMALIZATION NOTES</t>
        </is>
      </c>
    </row>
    <row r="2" ht="30" customHeight="1">
      <c r="A2" s="2" t="inlineStr">
        <is>
          <t xml:space="preserve">Operational contract between editorial, product, engineering, AI, and licensing. The master governs traceability and disclosure, not one preferred doctrinal system.</t>
        </is>
      </c>
    </row>
    <row r="4">
      <c r="A4" s="3" t="inlineStr">
        <is>
          <t xml:space="preserve">Note ID</t>
        </is>
      </c>
      <c r="B4" s="3" t="inlineStr">
        <is>
          <t xml:space="preserve">Area</t>
        </is>
      </c>
      <c r="C4" s="3" t="inlineStr">
        <is>
          <t xml:space="preserve">Operational Rule</t>
        </is>
      </c>
    </row>
    <row r="5" ht="38" customHeight="1">
      <c r="A5" s="15" t="inlineStr">
        <is>
          <t xml:space="preserve">N-001</t>
        </is>
      </c>
      <c r="B5" s="15" t="inlineStr">
        <is>
          <t xml:space="preserve">Master scope</t>
        </is>
      </c>
      <c r="C5" s="15" t="inlineStr">
        <is>
          <t xml:space="preserve">v1.0 unifies source records from Canon Maps v0.1–v0.9. It preserves local IDs and map provenance; it does not overwrite source-map editorial notes.</t>
        </is>
      </c>
    </row>
    <row r="6" ht="38" customHeight="1">
      <c r="A6" s="15" t="inlineStr">
        <is>
          <t xml:space="preserve">N-002</t>
        </is>
      </c>
      <c r="B6" s="15" t="inlineStr">
        <is>
          <t xml:space="preserve">Canonical baseline</t>
        </is>
      </c>
      <c r="C6" s="15" t="inlineStr">
        <is>
          <t xml:space="preserve">The master uses a Protestant 66-book / 1,189-chapter baseline. Other canon profiles must be added as separate expected-coverage catalogs, never silently mixed.</t>
        </is>
      </c>
    </row>
    <row r="7" ht="38" customHeight="1">
      <c r="A7" s="15" t="inlineStr">
        <is>
          <t xml:space="preserve">N-003</t>
        </is>
      </c>
      <c r="B7" s="15" t="inlineStr">
        <is>
          <t xml:space="preserve">Coverage vs sequence</t>
        </is>
      </c>
      <c r="C7" s="15" t="inlineStr">
        <is>
          <t xml:space="preserve">Chapter coverage proves every chapter has an editorial home. It does not prove a final event-level chronology has been harmonized.</t>
        </is>
      </c>
    </row>
    <row r="8" ht="38" customHeight="1">
      <c r="A8" s="15" t="inlineStr">
        <is>
          <t xml:space="preserve">N-004</t>
        </is>
      </c>
      <c r="B8" s="15" t="inlineStr">
        <is>
          <t xml:space="preserve">Final stream order</t>
        </is>
      </c>
      <c r="C8" s="15" t="inlineStr">
        <is>
          <t xml:space="preserve">Map Sequence and Local Order are provenance fields. The user-facing chronological order must be produced by a dedicated Harmonization Engine with profiles and confidence.</t>
        </is>
      </c>
    </row>
    <row r="9" ht="38" customHeight="1">
      <c r="A9" s="15" t="inlineStr">
        <is>
          <t xml:space="preserve">N-005</t>
        </is>
      </c>
      <c r="B9" s="15" t="inlineStr">
        <is>
          <t xml:space="preserve">Parallel accounts</t>
        </is>
      </c>
      <c r="C9" s="15" t="inlineStr">
        <is>
          <t xml:space="preserve">Samuel/Kings/Chronicles, Gospel parallels, and Acts-letter relationships are linked through records. The app must retain each biblical text intact and labeled.</t>
        </is>
      </c>
    </row>
    <row r="10" ht="38" customHeight="1">
      <c r="A10" s="15" t="inlineStr">
        <is>
          <t xml:space="preserve">N-006</t>
        </is>
      </c>
      <c r="B10" s="15" t="inlineStr">
        <is>
          <t xml:space="preserve">Poetry and wisdom</t>
        </is>
      </c>
      <c r="C10" s="15" t="inlineStr">
        <is>
          <t xml:space="preserve">Psalms, Job, Proverbs, Ecclesiastes, and Song of Songs may be connected by evidence or canonical fallback. Absence of a certain date is a product state, not a reason to omit the text.</t>
        </is>
      </c>
    </row>
    <row r="11" ht="38" customHeight="1">
      <c r="A11" s="15" t="inlineStr">
        <is>
          <t xml:space="preserve">N-007</t>
        </is>
      </c>
      <c r="B11" s="15" t="inlineStr">
        <is>
          <t xml:space="preserve">Prophets</t>
        </is>
      </c>
      <c r="C11" s="15" t="inlineStr">
        <is>
          <t xml:space="preserve">A prophet may have a broad historical anchor while individual oracles remain less precisely located. Display certainty at the unit level.</t>
        </is>
      </c>
    </row>
    <row r="12" ht="38" customHeight="1">
      <c r="A12" s="15" t="inlineStr">
        <is>
          <t xml:space="preserve">N-008</t>
        </is>
      </c>
      <c r="B12" s="15" t="inlineStr">
        <is>
          <t xml:space="preserve">General letters</t>
        </is>
      </c>
      <c r="C12" s="15" t="inlineStr">
        <is>
          <t xml:space="preserve">Hebrews and the general letters remain part of the complete stream even when precise dating/placement is unresolved. Use canonical fallback language visibly.</t>
        </is>
      </c>
    </row>
    <row r="13" ht="38" customHeight="1">
      <c r="A13" s="15" t="inlineStr">
        <is>
          <t xml:space="preserve">N-009</t>
        </is>
      </c>
      <c r="B13" s="15" t="inlineStr">
        <is>
          <t xml:space="preserve">Apocalyptic literature</t>
        </is>
      </c>
      <c r="C13" s="15" t="inlineStr">
        <is>
          <t xml:space="preserve">Revelation is read as a literary vision sequence by default. Do not convert its structures into a universal event timeline without an explicitly selected, sourced interpretation lens.</t>
        </is>
      </c>
    </row>
    <row r="14" ht="38" customHeight="1">
      <c r="A14" s="15" t="inlineStr">
        <is>
          <t xml:space="preserve">N-010</t>
        </is>
      </c>
      <c r="B14" s="15" t="inlineStr">
        <is>
          <t xml:space="preserve">AI policy</t>
        </is>
      </c>
      <c r="C14" s="15" t="inlineStr">
        <is>
          <t xml:space="preserve">Ezra must retrieve and present direct biblical basis, historical context, editorial inference, confidence, and source paths. It must not convert an unresolved placement into fact.</t>
        </is>
      </c>
    </row>
    <row r="15" ht="38" customHeight="1">
      <c r="A15" s="15" t="inlineStr">
        <is>
          <t xml:space="preserve">N-011</t>
        </is>
      </c>
      <c r="B15" s="15" t="inlineStr">
        <is>
          <t xml:space="preserve">Licensing</t>
        </is>
      </c>
      <c r="C15" s="15" t="inlineStr">
        <is>
          <t xml:space="preserve">The master stores references and editorial metadata. Display of licensed Bible text remains modular and governed by each translation's agreement.</t>
        </is>
      </c>
    </row>
    <row r="16" ht="38" customHeight="1">
      <c r="A16" s="15" t="inlineStr">
        <is>
          <t xml:space="preserve">N-012</t>
        </is>
      </c>
      <c r="B16" s="15" t="inlineStr">
        <is>
          <t xml:space="preserve">Next artifact</t>
        </is>
      </c>
      <c r="C16" s="15" t="inlineStr">
        <is>
          <t xml:space="preserve">Harmonization Engine Specification v1.0: join rules, priority scoring, profiles, conflict resolution, user progress, and editorial review workflow.</t>
        </is>
      </c>
    </row>
  </sheetData>
  <autoFilter ref="A4:C16"/>
  <mergeCells count="2">
    <mergeCell ref="A1:C1"/>
    <mergeCell ref="A2:C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CodeShore Bible Journey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Start Here</vt:lpstr>
      <vt:lpstr>Map Registry</vt:lpstr>
      <vt:lpstr>Master CRS Ledger</vt:lpstr>
      <vt:lpstr>Master Reading Blocks</vt:lpstr>
      <vt:lpstr>Master Chapter Coverage</vt:lpstr>
      <vt:lpstr>Book Catalog</vt:lpstr>
      <vt:lpstr>Book Summary</vt:lpstr>
      <vt:lpstr>Master Link Registry</vt:lpstr>
      <vt:lpstr>Open Decisions Master</vt:lpstr>
      <vt:lpstr>Source Registry</vt:lpstr>
      <vt:lpstr>Release Gates</vt:lpstr>
      <vt:lpstr>Normalization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CodeShore / Bible Journey</dc:creator>
  <cp:lastModifiedBy>CodeShore / Bible Journey</cp:lastModifiedBy>
  <dcterms:created xsi:type="dcterms:W3CDTF">2026-06-28T16:28:33Z</dcterms:created>
  <dcterms:modified xsi:type="dcterms:W3CDTF">2026-06-28T16:28:33Z</dcterms:modified>
  <dc:title>Bible Journey Master Canon Ledger v1.0</dc:title>
</cp:coreProperties>
</file>